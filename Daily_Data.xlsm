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f54d11ad83b1d7d3/Practice/Python Practice/mintu/"/>
    </mc:Choice>
  </mc:AlternateContent>
  <xr:revisionPtr revIDLastSave="541" documentId="8_{85E20198-D17D-4371-A727-2DF975C696FD}" xr6:coauthVersionLast="47" xr6:coauthVersionMax="47" xr10:uidLastSave="{81A372B6-229E-4800-9C63-F28FD89DB451}"/>
  <bookViews>
    <workbookView xWindow="-120" yWindow="-120" windowWidth="29040" windowHeight="15720" xr2:uid="{3ECEC11E-5EEF-469D-9F67-03F7D9457F94}"/>
  </bookViews>
  <sheets>
    <sheet name="Input" sheetId="1" r:id="rId1"/>
    <sheet name="lookup" sheetId="3" state="hidden" r:id="rId2"/>
    <sheet name="Summary" sheetId="4" r:id="rId3"/>
    <sheet name="Data_Pivot_Helper" sheetId="2" state="hidden" r:id="rId4"/>
  </sheets>
  <externalReferences>
    <externalReference r:id="rId5"/>
  </externalReferences>
  <definedNames>
    <definedName name="_xlchart.v1.0" hidden="1">lookup!$L$27:$M$55</definedName>
    <definedName name="_xlchart.v1.1" hidden="1">lookup!$N$26</definedName>
    <definedName name="_xlchart.v1.2" hidden="1">lookup!$N$27:$N$55</definedName>
    <definedName name="Slicer_Error_Type">#N/A</definedName>
  </definedNames>
  <calcPr calcId="191029"/>
  <pivotCaches>
    <pivotCache cacheId="33"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2" i="3" l="1"/>
  <c r="B23" i="3"/>
  <c r="B22" i="3"/>
  <c r="C11" i="3" l="1"/>
  <c r="C12" i="3"/>
  <c r="C13" i="3"/>
  <c r="C14" i="3"/>
  <c r="C15" i="3"/>
  <c r="C16" i="3"/>
  <c r="C17" i="3"/>
  <c r="C18" i="3"/>
  <c r="C10" i="3"/>
  <c r="B5" i="3"/>
  <c r="B10" i="3"/>
  <c r="B11" i="3"/>
  <c r="B12" i="3"/>
  <c r="B13" i="3"/>
  <c r="B14" i="3"/>
  <c r="B15" i="3"/>
  <c r="B16" i="3"/>
  <c r="B17" i="3"/>
  <c r="B18" i="3"/>
  <c r="B4" i="3"/>
  <c r="D18" i="3" l="1"/>
  <c r="E18" i="3" s="1"/>
  <c r="D10" i="3"/>
  <c r="E10" i="3" s="1"/>
  <c r="D17" i="3"/>
  <c r="E17" i="3" s="1"/>
  <c r="D16" i="3"/>
  <c r="E16" i="3" s="1"/>
  <c r="D15" i="3"/>
  <c r="E15" i="3" s="1"/>
  <c r="D14" i="3"/>
  <c r="E14" i="3" s="1"/>
  <c r="D13" i="3"/>
  <c r="E13" i="3" s="1"/>
  <c r="D12" i="3"/>
  <c r="E12" i="3" s="1"/>
  <c r="D11" i="3"/>
  <c r="E11" i="3" s="1"/>
  <c r="C5" i="3"/>
  <c r="D5" i="3" s="1"/>
  <c r="A4" i="4"/>
</calcChain>
</file>

<file path=xl/sharedStrings.xml><?xml version="1.0" encoding="utf-8"?>
<sst xmlns="http://schemas.openxmlformats.org/spreadsheetml/2006/main" count="26545" uniqueCount="2362">
  <si>
    <t>Select the Daily file</t>
  </si>
  <si>
    <t>ID</t>
  </si>
  <si>
    <t>Type</t>
  </si>
  <si>
    <t>Time</t>
  </si>
  <si>
    <t>IFPLID</t>
  </si>
  <si>
    <t>Aircraft_Type</t>
  </si>
  <si>
    <t>Apron_ID</t>
  </si>
  <si>
    <t>Stand_ID</t>
  </si>
  <si>
    <t>VDGS_State</t>
  </si>
  <si>
    <t>Event_Classification</t>
  </si>
  <si>
    <t>Flight_ID</t>
  </si>
  <si>
    <t>site</t>
  </si>
  <si>
    <t>event_classification2</t>
  </si>
  <si>
    <t>Alarm_ID</t>
  </si>
  <si>
    <t>Alarm_Code</t>
  </si>
  <si>
    <t>Alarm_Description</t>
  </si>
  <si>
    <t>Error_Type</t>
  </si>
  <si>
    <t>Stage Changes</t>
  </si>
  <si>
    <t>Apron Echo</t>
  </si>
  <si>
    <t>E26</t>
  </si>
  <si>
    <t>Ready_To_Active</t>
  </si>
  <si>
    <t>Operational</t>
  </si>
  <si>
    <t>A380/8</t>
  </si>
  <si>
    <t>Concourse A</t>
  </si>
  <si>
    <t>A6</t>
  </si>
  <si>
    <t>Docking_To_Parked</t>
  </si>
  <si>
    <t>EK 323</t>
  </si>
  <si>
    <t>B737/8</t>
  </si>
  <si>
    <t>E11L</t>
  </si>
  <si>
    <t>Parked_To_Ready</t>
  </si>
  <si>
    <t>B777/2-LR</t>
  </si>
  <si>
    <t>Concourse C</t>
  </si>
  <si>
    <t>F2</t>
  </si>
  <si>
    <t>Apron Sierra</t>
  </si>
  <si>
    <t>S14</t>
  </si>
  <si>
    <t>Error_To_Active</t>
  </si>
  <si>
    <t>Technical</t>
  </si>
  <si>
    <t>EK 256</t>
  </si>
  <si>
    <t>B777/3-ER</t>
  </si>
  <si>
    <t>B4</t>
  </si>
  <si>
    <t>Active_To_Docking</t>
  </si>
  <si>
    <t>EK 816</t>
  </si>
  <si>
    <t>Ready_To_Scheduled</t>
  </si>
  <si>
    <t>EK 926</t>
  </si>
  <si>
    <t>A319</t>
  </si>
  <si>
    <t>Apron Quebec</t>
  </si>
  <si>
    <t>Parked_To_Maintenance</t>
  </si>
  <si>
    <t>Maintenance_To_Parked</t>
  </si>
  <si>
    <t>A321</t>
  </si>
  <si>
    <t>Concourse D</t>
  </si>
  <si>
    <t>C53</t>
  </si>
  <si>
    <t>D9</t>
  </si>
  <si>
    <t>Concourse B</t>
  </si>
  <si>
    <t>B20</t>
  </si>
  <si>
    <t>Scheduled_To_Active</t>
  </si>
  <si>
    <t>Apron Golf</t>
  </si>
  <si>
    <t>G13</t>
  </si>
  <si>
    <t>Apron Charlie</t>
  </si>
  <si>
    <t>C28</t>
  </si>
  <si>
    <t>G11</t>
  </si>
  <si>
    <t>EK 533</t>
  </si>
  <si>
    <t>E10R</t>
  </si>
  <si>
    <t>B737/8-MAX</t>
  </si>
  <si>
    <t>C36</t>
  </si>
  <si>
    <t>Scheduled_To_Parked</t>
  </si>
  <si>
    <t>B27</t>
  </si>
  <si>
    <t>EK 805</t>
  </si>
  <si>
    <t>Ready_To_Maintenance</t>
  </si>
  <si>
    <t>Maintenance_To_Ready</t>
  </si>
  <si>
    <t>B15</t>
  </si>
  <si>
    <t>EK 523</t>
  </si>
  <si>
    <t>EK 020</t>
  </si>
  <si>
    <t>A320</t>
  </si>
  <si>
    <t>C48</t>
  </si>
  <si>
    <t>C54</t>
  </si>
  <si>
    <t>XY 216</t>
  </si>
  <si>
    <t>C33</t>
  </si>
  <si>
    <t>B22</t>
  </si>
  <si>
    <t>EK 161</t>
  </si>
  <si>
    <t>Active_To_Ready</t>
  </si>
  <si>
    <t>C61</t>
  </si>
  <si>
    <t>Ready_To_Unknown</t>
  </si>
  <si>
    <t>6E 022</t>
  </si>
  <si>
    <t>E2</t>
  </si>
  <si>
    <t>C59</t>
  </si>
  <si>
    <t>FZ 1722</t>
  </si>
  <si>
    <t>B5</t>
  </si>
  <si>
    <t>EK 038</t>
  </si>
  <si>
    <t>C40</t>
  </si>
  <si>
    <t>F22</t>
  </si>
  <si>
    <t>B17</t>
  </si>
  <si>
    <t>F23</t>
  </si>
  <si>
    <t>EK 787</t>
  </si>
  <si>
    <t>Unknown_To_Ready</t>
  </si>
  <si>
    <t>F27</t>
  </si>
  <si>
    <t>EK 751</t>
  </si>
  <si>
    <t>B8</t>
  </si>
  <si>
    <t>EK 204</t>
  </si>
  <si>
    <t>A7</t>
  </si>
  <si>
    <t>G1</t>
  </si>
  <si>
    <t>F24</t>
  </si>
  <si>
    <t>EK 600</t>
  </si>
  <si>
    <t>E13</t>
  </si>
  <si>
    <t>FZ 918</t>
  </si>
  <si>
    <t>EK 723</t>
  </si>
  <si>
    <t>A350/9</t>
  </si>
  <si>
    <t>C58</t>
  </si>
  <si>
    <t>TK 763</t>
  </si>
  <si>
    <t>A2</t>
  </si>
  <si>
    <t>EK 001</t>
  </si>
  <si>
    <t>D8</t>
  </si>
  <si>
    <t>EK 232</t>
  </si>
  <si>
    <t>F5</t>
  </si>
  <si>
    <t>EK 027</t>
  </si>
  <si>
    <t>EK 010</t>
  </si>
  <si>
    <t>E20</t>
  </si>
  <si>
    <t>Ready_To_Parked</t>
  </si>
  <si>
    <t>A380</t>
  </si>
  <si>
    <t>Active_To_Error</t>
  </si>
  <si>
    <t>G20</t>
  </si>
  <si>
    <t>D4</t>
  </si>
  <si>
    <t>EK 015</t>
  </si>
  <si>
    <t>Error_To_Ready</t>
  </si>
  <si>
    <t>A330/2</t>
  </si>
  <si>
    <t>E22</t>
  </si>
  <si>
    <t>WB 304</t>
  </si>
  <si>
    <t>Parked_To_Unknown</t>
  </si>
  <si>
    <t>Unknown_To_Parked</t>
  </si>
  <si>
    <t>C57</t>
  </si>
  <si>
    <t>A320-NEO</t>
  </si>
  <si>
    <t>C60</t>
  </si>
  <si>
    <t>GF 501</t>
  </si>
  <si>
    <t>C51</t>
  </si>
  <si>
    <t>B2</t>
  </si>
  <si>
    <t>F17</t>
  </si>
  <si>
    <t>EK 827</t>
  </si>
  <si>
    <t>EK 586</t>
  </si>
  <si>
    <t>B10</t>
  </si>
  <si>
    <t>G15</t>
  </si>
  <si>
    <t>EK 505</t>
  </si>
  <si>
    <t>A9</t>
  </si>
  <si>
    <t>F7</t>
  </si>
  <si>
    <t>EK 045</t>
  </si>
  <si>
    <t>EK 659</t>
  </si>
  <si>
    <t>EK 806</t>
  </si>
  <si>
    <t>B14</t>
  </si>
  <si>
    <t>C49</t>
  </si>
  <si>
    <t>EK 209</t>
  </si>
  <si>
    <t>B6</t>
  </si>
  <si>
    <t>D1</t>
  </si>
  <si>
    <t>B12</t>
  </si>
  <si>
    <t>EK 237</t>
  </si>
  <si>
    <t>G9</t>
  </si>
  <si>
    <t>F3</t>
  </si>
  <si>
    <t>E6</t>
  </si>
  <si>
    <t>Parked_To_EmergencyStop</t>
  </si>
  <si>
    <t>EmergencyStop_To_Parked</t>
  </si>
  <si>
    <t>B11</t>
  </si>
  <si>
    <t>6E 026</t>
  </si>
  <si>
    <t>F8</t>
  </si>
  <si>
    <t>F21</t>
  </si>
  <si>
    <t>B1</t>
  </si>
  <si>
    <t>EK 157</t>
  </si>
  <si>
    <t>EK 566</t>
  </si>
  <si>
    <t>S12</t>
  </si>
  <si>
    <t>B23</t>
  </si>
  <si>
    <t>F4</t>
  </si>
  <si>
    <t>G2</t>
  </si>
  <si>
    <t>B9</t>
  </si>
  <si>
    <t>FZ 1745</t>
  </si>
  <si>
    <t>A8</t>
  </si>
  <si>
    <t>GF 502</t>
  </si>
  <si>
    <t>A4</t>
  </si>
  <si>
    <t>EK 049</t>
  </si>
  <si>
    <t>6E 023</t>
  </si>
  <si>
    <t>D7</t>
  </si>
  <si>
    <t>E36</t>
  </si>
  <si>
    <t>FZ 777</t>
  </si>
  <si>
    <t>D5</t>
  </si>
  <si>
    <t>W5 061</t>
  </si>
  <si>
    <t>A5</t>
  </si>
  <si>
    <t>EK 261</t>
  </si>
  <si>
    <t>C23</t>
  </si>
  <si>
    <t>E3</t>
  </si>
  <si>
    <t>B737/9-MAX</t>
  </si>
  <si>
    <t>C43</t>
  </si>
  <si>
    <t>E4</t>
  </si>
  <si>
    <t>D6</t>
  </si>
  <si>
    <t>EK 835</t>
  </si>
  <si>
    <t>FZ 1304</t>
  </si>
  <si>
    <t>C38</t>
  </si>
  <si>
    <t>B787/8</t>
  </si>
  <si>
    <t>C52</t>
  </si>
  <si>
    <t>G12</t>
  </si>
  <si>
    <t>D10</t>
  </si>
  <si>
    <t>Ready_To_EmergencyStop</t>
  </si>
  <si>
    <t>EmergencyStop_To_Ready</t>
  </si>
  <si>
    <t>EK 733</t>
  </si>
  <si>
    <t>EK 725</t>
  </si>
  <si>
    <t>B3</t>
  </si>
  <si>
    <t>EK 652</t>
  </si>
  <si>
    <t>C64</t>
  </si>
  <si>
    <t>QR 1014</t>
  </si>
  <si>
    <t>EK 503</t>
  </si>
  <si>
    <t>G4</t>
  </si>
  <si>
    <t>EK 372</t>
  </si>
  <si>
    <t>B16</t>
  </si>
  <si>
    <t>E21</t>
  </si>
  <si>
    <t>Unknown_To_Unknown</t>
  </si>
  <si>
    <t>F10</t>
  </si>
  <si>
    <t>EK 205</t>
  </si>
  <si>
    <t>G8</t>
  </si>
  <si>
    <t>EK 546</t>
  </si>
  <si>
    <t>C62</t>
  </si>
  <si>
    <t>6E 063</t>
  </si>
  <si>
    <t>F6</t>
  </si>
  <si>
    <t>EK 029</t>
  </si>
  <si>
    <t>EK 953</t>
  </si>
  <si>
    <t>C63</t>
  </si>
  <si>
    <t>6E 065</t>
  </si>
  <si>
    <t>B25</t>
  </si>
  <si>
    <t>C42</t>
  </si>
  <si>
    <t>Active_To_Unknown</t>
  </si>
  <si>
    <t>Unknown_To_Active</t>
  </si>
  <si>
    <t>A1</t>
  </si>
  <si>
    <t>A10</t>
  </si>
  <si>
    <t>E9L</t>
  </si>
  <si>
    <t>G6</t>
  </si>
  <si>
    <t>E33</t>
  </si>
  <si>
    <t>B24</t>
  </si>
  <si>
    <t>C31</t>
  </si>
  <si>
    <t>XY 201</t>
  </si>
  <si>
    <t>Scheduled_To_Ready</t>
  </si>
  <si>
    <t>EK 569</t>
  </si>
  <si>
    <t>F26</t>
  </si>
  <si>
    <t>Q3</t>
  </si>
  <si>
    <t>E10L</t>
  </si>
  <si>
    <t>EK 783</t>
  </si>
  <si>
    <t>J2 011</t>
  </si>
  <si>
    <t>Scheduled_To_ReqInterlock</t>
  </si>
  <si>
    <t>ReqInterlock_To_Active</t>
  </si>
  <si>
    <t>EK 352</t>
  </si>
  <si>
    <t>6E 068</t>
  </si>
  <si>
    <t>EK 412</t>
  </si>
  <si>
    <t>C20</t>
  </si>
  <si>
    <t>6E 095</t>
  </si>
  <si>
    <t>SV 566</t>
  </si>
  <si>
    <t>C50</t>
  </si>
  <si>
    <t>G5</t>
  </si>
  <si>
    <t>SG 011</t>
  </si>
  <si>
    <t>C56</t>
  </si>
  <si>
    <t>MS 901</t>
  </si>
  <si>
    <t>PK 283</t>
  </si>
  <si>
    <t>EK 358</t>
  </si>
  <si>
    <t>A340/3</t>
  </si>
  <si>
    <t>C41</t>
  </si>
  <si>
    <t>EK 206</t>
  </si>
  <si>
    <t>IA 123</t>
  </si>
  <si>
    <t>EK 091</t>
  </si>
  <si>
    <t>SV 567</t>
  </si>
  <si>
    <t>E5</t>
  </si>
  <si>
    <t>IX 345</t>
  </si>
  <si>
    <t>E14</t>
  </si>
  <si>
    <t>XY 501</t>
  </si>
  <si>
    <t>WY 603</t>
  </si>
  <si>
    <t>E12R</t>
  </si>
  <si>
    <t>FZ 1209</t>
  </si>
  <si>
    <t>Active_To_EmergencyStop</t>
  </si>
  <si>
    <t>A321-NEO</t>
  </si>
  <si>
    <t>ME 426</t>
  </si>
  <si>
    <t>C27</t>
  </si>
  <si>
    <t>E19</t>
  </si>
  <si>
    <t>6E 056</t>
  </si>
  <si>
    <t>E12L</t>
  </si>
  <si>
    <t>D2</t>
  </si>
  <si>
    <t>G3</t>
  </si>
  <si>
    <t>WY 604</t>
  </si>
  <si>
    <t>EK 031</t>
  </si>
  <si>
    <t>E9R</t>
  </si>
  <si>
    <t>EK 527</t>
  </si>
  <si>
    <t>F20</t>
  </si>
  <si>
    <t>EK 004</t>
  </si>
  <si>
    <t>EK 803</t>
  </si>
  <si>
    <t>Q7</t>
  </si>
  <si>
    <t>SV 596</t>
  </si>
  <si>
    <t>E8</t>
  </si>
  <si>
    <t>C21</t>
  </si>
  <si>
    <t>FZ 718</t>
  </si>
  <si>
    <t>EK 828</t>
  </si>
  <si>
    <t>HY 333</t>
  </si>
  <si>
    <t>EK 657</t>
  </si>
  <si>
    <t>C22</t>
  </si>
  <si>
    <t>C18</t>
  </si>
  <si>
    <t>EK 838</t>
  </si>
  <si>
    <t>IA 124</t>
  </si>
  <si>
    <t>WY 610</t>
  </si>
  <si>
    <t>S11</t>
  </si>
  <si>
    <t>C39</t>
  </si>
  <si>
    <t>FZ 658</t>
  </si>
  <si>
    <t>EK 565</t>
  </si>
  <si>
    <t>EK 904</t>
  </si>
  <si>
    <t>FZ 1208</t>
  </si>
  <si>
    <t>EK 375</t>
  </si>
  <si>
    <t>EK 507</t>
  </si>
  <si>
    <t>EK 511</t>
  </si>
  <si>
    <t>EK 222</t>
  </si>
  <si>
    <t>C37</t>
  </si>
  <si>
    <t>XY 202</t>
  </si>
  <si>
    <t>KC 897</t>
  </si>
  <si>
    <t>G16</t>
  </si>
  <si>
    <t>B747/8</t>
  </si>
  <si>
    <t>UPS 003</t>
  </si>
  <si>
    <t>EK 601</t>
  </si>
  <si>
    <t>FZ 572</t>
  </si>
  <si>
    <t>Q6</t>
  </si>
  <si>
    <t>GF 505</t>
  </si>
  <si>
    <t>S9</t>
  </si>
  <si>
    <t>AI 937</t>
  </si>
  <si>
    <t>EK 502</t>
  </si>
  <si>
    <t>EK 162</t>
  </si>
  <si>
    <t>EK 117</t>
  </si>
  <si>
    <t>C45</t>
  </si>
  <si>
    <t>PA 110</t>
  </si>
  <si>
    <t>EK 379</t>
  </si>
  <si>
    <t>EK 415</t>
  </si>
  <si>
    <t>FZ 8706</t>
  </si>
  <si>
    <t>G19</t>
  </si>
  <si>
    <t>Q4</t>
  </si>
  <si>
    <t>F19</t>
  </si>
  <si>
    <t>AI 933</t>
  </si>
  <si>
    <t>Scheduled_To_EmergencyStop</t>
  </si>
  <si>
    <t>EK 817</t>
  </si>
  <si>
    <t>IX 615</t>
  </si>
  <si>
    <t>E24</t>
  </si>
  <si>
    <t>FZ 171</t>
  </si>
  <si>
    <t>C46</t>
  </si>
  <si>
    <t>Q5</t>
  </si>
  <si>
    <t>D3</t>
  </si>
  <si>
    <t>EK 019</t>
  </si>
  <si>
    <t>EK 009</t>
  </si>
  <si>
    <t>XY 205</t>
  </si>
  <si>
    <t>PA 111</t>
  </si>
  <si>
    <t>EK 109</t>
  </si>
  <si>
    <t>Docking_To_Active</t>
  </si>
  <si>
    <t>EK 528</t>
  </si>
  <si>
    <t>WY 609</t>
  </si>
  <si>
    <t>FZ 1550</t>
  </si>
  <si>
    <t>EK 923</t>
  </si>
  <si>
    <t>EK 583</t>
  </si>
  <si>
    <t>B787/9</t>
  </si>
  <si>
    <t>ET 602</t>
  </si>
  <si>
    <t>G7</t>
  </si>
  <si>
    <t>EK 514</t>
  </si>
  <si>
    <t>EK 2646</t>
  </si>
  <si>
    <t>EK 538</t>
  </si>
  <si>
    <t>A3</t>
  </si>
  <si>
    <t>IX 141</t>
  </si>
  <si>
    <t>S8</t>
  </si>
  <si>
    <t>Q8</t>
  </si>
  <si>
    <t>C55</t>
  </si>
  <si>
    <t>6E 088</t>
  </si>
  <si>
    <t>GF 506</t>
  </si>
  <si>
    <t>SV 588</t>
  </si>
  <si>
    <t>EK 818</t>
  </si>
  <si>
    <t>EK 839</t>
  </si>
  <si>
    <t>J9 123</t>
  </si>
  <si>
    <t>EK 925</t>
  </si>
  <si>
    <t>IX 247</t>
  </si>
  <si>
    <t>6E 083</t>
  </si>
  <si>
    <t>FZ 717</t>
  </si>
  <si>
    <t>AI 915</t>
  </si>
  <si>
    <t>A330/3</t>
  </si>
  <si>
    <t>SV 554</t>
  </si>
  <si>
    <t>EK 958</t>
  </si>
  <si>
    <t>PA 410</t>
  </si>
  <si>
    <t>E7R</t>
  </si>
  <si>
    <t>IX 813</t>
  </si>
  <si>
    <t>E29</t>
  </si>
  <si>
    <t>EK 131</t>
  </si>
  <si>
    <t>B777/3</t>
  </si>
  <si>
    <t>E11R</t>
  </si>
  <si>
    <t>EK 449</t>
  </si>
  <si>
    <t>EK 336</t>
  </si>
  <si>
    <t>C24</t>
  </si>
  <si>
    <t>KU 673</t>
  </si>
  <si>
    <t>FX 008</t>
  </si>
  <si>
    <t>SG 017</t>
  </si>
  <si>
    <t>B777/2</t>
  </si>
  <si>
    <t>FX 009</t>
  </si>
  <si>
    <t>EK 524</t>
  </si>
  <si>
    <t>EK 241</t>
  </si>
  <si>
    <t>EK 230</t>
  </si>
  <si>
    <t>PR 658</t>
  </si>
  <si>
    <t>PA 411</t>
  </si>
  <si>
    <t>G22</t>
  </si>
  <si>
    <t>E16</t>
  </si>
  <si>
    <t>E7L</t>
  </si>
  <si>
    <t>Unknown_To_EmergencyStop</t>
  </si>
  <si>
    <t>EK 542</t>
  </si>
  <si>
    <t>S15</t>
  </si>
  <si>
    <t>B21</t>
  </si>
  <si>
    <t>C34</t>
  </si>
  <si>
    <t>E34</t>
  </si>
  <si>
    <t>G21</t>
  </si>
  <si>
    <t>IR 657</t>
  </si>
  <si>
    <t>E44</t>
  </si>
  <si>
    <t>EK 606</t>
  </si>
  <si>
    <t>S10</t>
  </si>
  <si>
    <t>F16</t>
  </si>
  <si>
    <t>F18</t>
  </si>
  <si>
    <t>B18</t>
  </si>
  <si>
    <t>C35</t>
  </si>
  <si>
    <t>G14</t>
  </si>
  <si>
    <t>E15</t>
  </si>
  <si>
    <t>EK 501</t>
  </si>
  <si>
    <t>E23</t>
  </si>
  <si>
    <t>C47</t>
  </si>
  <si>
    <t>B767/2</t>
  </si>
  <si>
    <t>E17</t>
  </si>
  <si>
    <t>C44</t>
  </si>
  <si>
    <t>G10</t>
  </si>
  <si>
    <t>C19</t>
  </si>
  <si>
    <t>G18</t>
  </si>
  <si>
    <t>EK 238</t>
  </si>
  <si>
    <t>C30</t>
  </si>
  <si>
    <t>S5</t>
  </si>
  <si>
    <t>C26</t>
  </si>
  <si>
    <t>S13</t>
  </si>
  <si>
    <t>E25</t>
  </si>
  <si>
    <t>E18</t>
  </si>
  <si>
    <t>B737/5</t>
  </si>
  <si>
    <t>C29</t>
  </si>
  <si>
    <t>6E 025</t>
  </si>
  <si>
    <t>FZ 710</t>
  </si>
  <si>
    <t>EK 347</t>
  </si>
  <si>
    <t>FZ 916</t>
  </si>
  <si>
    <t>EK 072</t>
  </si>
  <si>
    <t>EK 905</t>
  </si>
  <si>
    <t>EK 236</t>
  </si>
  <si>
    <t>6E 062</t>
  </si>
  <si>
    <t>EK 124</t>
  </si>
  <si>
    <t>EK 752</t>
  </si>
  <si>
    <t>EK 148</t>
  </si>
  <si>
    <t>EK 378</t>
  </si>
  <si>
    <t>SV 595</t>
  </si>
  <si>
    <t>EK 853</t>
  </si>
  <si>
    <t>AI 952</t>
  </si>
  <si>
    <t>EK 954</t>
  </si>
  <si>
    <t>EK 707</t>
  </si>
  <si>
    <t>EK 398</t>
  </si>
  <si>
    <t>AI 996</t>
  </si>
  <si>
    <t>QR 1015</t>
  </si>
  <si>
    <t>FZ 615</t>
  </si>
  <si>
    <t>FZ 8705</t>
  </si>
  <si>
    <t>EK 139</t>
  </si>
  <si>
    <t>XY 210</t>
  </si>
  <si>
    <t>EK 543</t>
  </si>
  <si>
    <t>EK 977</t>
  </si>
  <si>
    <t>EK 338</t>
  </si>
  <si>
    <t>EK 332</t>
  </si>
  <si>
    <t>EK 215</t>
  </si>
  <si>
    <t>EK 656</t>
  </si>
  <si>
    <t>EK 384</t>
  </si>
  <si>
    <t>EK 147</t>
  </si>
  <si>
    <t>EmergencyStop_To_Unknown</t>
  </si>
  <si>
    <t>FZ 911</t>
  </si>
  <si>
    <t>J4 201</t>
  </si>
  <si>
    <t>EK 544</t>
  </si>
  <si>
    <t>FZ 1927</t>
  </si>
  <si>
    <t>EK 141</t>
  </si>
  <si>
    <t>FZ 1227</t>
  </si>
  <si>
    <t>FZ 143</t>
  </si>
  <si>
    <t>EK 090</t>
  </si>
  <si>
    <t>LX 243</t>
  </si>
  <si>
    <t>EK 134</t>
  </si>
  <si>
    <t>KQ 310</t>
  </si>
  <si>
    <t>EK 018</t>
  </si>
  <si>
    <t>EK 046</t>
  </si>
  <si>
    <t>FZ 912</t>
  </si>
  <si>
    <t>EK 160</t>
  </si>
  <si>
    <t>EK 762</t>
  </si>
  <si>
    <t>EK 152</t>
  </si>
  <si>
    <t>EK 150</t>
  </si>
  <si>
    <t>EK 513</t>
  </si>
  <si>
    <t>XY 215</t>
  </si>
  <si>
    <t>EK 086</t>
  </si>
  <si>
    <t>EK 529</t>
  </si>
  <si>
    <t>TK 762</t>
  </si>
  <si>
    <t>EK 132</t>
  </si>
  <si>
    <t>EK 714</t>
  </si>
  <si>
    <t>EK 140</t>
  </si>
  <si>
    <t>FZ 1798</t>
  </si>
  <si>
    <t>EK 048</t>
  </si>
  <si>
    <t>EK 076</t>
  </si>
  <si>
    <t>EK 431</t>
  </si>
  <si>
    <t>B737/4</t>
  </si>
  <si>
    <t>FZ 204</t>
  </si>
  <si>
    <t>EK 567</t>
  </si>
  <si>
    <t>EK 603</t>
  </si>
  <si>
    <t>EK 210</t>
  </si>
  <si>
    <t>EK 539</t>
  </si>
  <si>
    <t>EK 623</t>
  </si>
  <si>
    <t>ME 428</t>
  </si>
  <si>
    <t>XY 209</t>
  </si>
  <si>
    <t>FZ 172</t>
  </si>
  <si>
    <t>EK 032</t>
  </si>
  <si>
    <t>EK 319</t>
  </si>
  <si>
    <t>MS 910</t>
  </si>
  <si>
    <t>6E 1087</t>
  </si>
  <si>
    <t>ET 612</t>
  </si>
  <si>
    <t>PK 223</t>
  </si>
  <si>
    <t>SG 053</t>
  </si>
  <si>
    <t>EK 772</t>
  </si>
  <si>
    <t>GF 500</t>
  </si>
  <si>
    <t>KU 677</t>
  </si>
  <si>
    <t>EK 077</t>
  </si>
  <si>
    <t>EK 385</t>
  </si>
  <si>
    <t>FZ 1628</t>
  </si>
  <si>
    <t>6E 089</t>
  </si>
  <si>
    <t>FZ 756</t>
  </si>
  <si>
    <t>EK 071</t>
  </si>
  <si>
    <t>EK 317</t>
  </si>
  <si>
    <t>EK 704</t>
  </si>
  <si>
    <t>EK 366</t>
  </si>
  <si>
    <t>EK 335</t>
  </si>
  <si>
    <t>EK 784</t>
  </si>
  <si>
    <t>AI 912</t>
  </si>
  <si>
    <t>EK 359</t>
  </si>
  <si>
    <t>EK 764</t>
  </si>
  <si>
    <t>EK 188</t>
  </si>
  <si>
    <t>EK 924</t>
  </si>
  <si>
    <t>PA 210</t>
  </si>
  <si>
    <t>EK 413</t>
  </si>
  <si>
    <t>EK 788</t>
  </si>
  <si>
    <t>EK 836</t>
  </si>
  <si>
    <t>QR 1003</t>
  </si>
  <si>
    <t>EK 771</t>
  </si>
  <si>
    <t>KU 678</t>
  </si>
  <si>
    <t>F3 513</t>
  </si>
  <si>
    <t>FZ 212</t>
  </si>
  <si>
    <t>G8 057</t>
  </si>
  <si>
    <t>AI 951</t>
  </si>
  <si>
    <t>AI 983</t>
  </si>
  <si>
    <t>AI 995</t>
  </si>
  <si>
    <t>6E 067</t>
  </si>
  <si>
    <t>EK 730</t>
  </si>
  <si>
    <t>LH 630</t>
  </si>
  <si>
    <t>ES 262</t>
  </si>
  <si>
    <t>EK 040</t>
  </si>
  <si>
    <t>EK 158</t>
  </si>
  <si>
    <t>EK 016</t>
  </si>
  <si>
    <t>EK 002</t>
  </si>
  <si>
    <t>EK 142</t>
  </si>
  <si>
    <t>EK 122</t>
  </si>
  <si>
    <t>A330/9</t>
  </si>
  <si>
    <t>5J 014</t>
  </si>
  <si>
    <t>EK 060</t>
  </si>
  <si>
    <t>AF 662</t>
  </si>
  <si>
    <t>EK 822</t>
  </si>
  <si>
    <t>EK 860</t>
  </si>
  <si>
    <t>SG 005</t>
  </si>
  <si>
    <t>EK 801</t>
  </si>
  <si>
    <t>EK 724</t>
  </si>
  <si>
    <t>EK 815</t>
  </si>
  <si>
    <t>EK 585</t>
  </si>
  <si>
    <t>EK 653</t>
  </si>
  <si>
    <t>FZ 1450</t>
  </si>
  <si>
    <t>PK 203</t>
  </si>
  <si>
    <t>FZ 1782</t>
  </si>
  <si>
    <t>FZ 1570</t>
  </si>
  <si>
    <t>EK 705</t>
  </si>
  <si>
    <t>AI 911</t>
  </si>
  <si>
    <t>EK 721</t>
  </si>
  <si>
    <t>AF 655</t>
  </si>
  <si>
    <t>FZ 144</t>
  </si>
  <si>
    <t>FZ 745</t>
  </si>
  <si>
    <t>ET 600</t>
  </si>
  <si>
    <t>EK 414</t>
  </si>
  <si>
    <t>SV 598</t>
  </si>
  <si>
    <t>EK 650</t>
  </si>
  <si>
    <t>EK 030</t>
  </si>
  <si>
    <t>Docking_To_Error</t>
  </si>
  <si>
    <t>A350/1K</t>
  </si>
  <si>
    <t>QR 1002</t>
  </si>
  <si>
    <t>FZ 1830</t>
  </si>
  <si>
    <t>RJ 612</t>
  </si>
  <si>
    <t>EK 028</t>
  </si>
  <si>
    <t>B737/3</t>
  </si>
  <si>
    <t>J4 200</t>
  </si>
  <si>
    <t>EK 093</t>
  </si>
  <si>
    <t>FZ 1688</t>
  </si>
  <si>
    <t>EK 097</t>
  </si>
  <si>
    <t>FZ 1942</t>
  </si>
  <si>
    <t>FZ 1930</t>
  </si>
  <si>
    <t>EK 098</t>
  </si>
  <si>
    <t>EK 607</t>
  </si>
  <si>
    <t>EK 367</t>
  </si>
  <si>
    <t>EK 395</t>
  </si>
  <si>
    <t>EK 713</t>
  </si>
  <si>
    <t>EK 192</t>
  </si>
  <si>
    <t>FZ 1687</t>
  </si>
  <si>
    <t>alarms</t>
  </si>
  <si>
    <t>DXB</t>
  </si>
  <si>
    <t>SAM-1</t>
  </si>
  <si>
    <t>Safedock Connection Lost</t>
  </si>
  <si>
    <t>E37</t>
  </si>
  <si>
    <t>SAM-2</t>
  </si>
  <si>
    <t>SDK-24</t>
  </si>
  <si>
    <t>ApronBlocked</t>
  </si>
  <si>
    <t>SDK-21</t>
  </si>
  <si>
    <t>GateBlocked</t>
  </si>
  <si>
    <t>SAM-105</t>
  </si>
  <si>
    <t>Emergency Stop from OP Panel</t>
  </si>
  <si>
    <t>EK 602</t>
  </si>
  <si>
    <t>SDK-3</t>
  </si>
  <si>
    <t>AutoCalibrationError</t>
  </si>
  <si>
    <t>EK 225</t>
  </si>
  <si>
    <t>EK 005</t>
  </si>
  <si>
    <t>SDK-25</t>
  </si>
  <si>
    <t>Walktest required for All</t>
  </si>
  <si>
    <t>SAM-5</t>
  </si>
  <si>
    <t>Blocking Rules Unknown Aircraft Type: Configured aircraft type A350-800 for centerline C51 is unknown</t>
  </si>
  <si>
    <t>FZ 211</t>
  </si>
  <si>
    <t>EK 927</t>
  </si>
  <si>
    <t>EK 179</t>
  </si>
  <si>
    <t>SDK-12.5</t>
  </si>
  <si>
    <t>IDFailed - IdLostTrackCloseToStop</t>
  </si>
  <si>
    <t>EK 430</t>
  </si>
  <si>
    <t>GF 507</t>
  </si>
  <si>
    <t>EK 612</t>
  </si>
  <si>
    <t>6E 066</t>
  </si>
  <si>
    <t>SDK-14</t>
  </si>
  <si>
    <t>BridgeNotIn</t>
  </si>
  <si>
    <t>EK 448</t>
  </si>
  <si>
    <t>E31</t>
  </si>
  <si>
    <t>6E 084</t>
  </si>
  <si>
    <t>EK 568</t>
  </si>
  <si>
    <t>Blocking Rules Unknown Aircraft Type: Configured aircraft type BAE146 for centerline E44L is unknown</t>
  </si>
  <si>
    <t>Blocking Rules Unknown Aircraft Type: Configured aircraft type ATR72/600 for centerline E44L is unknown</t>
  </si>
  <si>
    <t>Blocking Rules Unknown Aircraft Type: Configured aircraft type E195/E2 for centerline E44L is unknown</t>
  </si>
  <si>
    <t>Blocking Rules Unknown Aircraft Type: Configured aircraft type BAE146 for centerline E44R is unknown</t>
  </si>
  <si>
    <t>Blocking Rules Unknown Aircraft Type: Configured aircraft type ATR72/600 for centerline E44R is unknown</t>
  </si>
  <si>
    <t>Blocking Rules Unknown Aircraft Type: Configured aircraft type E195/E2 for centerline E44R is unknown</t>
  </si>
  <si>
    <t>IR 611</t>
  </si>
  <si>
    <t>EK 089</t>
  </si>
  <si>
    <t>Total Dockings</t>
  </si>
  <si>
    <t>Successful dockings</t>
  </si>
  <si>
    <t>Apron</t>
  </si>
  <si>
    <t>Succesful Dockings</t>
  </si>
  <si>
    <t>Count of ID</t>
  </si>
  <si>
    <t>Row Labels</t>
  </si>
  <si>
    <t>Grand Total</t>
  </si>
  <si>
    <t>00</t>
  </si>
  <si>
    <t>01</t>
  </si>
  <si>
    <t>02</t>
  </si>
  <si>
    <t>03</t>
  </si>
  <si>
    <t>04</t>
  </si>
  <si>
    <t>05</t>
  </si>
  <si>
    <t>06</t>
  </si>
  <si>
    <t>07</t>
  </si>
  <si>
    <t>08</t>
  </si>
  <si>
    <t>09</t>
  </si>
  <si>
    <t>10</t>
  </si>
  <si>
    <t>11</t>
  </si>
  <si>
    <t>12</t>
  </si>
  <si>
    <t>13</t>
  </si>
  <si>
    <t>14</t>
  </si>
  <si>
    <t>15</t>
  </si>
  <si>
    <t>17</t>
  </si>
  <si>
    <t>18</t>
  </si>
  <si>
    <t>19</t>
  </si>
  <si>
    <t>20</t>
  </si>
  <si>
    <t>21</t>
  </si>
  <si>
    <t>22</t>
  </si>
  <si>
    <t>23</t>
  </si>
  <si>
    <t>Total Operational Errors</t>
  </si>
  <si>
    <t>Total Technical errors</t>
  </si>
  <si>
    <t>C:\Users\jamit\Desktop\Raw_data_for_2022-07-29.xlsx</t>
  </si>
  <si>
    <t>6E 065_2022-07-29T06x15x00</t>
  </si>
  <si>
    <t>A4 684_2022-07-29T01x40x00</t>
  </si>
  <si>
    <t>SSJ100/95</t>
  </si>
  <si>
    <t>A4 684</t>
  </si>
  <si>
    <t>FZ 619_2022-07-29T01x50x00</t>
  </si>
  <si>
    <t>FZ 619</t>
  </si>
  <si>
    <t>SV 566_2022-07-29T06x45x00</t>
  </si>
  <si>
    <t>EK 539_2022-07-29T01x55x00</t>
  </si>
  <si>
    <t>EK 623_2022-07-29T01x40x00</t>
  </si>
  <si>
    <t>IX 345_2022-07-29T07x50x00</t>
  </si>
  <si>
    <t>WY 604_2022-07-29T07x05x00</t>
  </si>
  <si>
    <t>EK 084_2022-07-29T02x10x00</t>
  </si>
  <si>
    <t>EK 084</t>
  </si>
  <si>
    <t>EK 906_2022-07-29T02x05x00</t>
  </si>
  <si>
    <t>EK 906</t>
  </si>
  <si>
    <t>HY 333_2022-07-29T07x00x00</t>
  </si>
  <si>
    <t>FZ 866_2022-07-29T07x20x00</t>
  </si>
  <si>
    <t>FZ 866</t>
  </si>
  <si>
    <t>EK 502_2022-07-29T09x00x00</t>
  </si>
  <si>
    <t>IA 127_2022-07-29T07x40x00</t>
  </si>
  <si>
    <t>IA 127</t>
  </si>
  <si>
    <t>XY 501_2022-07-29T07x10x00</t>
  </si>
  <si>
    <t>EK 613_2022-07-29T07x35x00</t>
  </si>
  <si>
    <t>EK 613</t>
  </si>
  <si>
    <t>TK 759_2022-07-29T07x00x00</t>
  </si>
  <si>
    <t>TK 759</t>
  </si>
  <si>
    <t>FX 5279_2022-07-29T06x55x00</t>
  </si>
  <si>
    <t>FX 5279</t>
  </si>
  <si>
    <t>EK 048_2022-07-29T02x40x00</t>
  </si>
  <si>
    <t>RJ 612_2022-07-29T02x15x00</t>
  </si>
  <si>
    <t>FZ 1757_2022-07-29T06x45x00</t>
  </si>
  <si>
    <t>FZ 1757</t>
  </si>
  <si>
    <t>EK 505_2022-07-29T07x40x00</t>
  </si>
  <si>
    <t>EK 413_2022-07-29T06x45x00</t>
  </si>
  <si>
    <t>EK 003</t>
  </si>
  <si>
    <t>EK 828_2022-07-29T07x40x00</t>
  </si>
  <si>
    <t>TK 762_2022-07-29T01x55x00</t>
  </si>
  <si>
    <t>FZ 1408_2022-07-29T01x45x00</t>
  </si>
  <si>
    <t>FZ 1408</t>
  </si>
  <si>
    <t>EK 653_2022-07-29T06x00x00</t>
  </si>
  <si>
    <t>EK 132_2022-07-29T02x00x00</t>
  </si>
  <si>
    <t>FX 5217_2022-07-29T07x15x00</t>
  </si>
  <si>
    <t>FX 5217</t>
  </si>
  <si>
    <t>J9 122_2022-07-29T06x50x00</t>
  </si>
  <si>
    <t>J9 122</t>
  </si>
  <si>
    <t>XY 219_2022-07-29T07x50x00</t>
  </si>
  <si>
    <t>XY 219</t>
  </si>
  <si>
    <t>ME 426_2022-07-29T07x45x00</t>
  </si>
  <si>
    <t>EK 032_2022-07-29T01x00x00</t>
  </si>
  <si>
    <t>FZ 1450_2022-07-29T02x10x00</t>
  </si>
  <si>
    <t>FZ 325_2022-07-29T02x00x00</t>
  </si>
  <si>
    <t>FZ 325</t>
  </si>
  <si>
    <t>FZ 8568_2022-07-29T07x10x00</t>
  </si>
  <si>
    <t>FZ 8568</t>
  </si>
  <si>
    <t>EK 562_2022-07-29T06x00x00</t>
  </si>
  <si>
    <t>EK 562</t>
  </si>
  <si>
    <t>EK 763_2022-07-29T05x55x00</t>
  </si>
  <si>
    <t>EK 763</t>
  </si>
  <si>
    <t>IX 142</t>
  </si>
  <si>
    <t>EK 205_2022-07-29T05x45x00</t>
  </si>
  <si>
    <t>SG 055_2022-07-29T06x10x00</t>
  </si>
  <si>
    <t>SG 055</t>
  </si>
  <si>
    <t>EK 215_2022-07-29T04x55x00</t>
  </si>
  <si>
    <t>FZ 046_2022-07-29T06x00x00</t>
  </si>
  <si>
    <t>FZ 046</t>
  </si>
  <si>
    <t>EK 714_2022-07-29T02x30x00</t>
  </si>
  <si>
    <t>EK 729_2022-07-29T05x55x00</t>
  </si>
  <si>
    <t>EK 729</t>
  </si>
  <si>
    <t>EK 372_2022-07-29T05x40x00</t>
  </si>
  <si>
    <t>W5 061_2022-07-29T05x30x00</t>
  </si>
  <si>
    <t>6E 1725_2022-07-29T06x10x00</t>
  </si>
  <si>
    <t>6E 1725</t>
  </si>
  <si>
    <t>EK 854_2022-07-29T02x20x00</t>
  </si>
  <si>
    <t>EK 854</t>
  </si>
  <si>
    <t>FZ 1789_2022-07-29T06x00x00</t>
  </si>
  <si>
    <t>FZ 1789</t>
  </si>
  <si>
    <t>EK 018_2022-07-29T06x20x00</t>
  </si>
  <si>
    <t>6E 095_2022-07-29T06x50x00</t>
  </si>
  <si>
    <t>EK 399_2022-07-29T02x36x00</t>
  </si>
  <si>
    <t>EK 703_2022-07-29T06x05x00</t>
  </si>
  <si>
    <t>EK 703</t>
  </si>
  <si>
    <t>GF 503_2022-07-29T06x20x00</t>
  </si>
  <si>
    <t>GF 503</t>
  </si>
  <si>
    <t>EK 806_2022-07-29T06x15x00</t>
  </si>
  <si>
    <t>EK 229_2022-07-29T05x55x00</t>
  </si>
  <si>
    <t>EK 229</t>
  </si>
  <si>
    <t>J9 121_2022-07-29T06x05x00</t>
  </si>
  <si>
    <t>J9 121</t>
  </si>
  <si>
    <t>EK 077_2022-07-29T04x45x00</t>
  </si>
  <si>
    <t>FZ 819_2022-07-29T06x00x00</t>
  </si>
  <si>
    <t>FZ 819</t>
  </si>
  <si>
    <t>EK 150_2022-07-29T02x30x00</t>
  </si>
  <si>
    <t>FZ 911_2022-07-29T06x00x00</t>
  </si>
  <si>
    <t>EK 133_2022-07-29T06x10x00</t>
  </si>
  <si>
    <t>EK 133</t>
  </si>
  <si>
    <t>IR 656_2022-07-29T06x40x00</t>
  </si>
  <si>
    <t>IR 656</t>
  </si>
  <si>
    <t>EK 660_2022-07-29T06x10x00</t>
  </si>
  <si>
    <t>EK 660</t>
  </si>
  <si>
    <t>EK 092_2022-07-29T02x25x00</t>
  </si>
  <si>
    <t>EK 086_2022-07-29T02x25x00</t>
  </si>
  <si>
    <t>XY 201_2022-07-29T06x45x00</t>
  </si>
  <si>
    <t>AH 4062_2022-07-29T04x15x00</t>
  </si>
  <si>
    <t>AH 4062</t>
  </si>
  <si>
    <t>EK 029_2022-07-29T05x40x00</t>
  </si>
  <si>
    <t>EK 392_2022-07-29T05x30x00</t>
  </si>
  <si>
    <t>EK 392</t>
  </si>
  <si>
    <t>EK 523_2022-07-29T03x05x00</t>
  </si>
  <si>
    <t>6E 063_2022-07-29T06x25x00</t>
  </si>
  <si>
    <t>EK 204_2022-07-29T06x40x00</t>
  </si>
  <si>
    <t>EK 533_2022-07-29T02x50x00</t>
  </si>
  <si>
    <t>MS 901_2022-07-29T06x00x00</t>
  </si>
  <si>
    <t>EK 181_2022-07-29T10x20x00</t>
  </si>
  <si>
    <t>EK 181</t>
  </si>
  <si>
    <t>EK 261_2022-07-29T05x05x00</t>
  </si>
  <si>
    <t>EK 406_2022-07-29T06x05x00</t>
  </si>
  <si>
    <t>EK 406</t>
  </si>
  <si>
    <t>EK 783_2022-07-29T06x20x00</t>
  </si>
  <si>
    <t>EK 395_2022-07-29T06x50x00</t>
  </si>
  <si>
    <t>EK 076_2022-07-29T02x35x00</t>
  </si>
  <si>
    <t>FZ 024_2022-07-29T06x35x00</t>
  </si>
  <si>
    <t>FZ 024</t>
  </si>
  <si>
    <t>EK 525_2022-07-29T02x40x00</t>
  </si>
  <si>
    <t>EK 525</t>
  </si>
  <si>
    <t>FZ 8196_2022-07-29T06x45x00</t>
  </si>
  <si>
    <t>FZ 8196</t>
  </si>
  <si>
    <t>QB 2210_2022-07-29T06x30x00</t>
  </si>
  <si>
    <t>QB 2210</t>
  </si>
  <si>
    <t>EK 004_2022-07-29T02x35x00</t>
  </si>
  <si>
    <t>UPS 012_2022-07-29T11x20x00</t>
  </si>
  <si>
    <t>EK 051</t>
  </si>
  <si>
    <t>EK 132_2022-07-30T03x20x00</t>
  </si>
  <si>
    <t>EK 704_2022-07-29T07x10x00</t>
  </si>
  <si>
    <t>FZ 1797_2022-07-29T06x20x00</t>
  </si>
  <si>
    <t>FZ 1797</t>
  </si>
  <si>
    <t>EK 085</t>
  </si>
  <si>
    <t>EK 111_2022-07-29T06x30x00</t>
  </si>
  <si>
    <t>EK 111</t>
  </si>
  <si>
    <t>WB 304_2022-07-29T06x00x00</t>
  </si>
  <si>
    <t>EK 723_2022-07-29T06x30x00</t>
  </si>
  <si>
    <t>EK 204_2022-07-29T03x50x00</t>
  </si>
  <si>
    <t>EK 637_2022-07-29T07x20x00</t>
  </si>
  <si>
    <t>EK 637</t>
  </si>
  <si>
    <t>FZ 1942_2022-07-29T02x50x00</t>
  </si>
  <si>
    <t>FZ 8504_2022-07-29T06x55x00</t>
  </si>
  <si>
    <t>FZ 8504</t>
  </si>
  <si>
    <t>EK 412_2022-07-29T06x15x00</t>
  </si>
  <si>
    <t>EK 543_2022-07-29T02x40x00</t>
  </si>
  <si>
    <t>EK 953_2022-07-29T11x10x00</t>
  </si>
  <si>
    <t>EK 775_2022-07-29T06x15x00</t>
  </si>
  <si>
    <t>EK 775</t>
  </si>
  <si>
    <t>FZ 898_2022-07-29T02x35x00</t>
  </si>
  <si>
    <t>FZ 898</t>
  </si>
  <si>
    <t>SV 591_2022-07-29T02x10x00</t>
  </si>
  <si>
    <t>SV 591</t>
  </si>
  <si>
    <t>ME 2427_2022-07-29T06x45x00</t>
  </si>
  <si>
    <t>ME 2427</t>
  </si>
  <si>
    <t>FZ 845_2022-07-29T07x15x00</t>
  </si>
  <si>
    <t>FZ 845</t>
  </si>
  <si>
    <t>EK 586_2022-07-29T06x30x00</t>
  </si>
  <si>
    <t>6E 022_2022-07-29T06x40x00</t>
  </si>
  <si>
    <t>RQ 911_2022-07-29T06x45x00</t>
  </si>
  <si>
    <t>RQ 911</t>
  </si>
  <si>
    <t>FX 5033_2022-07-29T07x15x00</t>
  </si>
  <si>
    <t>MD11</t>
  </si>
  <si>
    <t>FX 5033</t>
  </si>
  <si>
    <t>EK 222_2022-07-29T08x00x00</t>
  </si>
  <si>
    <t>EK 569_2022-07-29T02x50x00</t>
  </si>
  <si>
    <t>SV 563_2022-07-29T06x40x00</t>
  </si>
  <si>
    <t>SV 563</t>
  </si>
  <si>
    <t>EK 2551_2022-07-29T07x45x00</t>
  </si>
  <si>
    <t>EK 2551</t>
  </si>
  <si>
    <t>IX 435_2022-07-29T07x20x00</t>
  </si>
  <si>
    <t>IX 435</t>
  </si>
  <si>
    <t>EK 785_2022-07-29T06x50x00</t>
  </si>
  <si>
    <t>EK 785</t>
  </si>
  <si>
    <t>FZ 174_2022-07-29T02x45x00</t>
  </si>
  <si>
    <t>FZ 174</t>
  </si>
  <si>
    <t>PK 222_2022-07-29T06x45x00</t>
  </si>
  <si>
    <t>PK 222</t>
  </si>
  <si>
    <t>EK 413_2022-07-29T03x00x00</t>
  </si>
  <si>
    <t>GF 500_2022-07-29T00x15x00</t>
  </si>
  <si>
    <t>EK 152_2022-07-29T02x55x00</t>
  </si>
  <si>
    <t>EK 449_2022-07-29T00x30x00</t>
  </si>
  <si>
    <t>EK 385_2022-07-29T00x45x00</t>
  </si>
  <si>
    <t>EK 353_2022-07-29T00x15x00</t>
  </si>
  <si>
    <t>EK 353</t>
  </si>
  <si>
    <t>EK 241_2022-07-28T23x30x00</t>
  </si>
  <si>
    <t>EK 585_2022-07-29T00x30x00</t>
  </si>
  <si>
    <t>FZ 030_2022-07-29T00x05x00</t>
  </si>
  <si>
    <t>FZ 030</t>
  </si>
  <si>
    <t>EK 708_2022-07-29T00x20x00</t>
  </si>
  <si>
    <t>EK 071_2022-07-29T00x05x00</t>
  </si>
  <si>
    <t>EK 624_2022-07-29T00x00x00</t>
  </si>
  <si>
    <t>EK 624</t>
  </si>
  <si>
    <t>FZ 831_2022-07-29T04x15x00</t>
  </si>
  <si>
    <t>MD83</t>
  </si>
  <si>
    <t>SV 599_2022-07-29T00x20x00</t>
  </si>
  <si>
    <t>SV 599</t>
  </si>
  <si>
    <t>EK 317_2022-07-29T00x50x00</t>
  </si>
  <si>
    <t>KU 677_2022-07-29T00x35x00</t>
  </si>
  <si>
    <t>EK 118_2022-07-29T00x50x00</t>
  </si>
  <si>
    <t>EK 118</t>
  </si>
  <si>
    <t>MS 910_2022-07-28T23x55x00</t>
  </si>
  <si>
    <t>EK 781_2022-07-29T00x00x00</t>
  </si>
  <si>
    <t>EK 781</t>
  </si>
  <si>
    <t>EK 658_2022-07-29T00x20x00</t>
  </si>
  <si>
    <t>EK 658</t>
  </si>
  <si>
    <t>EK 704_2022-07-29T00x25x00</t>
  </si>
  <si>
    <t>EK 395_2022-07-29T01x05x00</t>
  </si>
  <si>
    <t>EK 356_2022-07-29T00x10x00</t>
  </si>
  <si>
    <t>EK 356</t>
  </si>
  <si>
    <t>6E 089_2022-07-29T00x25x00</t>
  </si>
  <si>
    <t>FZ 1688_2022-07-29T01x00x00</t>
  </si>
  <si>
    <t>FZ 160_2022-07-29T00x15x00</t>
  </si>
  <si>
    <t>FZ 160</t>
  </si>
  <si>
    <t>FZ 344_2022-07-29T02x50x00</t>
  </si>
  <si>
    <t>FZ 344</t>
  </si>
  <si>
    <t>EK 619_2022-07-29T00x55x00</t>
  </si>
  <si>
    <t>EK 619</t>
  </si>
  <si>
    <t>ET 612_2022-07-29T00x10x00</t>
  </si>
  <si>
    <t>UPS 076_2022-07-29T00x15x00</t>
  </si>
  <si>
    <t>UPS 076</t>
  </si>
  <si>
    <t>EK 761_2022-07-29T00x05x00</t>
  </si>
  <si>
    <t>EK 761</t>
  </si>
  <si>
    <t>EK 323_2022-07-29T00x25x00</t>
  </si>
  <si>
    <t>EK 431_2022-07-29T01x10x00</t>
  </si>
  <si>
    <t>EK 366_2022-07-29T00x35x00</t>
  </si>
  <si>
    <t>FZ 1628_2022-07-29T00x20x00</t>
  </si>
  <si>
    <t>EK 776_2022-07-29T01x00x00</t>
  </si>
  <si>
    <t>EK 776</t>
  </si>
  <si>
    <t>KL 419_2022-07-29T00x40x00</t>
  </si>
  <si>
    <t>KL 419</t>
  </si>
  <si>
    <t>EK 399_2022-07-29T01x00x00</t>
  </si>
  <si>
    <t>EK 399</t>
  </si>
  <si>
    <t>EK 784_2022-07-29T01x00x00</t>
  </si>
  <si>
    <t>PC 741_2022-07-29T00x50x00</t>
  </si>
  <si>
    <t>PC 741</t>
  </si>
  <si>
    <t>FZ 332_2022-07-29T00x40x00</t>
  </si>
  <si>
    <t>FZ 332</t>
  </si>
  <si>
    <t>J4 201_2022-07-29T00x20x00</t>
  </si>
  <si>
    <t>EK 139_2022-07-29T04x35x00</t>
  </si>
  <si>
    <t>EK 607_2022-07-28T23x45x00</t>
  </si>
  <si>
    <t>FZ 340_2022-07-29T01x00x00</t>
  </si>
  <si>
    <t>FZ 340</t>
  </si>
  <si>
    <t>AI 912_2022-07-29T01x00x00</t>
  </si>
  <si>
    <t>6E 1769_2022-07-29T01x00x00</t>
  </si>
  <si>
    <t>6E 1769</t>
  </si>
  <si>
    <t>FZ 835_2022-07-29T00x45x00</t>
  </si>
  <si>
    <t>FZ 835</t>
  </si>
  <si>
    <t>A4 683_2022-07-29T00x40x00</t>
  </si>
  <si>
    <t>A4 683</t>
  </si>
  <si>
    <t>ET 601_2022-07-29T00x25x00</t>
  </si>
  <si>
    <t>ET 601</t>
  </si>
  <si>
    <t>EK 771_2022-07-29T01x45x00</t>
  </si>
  <si>
    <t>BI 008_2022-07-29T00x45x00</t>
  </si>
  <si>
    <t>BI 008</t>
  </si>
  <si>
    <t>PA 210_2022-07-29T01x25x00</t>
  </si>
  <si>
    <t>FG 402_2022-07-29T01x00x00</t>
  </si>
  <si>
    <t>FG 402</t>
  </si>
  <si>
    <t>ES 701_2022-07-29T01x10x00</t>
  </si>
  <si>
    <t>B767/3</t>
  </si>
  <si>
    <t>ES 701</t>
  </si>
  <si>
    <t>FZ 716_2022-07-29T00x55x00</t>
  </si>
  <si>
    <t>FZ 716</t>
  </si>
  <si>
    <t>EK 335_2022-07-29T00x30x00</t>
  </si>
  <si>
    <t>EK 607_2022-07-29T05x00x00</t>
  </si>
  <si>
    <t>EK 407_2022-07-29T01x15x00</t>
  </si>
  <si>
    <t>EK 764_2022-07-29T01x25x00</t>
  </si>
  <si>
    <t>5J 019_2022-07-29T00x55x00</t>
  </si>
  <si>
    <t>5J 019</t>
  </si>
  <si>
    <t>EK 359_2022-07-29T01x30x00</t>
  </si>
  <si>
    <t>FZ 1808_2022-07-29T00x55x00</t>
  </si>
  <si>
    <t>FZ 1808</t>
  </si>
  <si>
    <t>FZ 657_2022-07-28T23x45x00</t>
  </si>
  <si>
    <t>FZ 657</t>
  </si>
  <si>
    <t>EK 421_2022-07-29T01x20x00</t>
  </si>
  <si>
    <t>FZ 1782_2022-07-29T01x30x00</t>
  </si>
  <si>
    <t>IX 194_2022-07-29T01x30x00</t>
  </si>
  <si>
    <t>IX 194</t>
  </si>
  <si>
    <t>FZ 1830_2022-07-29T01x25x00</t>
  </si>
  <si>
    <t>SG 054_2022-07-29T01x00x00</t>
  </si>
  <si>
    <t>SG 054</t>
  </si>
  <si>
    <t>EK 188_2022-07-29T01x55x00</t>
  </si>
  <si>
    <t>EK 413_2022-07-29T01x40x00</t>
  </si>
  <si>
    <t>QR 1003_2022-07-29T01x30x00</t>
  </si>
  <si>
    <t>EK 836_2022-07-29T02x00x00</t>
  </si>
  <si>
    <t>FZ 632_2022-07-29T01x15x00</t>
  </si>
  <si>
    <t>FZ 632</t>
  </si>
  <si>
    <t>EK 032_2022-07-29T01x50x00</t>
  </si>
  <si>
    <t>EK 867_2022-07-29T01x55x00</t>
  </si>
  <si>
    <t>FZ 840_2022-07-29T00x50x00</t>
  </si>
  <si>
    <t>FZ 840</t>
  </si>
  <si>
    <t>KU 678_2022-07-29T01x35x00</t>
  </si>
  <si>
    <t>FZ 8195_2022-07-29T01x15x00</t>
  </si>
  <si>
    <t>FZ 8195</t>
  </si>
  <si>
    <t>EK 977_2022-07-29T21x20x00</t>
  </si>
  <si>
    <t>A300/6</t>
  </si>
  <si>
    <t>SV 590_2022-07-29T00x45x00</t>
  </si>
  <si>
    <t>SV 590</t>
  </si>
  <si>
    <t>FZ 8946_2022-07-29T02x00x00</t>
  </si>
  <si>
    <t>FZ 8946</t>
  </si>
  <si>
    <t>EK 794_2022-07-29T01x10x00</t>
  </si>
  <si>
    <t>EK 794</t>
  </si>
  <si>
    <t>EK 722_2022-07-29T01x45x00</t>
  </si>
  <si>
    <t>EK 722</t>
  </si>
  <si>
    <t>EK 385_2022-07-29T01x35x00</t>
  </si>
  <si>
    <t>EK 385_2022-07-29T02x10x00</t>
  </si>
  <si>
    <t>EK 126_2022-07-29T02x15x00</t>
  </si>
  <si>
    <t>EK 126</t>
  </si>
  <si>
    <t>6E 1088_2022-07-29T01x45x00</t>
  </si>
  <si>
    <t>6E 1088</t>
  </si>
  <si>
    <t>EK 501_2022-07-29T02x00x00</t>
  </si>
  <si>
    <t>MS 911_2022-07-29T01x20x00</t>
  </si>
  <si>
    <t>MS 911</t>
  </si>
  <si>
    <t>EK 788_2022-07-29T01x50x00</t>
  </si>
  <si>
    <t>EK 513_2022-07-29T02x20x00</t>
  </si>
  <si>
    <t>EK 347_2022-07-29T22x20x00</t>
  </si>
  <si>
    <t>FZ 1745_2022-07-29T05x05x00</t>
  </si>
  <si>
    <t>FZ 391_2022-07-29T01x50x00</t>
  </si>
  <si>
    <t>FZ 391</t>
  </si>
  <si>
    <t>EK 858_2022-07-30T05x00x00</t>
  </si>
  <si>
    <t>ET 613_2022-07-29T01x40x00</t>
  </si>
  <si>
    <t>ET 613</t>
  </si>
  <si>
    <t>EK 652_2022-07-29T05x45x00</t>
  </si>
  <si>
    <t>EK 649_2022-07-29T02x00x00</t>
  </si>
  <si>
    <t>PA 811_2022-07-29T02x45x00</t>
  </si>
  <si>
    <t>PA 811</t>
  </si>
  <si>
    <t>EK 816_2022-07-29T03x00x00</t>
  </si>
  <si>
    <t>FZ 171_2022-07-29T10x25x00</t>
  </si>
  <si>
    <t>EK 926_2022-07-29T03x10x00</t>
  </si>
  <si>
    <t>FZ 446_2022-07-29T02x50x00</t>
  </si>
  <si>
    <t>FZ 446</t>
  </si>
  <si>
    <t>EK 819_2022-07-29T02x55x00</t>
  </si>
  <si>
    <t>EK 819</t>
  </si>
  <si>
    <t>EK 805_2022-07-29T02x55x00</t>
  </si>
  <si>
    <t>EK 506_2022-07-29T05x30x00</t>
  </si>
  <si>
    <t>EK 824_2022-07-29T02x50x00</t>
  </si>
  <si>
    <t>EK 824</t>
  </si>
  <si>
    <t>XY 215_2022-07-29T03x20x00</t>
  </si>
  <si>
    <t>EK 132_2022-07-29T03x30x00</t>
  </si>
  <si>
    <t>FZ 045_2022-07-29T03x00x00</t>
  </si>
  <si>
    <t>FZ 045</t>
  </si>
  <si>
    <t>FZ 918_2022-07-29T03x05x00</t>
  </si>
  <si>
    <t>FZ 023_2022-07-29T03x15x00</t>
  </si>
  <si>
    <t>FZ 023</t>
  </si>
  <si>
    <t>EK 038_2022-07-29T03x55x00</t>
  </si>
  <si>
    <t>FZ 341_2022-07-29T02x45x00</t>
  </si>
  <si>
    <t>FZ 341</t>
  </si>
  <si>
    <t>FZ 1819_2022-07-29T03x00x00</t>
  </si>
  <si>
    <t>FZ 1819</t>
  </si>
  <si>
    <t>EK 827_2022-07-29T03x15x00</t>
  </si>
  <si>
    <t>FZ 330_2022-07-28T21x10x00</t>
  </si>
  <si>
    <t>EK 010_2022-07-29T03x35x00</t>
  </si>
  <si>
    <t>FZ 1549_2022-07-29T03x05x00</t>
  </si>
  <si>
    <t>FZ 1549</t>
  </si>
  <si>
    <t>EK 161_2022-07-29T03x15x00</t>
  </si>
  <si>
    <t>EK 797_2022-07-29T03x45x00</t>
  </si>
  <si>
    <t>EK 797</t>
  </si>
  <si>
    <t>EK 191_2022-07-29T03x25x00</t>
  </si>
  <si>
    <t>EK 191</t>
  </si>
  <si>
    <t>EK 020_2022-07-29T03x25x00</t>
  </si>
  <si>
    <t>EK 159_2022-07-29T03x25x00</t>
  </si>
  <si>
    <t>EK 159</t>
  </si>
  <si>
    <t>EK 017_2022-07-29T03x25x00</t>
  </si>
  <si>
    <t>EK 017</t>
  </si>
  <si>
    <t>EK 358_2022-07-29T06x45x00</t>
  </si>
  <si>
    <t>FZ 1695_2022-07-29T03x10x00</t>
  </si>
  <si>
    <t>FZ 1695</t>
  </si>
  <si>
    <t>EK 702_2022-07-29T03x10x00</t>
  </si>
  <si>
    <t>EK 702</t>
  </si>
  <si>
    <t>FZ 053_2022-07-29T03x00x00</t>
  </si>
  <si>
    <t>FZ 053</t>
  </si>
  <si>
    <t>EK 978_2022-07-29T03x15x00</t>
  </si>
  <si>
    <t>FZ 438_2022-07-29T02x20x00</t>
  </si>
  <si>
    <t>FZ 438</t>
  </si>
  <si>
    <t>FZ 8625_2022-07-29T03x00x00</t>
  </si>
  <si>
    <t>FZ 8625</t>
  </si>
  <si>
    <t>FZ 333_2022-07-29T03x30x00</t>
  </si>
  <si>
    <t>FZ 333</t>
  </si>
  <si>
    <t>EK 530_2022-07-29T23x20x00</t>
  </si>
  <si>
    <t>FZ 1722_2022-07-29T03x25x00</t>
  </si>
  <si>
    <t>FZ 1501_2022-07-29T03x40x00</t>
  </si>
  <si>
    <t>FZ 1501</t>
  </si>
  <si>
    <t>EK 037_2022-07-29T10x55x00</t>
  </si>
  <si>
    <t>EK 037</t>
  </si>
  <si>
    <t>EK 123_2022-07-29T06x45x00</t>
  </si>
  <si>
    <t>EK 123</t>
  </si>
  <si>
    <t>EK 751_2022-07-29T03x30x00</t>
  </si>
  <si>
    <t>FZ 865_2022-07-29T03x40x00</t>
  </si>
  <si>
    <t>FZ 865</t>
  </si>
  <si>
    <t>FZ 1787_2022-07-29T03x35x00</t>
  </si>
  <si>
    <t>FZ 1787</t>
  </si>
  <si>
    <t>FZ 1304_2022-07-29T04x20x00</t>
  </si>
  <si>
    <t>EK 001_2022-07-29T03x45x00</t>
  </si>
  <si>
    <t>EK 006_2022-07-29T04x05x00</t>
  </si>
  <si>
    <t>EK 006</t>
  </si>
  <si>
    <t>GF 501_2022-07-29T04x00x00</t>
  </si>
  <si>
    <t>EK 957_2022-07-29T03x30x00</t>
  </si>
  <si>
    <t>EK 957</t>
  </si>
  <si>
    <t>EK 232_2022-07-29T04x10x00</t>
  </si>
  <si>
    <t>EK 235_2022-07-29T05x55x00</t>
  </si>
  <si>
    <t>EK 235</t>
  </si>
  <si>
    <t>FZ 756_2022-07-29T03x30x00</t>
  </si>
  <si>
    <t>EK 141_2022-07-29T03x40x00</t>
  </si>
  <si>
    <t>ES 269_2022-07-29T04x30x00</t>
  </si>
  <si>
    <t>ES 269</t>
  </si>
  <si>
    <t>FZ 1750_2022-07-29T03x05x00</t>
  </si>
  <si>
    <t>FZ 1750</t>
  </si>
  <si>
    <t>FZ 338_2022-07-29T03x50x00</t>
  </si>
  <si>
    <t>FZ 338</t>
  </si>
  <si>
    <t>EK 039_2022-07-29T03x50x00</t>
  </si>
  <si>
    <t>EK 039</t>
  </si>
  <si>
    <t>6E 056_2022-07-29T07x25x00</t>
  </si>
  <si>
    <t>EK 795_2022-07-29T03x55x00</t>
  </si>
  <si>
    <t>EK 795</t>
  </si>
  <si>
    <t>TK 763_2022-07-29T03x40x00</t>
  </si>
  <si>
    <t>EK 529_2022-07-29T04x10x00</t>
  </si>
  <si>
    <t>FZ 916_2022-07-29T03x50x00</t>
  </si>
  <si>
    <t>EK 787_2022-07-29T03x30x00</t>
  </si>
  <si>
    <t>EK 600_2022-07-29T03x50x00</t>
  </si>
  <si>
    <t>EK 109_2022-07-29T04x00x00</t>
  </si>
  <si>
    <t>EK 2551_2022-07-29T04x00x00</t>
  </si>
  <si>
    <t>FZ 1462_2022-07-29T04x10x00</t>
  </si>
  <si>
    <t>FZ 1462</t>
  </si>
  <si>
    <t>RJ 613_2022-07-29T03x00x00</t>
  </si>
  <si>
    <t>RJ 613</t>
  </si>
  <si>
    <t>EK 818_2022-07-29T03x55x00</t>
  </si>
  <si>
    <t>FZ 847_2022-07-29T03x50x00</t>
  </si>
  <si>
    <t>FZ 847</t>
  </si>
  <si>
    <t>EK 782_2022-07-29T03x25x00</t>
  </si>
  <si>
    <t>EK 782</t>
  </si>
  <si>
    <t>EK 942_2022-07-29T03x50x00</t>
  </si>
  <si>
    <t>EK 942</t>
  </si>
  <si>
    <t>EK 015_2022-07-29T04x00x00</t>
  </si>
  <si>
    <t>EK 147_2022-07-29T04x05x00</t>
  </si>
  <si>
    <t>XY 216_2022-07-29T04x20x00</t>
  </si>
  <si>
    <t>EK 927_2022-07-29T04x15x00</t>
  </si>
  <si>
    <t>EK 027_2022-07-29T03x50x00</t>
  </si>
  <si>
    <t>EK 923_2022-07-29T11x15x00</t>
  </si>
  <si>
    <t>EK 185_2022-07-29T04x15x00</t>
  </si>
  <si>
    <t>EK 185</t>
  </si>
  <si>
    <t>FZ 734_2022-07-28T15x05x00</t>
  </si>
  <si>
    <t>EK 854_2022-07-29T03x40x00</t>
  </si>
  <si>
    <t>FZ 370_2022-07-28T09x20x00</t>
  </si>
  <si>
    <t>FZ 370</t>
  </si>
  <si>
    <t>ES 268_2022-07-29T09x45x00</t>
  </si>
  <si>
    <t>EK 818_2022-07-29T04x40x00</t>
  </si>
  <si>
    <t>EK 012_2022-07-29T04x55x00</t>
  </si>
  <si>
    <t>EK 012</t>
  </si>
  <si>
    <t>FZ 717_2022-07-29T04x00x00</t>
  </si>
  <si>
    <t>EK 012_2022-07-29T04x10x00</t>
  </si>
  <si>
    <t>EK 045_2022-07-29T04x25x00</t>
  </si>
  <si>
    <t>FZ 831</t>
  </si>
  <si>
    <t>EK 179_2022-07-29T04x10x00</t>
  </si>
  <si>
    <t>EK 516_2022-07-29T05x50x00</t>
  </si>
  <si>
    <t>EK 516</t>
  </si>
  <si>
    <t>EK 048_2022-07-29T04x20x00</t>
  </si>
  <si>
    <t>EK 089_2022-07-29T04x30x00</t>
  </si>
  <si>
    <t>FZ 8213_2022-07-29T04x30x00</t>
  </si>
  <si>
    <t>FZ 8213</t>
  </si>
  <si>
    <t>FZ 204_2022-07-28T20x30x00</t>
  </si>
  <si>
    <t>6E 026_2022-07-29T05x10x00</t>
  </si>
  <si>
    <t>EK 151_2022-07-29T04x20x00</t>
  </si>
  <si>
    <t>EK 151</t>
  </si>
  <si>
    <t>EK 904_2022-07-29T04x45x00</t>
  </si>
  <si>
    <t>EK 448_2022-07-29T04x30x00</t>
  </si>
  <si>
    <t>EK 073_2022-07-29T04x20x00</t>
  </si>
  <si>
    <t>EK 073</t>
  </si>
  <si>
    <t>FZ 539_2022-07-29T04x30x00</t>
  </si>
  <si>
    <t>FZ 539</t>
  </si>
  <si>
    <t>FZ 1465_2022-07-29T04x10x00</t>
  </si>
  <si>
    <t>FZ 1465</t>
  </si>
  <si>
    <t>FX 5040_2022-07-29T12x15x00</t>
  </si>
  <si>
    <t>EK 048_2022-07-29T05x00x00</t>
  </si>
  <si>
    <t>EK 201_2022-07-29T04x30x00</t>
  </si>
  <si>
    <t>EK 201</t>
  </si>
  <si>
    <t>EK 087_2022-07-29T04x40x00</t>
  </si>
  <si>
    <t>EK 087</t>
  </si>
  <si>
    <t>EK 157_2022-07-29T04x40x00</t>
  </si>
  <si>
    <t>GF 502_2022-07-29T05x30x00</t>
  </si>
  <si>
    <t>EK 730_2022-07-27T20x42x00</t>
  </si>
  <si>
    <t>WY 603_2022-07-29T05x25x00</t>
  </si>
  <si>
    <t>EK 747_2022-07-29T04x45x00</t>
  </si>
  <si>
    <t>EK 747</t>
  </si>
  <si>
    <t>EK 219_2022-07-29T04x55x00</t>
  </si>
  <si>
    <t>EK 219</t>
  </si>
  <si>
    <t>EK 237_2022-07-29T04x15x00</t>
  </si>
  <si>
    <t>SV 562_2022-07-29T05x25x00</t>
  </si>
  <si>
    <t>SV 562</t>
  </si>
  <si>
    <t>ME 2426_2022-07-29T05x25x00</t>
  </si>
  <si>
    <t>ME 2426</t>
  </si>
  <si>
    <t>EK 049_2022-07-29T04x50x00</t>
  </si>
  <si>
    <t>EK 183_2022-07-29T04x20x00</t>
  </si>
  <si>
    <t>EK 183</t>
  </si>
  <si>
    <t>FZ 714_2022-07-29T05x00x00</t>
  </si>
  <si>
    <t>FZ 714</t>
  </si>
  <si>
    <t>FZ 001_2022-07-29T04x45x00</t>
  </si>
  <si>
    <t>FZ 001</t>
  </si>
  <si>
    <t>EK 316_2022-07-29T23x00x00</t>
  </si>
  <si>
    <t>EK 707_2022-07-29T04x55x00</t>
  </si>
  <si>
    <t>FZ 225_2022-07-29T03x30x00</t>
  </si>
  <si>
    <t>FZ 225</t>
  </si>
  <si>
    <t>EK 533_2022-07-29T05x55x00</t>
  </si>
  <si>
    <t>FZ 585_2022-07-29T05x00x00</t>
  </si>
  <si>
    <t>FZ 585</t>
  </si>
  <si>
    <t>6E 023_2022-07-29T05x40x00</t>
  </si>
  <si>
    <t>EK 334_2022-07-29T05x10x00</t>
  </si>
  <si>
    <t>EK 334</t>
  </si>
  <si>
    <t>SG 006_2022-07-29T06x50x00</t>
  </si>
  <si>
    <t>SG 006</t>
  </si>
  <si>
    <t>3S 513_2022-07-29T05x50x00</t>
  </si>
  <si>
    <t>3S 513</t>
  </si>
  <si>
    <t>EK 173_2022-07-29T05x10x00</t>
  </si>
  <si>
    <t>EK 173</t>
  </si>
  <si>
    <t>FZ 761_2022-07-29T05x15x00</t>
  </si>
  <si>
    <t>FZ 761</t>
  </si>
  <si>
    <t>EK 094_2022-07-29T04x40x00</t>
  </si>
  <si>
    <t>EK 094</t>
  </si>
  <si>
    <t>FZ 611_2022-07-29T05x05x00</t>
  </si>
  <si>
    <t>FZ 611</t>
  </si>
  <si>
    <t>PK 283_2022-07-29T05x45x00</t>
  </si>
  <si>
    <t>FZ 8706_2022-07-29T04x15x00</t>
  </si>
  <si>
    <t>EK 127_2022-07-29T04x55x00</t>
  </si>
  <si>
    <t>EK 127</t>
  </si>
  <si>
    <t>EK 209_2022-07-29T06x50x00</t>
  </si>
  <si>
    <t>EK 352_2022-07-29T05x20x00</t>
  </si>
  <si>
    <t>EK 097_2022-07-29T05x10x00</t>
  </si>
  <si>
    <t>EK 031_2022-07-29T07x25x00</t>
  </si>
  <si>
    <t>EK 572_2022-07-29T09x05x00</t>
  </si>
  <si>
    <t>EK 572</t>
  </si>
  <si>
    <t>EK 093_2022-07-29T05x30x00</t>
  </si>
  <si>
    <t>EK 506</t>
  </si>
  <si>
    <t>FX 5217_2022-07-29T06x00x00</t>
  </si>
  <si>
    <t>SG 011_2022-07-29T05x50x00</t>
  </si>
  <si>
    <t>FZ 751_2022-07-29T05x15x00</t>
  </si>
  <si>
    <t>FZ 751</t>
  </si>
  <si>
    <t>EK 713_2022-07-29T05x25x00</t>
  </si>
  <si>
    <t>EK 719_2022-07-29T05x35x00</t>
  </si>
  <si>
    <t>EK 719</t>
  </si>
  <si>
    <t>EK 725_2022-07-29T05x30x00</t>
  </si>
  <si>
    <t>FZ 1407_2022-07-29T13x35x00</t>
  </si>
  <si>
    <t>EK 211_2022-07-29T05x35x00</t>
  </si>
  <si>
    <t>EK 211</t>
  </si>
  <si>
    <t>EK 793_2022-07-29T05x45x00</t>
  </si>
  <si>
    <t>EK 793</t>
  </si>
  <si>
    <t>FZ 1209_2022-07-29T05x45x00</t>
  </si>
  <si>
    <t>EK 225_2022-07-29T05x10x00</t>
  </si>
  <si>
    <t>FZ 745_2022-07-29T05x40x00</t>
  </si>
  <si>
    <t>FZ 1569_2022-07-29T05x20x00</t>
  </si>
  <si>
    <t>FZ 1569</t>
  </si>
  <si>
    <t>EK 149_2022-07-29T10x45x00</t>
  </si>
  <si>
    <t>EK 149</t>
  </si>
  <si>
    <t>FZ 843_2022-07-29T15x15x00</t>
  </si>
  <si>
    <t>FZ 859_2022-07-29T07x25x00</t>
  </si>
  <si>
    <t>FZ 859</t>
  </si>
  <si>
    <t>FZ 711_2022-07-29T07x00x00</t>
  </si>
  <si>
    <t>FZ 711</t>
  </si>
  <si>
    <t>EK 625_2022-07-29T08x00x00</t>
  </si>
  <si>
    <t>EK 625</t>
  </si>
  <si>
    <t>FZ 317_2022-07-29T07x35x00</t>
  </si>
  <si>
    <t>FZ 317</t>
  </si>
  <si>
    <t>AI 933_2022-07-29T08x10x00</t>
  </si>
  <si>
    <t>J2 011_2022-07-29T07x55x00</t>
  </si>
  <si>
    <t>XY 202_2022-07-29T07x35x00</t>
  </si>
  <si>
    <t>SV 596_2022-07-29T08x00x00</t>
  </si>
  <si>
    <t>EK 337_2022-07-29T08x10x00</t>
  </si>
  <si>
    <t>EK 337</t>
  </si>
  <si>
    <t>EK 346_2022-07-29T23x10x00</t>
  </si>
  <si>
    <t>IR 611_2022-07-29T07x40x00</t>
  </si>
  <si>
    <t>3S 513_2022-07-29T07x50x00</t>
  </si>
  <si>
    <t>MS 902_2022-07-29T07x00x00</t>
  </si>
  <si>
    <t>MS 902</t>
  </si>
  <si>
    <t>GF 504_2022-07-29T08x05x00</t>
  </si>
  <si>
    <t>GF 504</t>
  </si>
  <si>
    <t>EK 527_2022-07-29T08x10x00</t>
  </si>
  <si>
    <t>FZ 054_2022-07-29T07x25x00</t>
  </si>
  <si>
    <t>FZ 054</t>
  </si>
  <si>
    <t>EK 546_2022-07-29T10x50x00</t>
  </si>
  <si>
    <t>W5 060_2022-07-29T07x45x00</t>
  </si>
  <si>
    <t>W5 060</t>
  </si>
  <si>
    <t>EK 323_2022-07-29T07x50x00</t>
  </si>
  <si>
    <t>FZ 836_2022-07-29T07x50x00</t>
  </si>
  <si>
    <t>FZ 836</t>
  </si>
  <si>
    <t>FZ 8747_2022-07-29T07x55x00</t>
  </si>
  <si>
    <t>FZ 8747</t>
  </si>
  <si>
    <t>6E 068_2022-07-29T07x50x00</t>
  </si>
  <si>
    <t>RQ 912_2022-07-29T07x45x00</t>
  </si>
  <si>
    <t>RQ 912</t>
  </si>
  <si>
    <t>KU 671_2022-07-29T08x10x00</t>
  </si>
  <si>
    <t>KU 671</t>
  </si>
  <si>
    <t>QB 2203_2022-07-29T07x45x00</t>
  </si>
  <si>
    <t>QB 2203</t>
  </si>
  <si>
    <t>EK 051_2022-07-29T12x30x00</t>
  </si>
  <si>
    <t>A320/2</t>
  </si>
  <si>
    <t>IRB 9720_2022-07-29T08x05x00</t>
  </si>
  <si>
    <t>IRB 9720</t>
  </si>
  <si>
    <t>FX 5170_2022-07-29T08x40x00</t>
  </si>
  <si>
    <t>FX 5170</t>
  </si>
  <si>
    <t>EK 657_2022-07-29T08x15x00</t>
  </si>
  <si>
    <t>AH 4063_2022-07-29T05x50x00</t>
  </si>
  <si>
    <t>AH 4063</t>
  </si>
  <si>
    <t>SV 567_2022-07-29T08x10x00</t>
  </si>
  <si>
    <t>EK 803_2022-07-29T12x00x00</t>
  </si>
  <si>
    <t>EK 820_2022-07-29T08x30x00</t>
  </si>
  <si>
    <t>EK 820</t>
  </si>
  <si>
    <t>FZ 002_2022-07-29T08x15x00</t>
  </si>
  <si>
    <t>FZ 002</t>
  </si>
  <si>
    <t>EK 565_2022-07-29T08x45x00</t>
  </si>
  <si>
    <t>FZ 1687_2022-07-29T07x35x00</t>
  </si>
  <si>
    <t>EK 748_2022-07-29T21x25x00</t>
  </si>
  <si>
    <t>EK 131_2022-07-29T12x15x00</t>
  </si>
  <si>
    <t>IA 123_2022-07-29T08x45x00</t>
  </si>
  <si>
    <t>XY 502_2022-07-29T08x00x00</t>
  </si>
  <si>
    <t>XY 502</t>
  </si>
  <si>
    <t>EK 838_2022-07-29T08x40x00</t>
  </si>
  <si>
    <t>EK 571_2022-07-29T09x10x00</t>
  </si>
  <si>
    <t>EK 571</t>
  </si>
  <si>
    <t>FZ 326_2022-07-29T08x40x00</t>
  </si>
  <si>
    <t>FZ 326</t>
  </si>
  <si>
    <t>FZ 8869_2022-07-29T08x00x00</t>
  </si>
  <si>
    <t>FZ 8869</t>
  </si>
  <si>
    <t>EK 511_2022-07-29T09x00x00</t>
  </si>
  <si>
    <t>IX 814_2022-07-29T08x20x00</t>
  </si>
  <si>
    <t>IX 814</t>
  </si>
  <si>
    <t>IX 383_2022-07-29T05x05x00</t>
  </si>
  <si>
    <t>IX 383</t>
  </si>
  <si>
    <t>FZ 1820_2022-07-29T08x25x00</t>
  </si>
  <si>
    <t>FZ 1820</t>
  </si>
  <si>
    <t>EK 125_2022-07-29T11x55x00</t>
  </si>
  <si>
    <t>EK 125</t>
  </si>
  <si>
    <t>EK 236_2022-07-29T08x35x00</t>
  </si>
  <si>
    <t>EK 706_2022-07-29T08x45x00</t>
  </si>
  <si>
    <t>EK 706</t>
  </si>
  <si>
    <t>EK 531_2022-07-29T08x55x00</t>
  </si>
  <si>
    <t>EK 531</t>
  </si>
  <si>
    <t>FZ 1354_2022-07-29T08x55x00</t>
  </si>
  <si>
    <t>FZ 1354</t>
  </si>
  <si>
    <t>FZ 1927_2022-07-29T08x25x00</t>
  </si>
  <si>
    <t>IA 128_2022-07-29T08x40x00</t>
  </si>
  <si>
    <t>IA 128</t>
  </si>
  <si>
    <t>FZ 342_2022-07-29T08x25x00</t>
  </si>
  <si>
    <t>FZ 342</t>
  </si>
  <si>
    <t>FZ 8605_2022-07-29T09x55x00</t>
  </si>
  <si>
    <t>ME 427_2022-07-29T08x45x00</t>
  </si>
  <si>
    <t>ME 427</t>
  </si>
  <si>
    <t>F3 505_2022-07-29T08x25x00</t>
  </si>
  <si>
    <t>F3 505</t>
  </si>
  <si>
    <t>XY 220_2022-07-29T08x40x00</t>
  </si>
  <si>
    <t>XY 220</t>
  </si>
  <si>
    <t>EK 085_2022-07-29T11x35x00</t>
  </si>
  <si>
    <t>W5 063_2022-07-29T08x30x00</t>
  </si>
  <si>
    <t>A310</t>
  </si>
  <si>
    <t>W5 063</t>
  </si>
  <si>
    <t>FZ 334_2022-07-29T08x50x00</t>
  </si>
  <si>
    <t>FZ 334</t>
  </si>
  <si>
    <t>FZ 1686_2022-07-29T08x35x00</t>
  </si>
  <si>
    <t>FZ 848_2022-07-29T08x50x00</t>
  </si>
  <si>
    <t>SG 058_2022-07-29T08x50x00</t>
  </si>
  <si>
    <t>SG 058</t>
  </si>
  <si>
    <t>EK 375_2022-07-29T09x00x00</t>
  </si>
  <si>
    <t>FZ 572_2022-07-29T08x35x00</t>
  </si>
  <si>
    <t>HY 334_2022-07-29T08x30x00</t>
  </si>
  <si>
    <t>HY 334</t>
  </si>
  <si>
    <t>FZ 733_2022-07-29T08x25x00</t>
  </si>
  <si>
    <t>FZ 733</t>
  </si>
  <si>
    <t>FZ 392_2022-07-29T09x05x00</t>
  </si>
  <si>
    <t>FZ 392</t>
  </si>
  <si>
    <t>IX 142_2022-07-29T08x50x00</t>
  </si>
  <si>
    <t>FZ 1208_2022-07-29T09x25x00</t>
  </si>
  <si>
    <t>UPS 003_2022-07-29T09x40x00</t>
  </si>
  <si>
    <t>EK 931_2022-07-29T08x50x00</t>
  </si>
  <si>
    <t>EK 931</t>
  </si>
  <si>
    <t>EK 545_2022-07-29T08x25x00</t>
  </si>
  <si>
    <t>EK 545</t>
  </si>
  <si>
    <t>GF 505_2022-07-29T08x55x00</t>
  </si>
  <si>
    <t>FZ 335_2022-07-29T08x25x00</t>
  </si>
  <si>
    <t>FZ 335</t>
  </si>
  <si>
    <t>J2 012_2022-07-29T09x10x00</t>
  </si>
  <si>
    <t>J2 012</t>
  </si>
  <si>
    <t>FX 9876_2022-07-29T09x15x00</t>
  </si>
  <si>
    <t>FX 9876</t>
  </si>
  <si>
    <t>KU 672_2022-07-29T09x10x00</t>
  </si>
  <si>
    <t>KU 672</t>
  </si>
  <si>
    <t>FX 5040_2022-07-29T09x00x00</t>
  </si>
  <si>
    <t>FX 5040</t>
  </si>
  <si>
    <t>EK 046_2022-07-29T09x10x00</t>
  </si>
  <si>
    <t>FZ 591_2022-07-29T09x10x00</t>
  </si>
  <si>
    <t>FZ 591</t>
  </si>
  <si>
    <t>FZ 749_2022-07-29T08x50x00</t>
  </si>
  <si>
    <t>FZ 749</t>
  </si>
  <si>
    <t>AI 937_2022-07-29T09x45x00</t>
  </si>
  <si>
    <t>EK 601_2022-07-29T09x20x00</t>
  </si>
  <si>
    <t>FZ 885_2022-07-29T09x10x00</t>
  </si>
  <si>
    <t>FZ 885</t>
  </si>
  <si>
    <t>EK 409_2022-07-29T09x10x00</t>
  </si>
  <si>
    <t>EK 583_2022-07-29T09x05x00</t>
  </si>
  <si>
    <t>SV 597_2022-07-29T09x30x00</t>
  </si>
  <si>
    <t>SV 597</t>
  </si>
  <si>
    <t>F3 506_2022-07-29T09x25x00</t>
  </si>
  <si>
    <t>F3 506</t>
  </si>
  <si>
    <t>FX 5279_2022-07-29T09x30x00</t>
  </si>
  <si>
    <t>IRB 9723_2022-07-29T09x30x00</t>
  </si>
  <si>
    <t>IRB 9723</t>
  </si>
  <si>
    <t>EK 793_2022-07-30T05x45x00</t>
  </si>
  <si>
    <t>IA 124_2022-07-29T09x45x00</t>
  </si>
  <si>
    <t>FX 009_2022-07-29T09x40x00</t>
  </si>
  <si>
    <t>FZ 658_2022-07-29T08x35x00</t>
  </si>
  <si>
    <t>KC 897_2022-07-29T08x55x00</t>
  </si>
  <si>
    <t>EK 602_2022-07-29T14x00x00</t>
  </si>
  <si>
    <t>AI 934_2022-07-29T09x35x00</t>
  </si>
  <si>
    <t>AI 934</t>
  </si>
  <si>
    <t>EK 566_2022-07-29T09x45x00</t>
  </si>
  <si>
    <t>FZ 1227_2022-07-29T09x45x00</t>
  </si>
  <si>
    <t>EK 659_2022-07-29T10x15x00</t>
  </si>
  <si>
    <t>EK 415_2022-07-29T10x10x00</t>
  </si>
  <si>
    <t>FX 9821_2022-07-29T09x55x00</t>
  </si>
  <si>
    <t>FX 9821</t>
  </si>
  <si>
    <t>FZ 8214_2022-07-29T10x20x00</t>
  </si>
  <si>
    <t>FZ 8214</t>
  </si>
  <si>
    <t>ES 268</t>
  </si>
  <si>
    <t>FZ 863_2022-07-29T09x35x00</t>
  </si>
  <si>
    <t>FZ 863</t>
  </si>
  <si>
    <t>W5 062_2022-07-29T10x00x00</t>
  </si>
  <si>
    <t>W5 062</t>
  </si>
  <si>
    <t>FZ 1075_2022-07-29T09x45x00</t>
  </si>
  <si>
    <t>FZ 1075</t>
  </si>
  <si>
    <t>IX 192_2022-07-29T06x05x00</t>
  </si>
  <si>
    <t>IX 192</t>
  </si>
  <si>
    <t>FX 9839_2022-07-29T10x30x00</t>
  </si>
  <si>
    <t>FX 9839</t>
  </si>
  <si>
    <t>KC 898_2022-07-29T09x55x00</t>
  </si>
  <si>
    <t>KC 898</t>
  </si>
  <si>
    <t>SV 558_2022-07-29T10x30x00</t>
  </si>
  <si>
    <t>SV 558</t>
  </si>
  <si>
    <t>FZ 583_2022-07-29T09x50x00</t>
  </si>
  <si>
    <t>FZ 583</t>
  </si>
  <si>
    <t>FZ 8605</t>
  </si>
  <si>
    <t>FZ 1941_2022-07-29T18x10x00</t>
  </si>
  <si>
    <t>EK 903_2022-07-29T10x05x00</t>
  </si>
  <si>
    <t>EK 903</t>
  </si>
  <si>
    <t>FZ 573_2022-07-29T09x50x00</t>
  </si>
  <si>
    <t>FZ 573</t>
  </si>
  <si>
    <t>FZ 883_2022-07-29T10x10x00</t>
  </si>
  <si>
    <t>FZ 883</t>
  </si>
  <si>
    <t>FZ 226_2022-07-29T09x10x00</t>
  </si>
  <si>
    <t>FZ 226</t>
  </si>
  <si>
    <t>SG 023_2022-07-29T10x35x00</t>
  </si>
  <si>
    <t>SG 023</t>
  </si>
  <si>
    <t>EK 533_2022-07-29T10x00x00</t>
  </si>
  <si>
    <t>FZ 862_2022-07-29T10x40x00</t>
  </si>
  <si>
    <t>FZ 862</t>
  </si>
  <si>
    <t>EK 033_2022-07-29T10x30x00</t>
  </si>
  <si>
    <t>EK 033</t>
  </si>
  <si>
    <t>EK 806_2022-07-29T10x45x00</t>
  </si>
  <si>
    <t>FZ 710_2022-07-29T10x50x00</t>
  </si>
  <si>
    <t>EK 733_2022-07-29T10x30x00</t>
  </si>
  <si>
    <t>EK 121_2022-07-29T10x20x00</t>
  </si>
  <si>
    <t>EK 121</t>
  </si>
  <si>
    <t>EK 958_2022-07-29T10x00x00</t>
  </si>
  <si>
    <t>FZ 059_2022-07-29T10x25x00</t>
  </si>
  <si>
    <t>FZ 059</t>
  </si>
  <si>
    <t>ES 262_2022-07-29T19x00x00</t>
  </si>
  <si>
    <t>EK 081_2022-07-29T10x35x00</t>
  </si>
  <si>
    <t>EK 081</t>
  </si>
  <si>
    <t>EK 019_2022-07-29T10x30x00</t>
  </si>
  <si>
    <t>EK 003_2022-07-29T10x15x00</t>
  </si>
  <si>
    <t>EK 057_2022-07-29T10x20x00</t>
  </si>
  <si>
    <t>EK 057</t>
  </si>
  <si>
    <t>FZ 825_2022-07-29T10x35x00</t>
  </si>
  <si>
    <t>FZ 825</t>
  </si>
  <si>
    <t>FZ 043_2022-07-29T10x45x00</t>
  </si>
  <si>
    <t>FZ 043</t>
  </si>
  <si>
    <t>FZ 8626_2022-07-29T10x30x00</t>
  </si>
  <si>
    <t>FZ 8626</t>
  </si>
  <si>
    <t>EK 083_2022-07-29T10x55x00</t>
  </si>
  <si>
    <t>EK 083</t>
  </si>
  <si>
    <t>EK 958_2022-07-29T11x05x00</t>
  </si>
  <si>
    <t>XY 205_2022-07-29T11x25x00</t>
  </si>
  <si>
    <t>EK 614_2022-07-29T17x05x00</t>
  </si>
  <si>
    <t>EK 614</t>
  </si>
  <si>
    <t>UPS 012_2022-07-29T09x30x00</t>
  </si>
  <si>
    <t>UPS 012</t>
  </si>
  <si>
    <t>EK 061_2022-07-29T11x00x00</t>
  </si>
  <si>
    <t>EK 061</t>
  </si>
  <si>
    <t>EK 075_2022-07-29T10x40x00</t>
  </si>
  <si>
    <t>EK 075</t>
  </si>
  <si>
    <t>FZ 033_2022-07-29T10x25x00</t>
  </si>
  <si>
    <t>FZ 033</t>
  </si>
  <si>
    <t>EK 009_2022-07-29T10x55x00</t>
  </si>
  <si>
    <t>EK 395_2022-07-29T07x40x00</t>
  </si>
  <si>
    <t>FX 6076_2022-07-29T11x10x00</t>
  </si>
  <si>
    <t>FX 6076</t>
  </si>
  <si>
    <t>FZ 021_2022-07-29T10x35x00</t>
  </si>
  <si>
    <t>FZ 021</t>
  </si>
  <si>
    <t>FZ 718_2022-07-29T11x15x00</t>
  </si>
  <si>
    <t>FZ 615_2022-07-29T09x55x00</t>
  </si>
  <si>
    <t>EK 528_2022-07-29T11x05x00</t>
  </si>
  <si>
    <t>IX 141_2022-07-29T11x55x00</t>
  </si>
  <si>
    <t>IX 615_2022-07-29T12x00x00</t>
  </si>
  <si>
    <t>EK 060_2022-07-29T11x24x00</t>
  </si>
  <si>
    <t>EK 606_2022-07-29T17x35x00</t>
  </si>
  <si>
    <t>FZ 1550_2022-07-29T11x20x00</t>
  </si>
  <si>
    <t>EK 221_2022-07-29T22x50x00</t>
  </si>
  <si>
    <t>FZ 893_2022-07-29T10x45x00</t>
  </si>
  <si>
    <t>FZ 893</t>
  </si>
  <si>
    <t>SEP 723_2022-07-29T11x30x00</t>
  </si>
  <si>
    <t>SEP 723</t>
  </si>
  <si>
    <t>PK 203_2022-07-29T11x15x00</t>
  </si>
  <si>
    <t>EK 047_2022-07-29T11x20x00</t>
  </si>
  <si>
    <t>EK 047</t>
  </si>
  <si>
    <t>EK 857_2022-07-29T10x55x00</t>
  </si>
  <si>
    <t>EK 857</t>
  </si>
  <si>
    <t>AI 938_2022-07-29T10x45x00</t>
  </si>
  <si>
    <t>AI 938</t>
  </si>
  <si>
    <t>GF 506_2022-07-29T12x10x00</t>
  </si>
  <si>
    <t>PA 810_2022-07-29T11x55x00</t>
  </si>
  <si>
    <t>PA 810</t>
  </si>
  <si>
    <t>EK 095_2022-07-29T11x45x00</t>
  </si>
  <si>
    <t>EK 095</t>
  </si>
  <si>
    <t>WY 609_2022-07-29T11x40x00</t>
  </si>
  <si>
    <t>6E 088_2022-07-29T12x05x00</t>
  </si>
  <si>
    <t>FZ 832_2022-07-29T11x15x00</t>
  </si>
  <si>
    <t>EK 514_2022-07-29T11x25x00</t>
  </si>
  <si>
    <t>FZ 1829_2022-07-29T11x35x00</t>
  </si>
  <si>
    <t>FZ 1829</t>
  </si>
  <si>
    <t>ET 602_2022-07-29T11x45x00</t>
  </si>
  <si>
    <t>FX 9839_2022-07-29T11x45x00</t>
  </si>
  <si>
    <t>FZ 813_2022-07-29T10x55x00</t>
  </si>
  <si>
    <t>FZ 813</t>
  </si>
  <si>
    <t>EK 005_2022-07-29T11x45x00</t>
  </si>
  <si>
    <t>KU 674</t>
  </si>
  <si>
    <t>FX 5032_2022-07-29T12x05x00</t>
  </si>
  <si>
    <t>FX 5032</t>
  </si>
  <si>
    <t>FZ 8274_2022-07-29T11x30x00</t>
  </si>
  <si>
    <t>FZ 8274</t>
  </si>
  <si>
    <t>EK 612_2022-07-29T23x20x00</t>
  </si>
  <si>
    <t>EK 091_2022-07-29T11x45x00</t>
  </si>
  <si>
    <t>J9 123_2022-07-29T12x00x00</t>
  </si>
  <si>
    <t>SV 559_2022-07-29T12x00x00</t>
  </si>
  <si>
    <t>SV 559</t>
  </si>
  <si>
    <t>QB 2202_2022-07-29T10x35x00</t>
  </si>
  <si>
    <t>QB 2202</t>
  </si>
  <si>
    <t>FZ 017_2022-07-29T11x45x00</t>
  </si>
  <si>
    <t>FZ 017</t>
  </si>
  <si>
    <t>SV 588_2022-07-29T11x55x00</t>
  </si>
  <si>
    <t>FZ 846_2022-07-29T12x15x00</t>
  </si>
  <si>
    <t>FZ 846</t>
  </si>
  <si>
    <t>EK 508_2022-07-29T12x05x00</t>
  </si>
  <si>
    <t>EK 508</t>
  </si>
  <si>
    <t>EK 517_2022-07-29T15x10x00</t>
  </si>
  <si>
    <t>FZ 1781_2022-07-29T11x30x00</t>
  </si>
  <si>
    <t>FZ 1781</t>
  </si>
  <si>
    <t>EK 839_2022-07-29T12x10x00</t>
  </si>
  <si>
    <t>IX 247_2022-07-29T13x00x00</t>
  </si>
  <si>
    <t>SG 060_2022-07-29T12x10x00</t>
  </si>
  <si>
    <t>SG 060</t>
  </si>
  <si>
    <t>FZ 1696_2022-07-29T12x20x00</t>
  </si>
  <si>
    <t>FZ 1696</t>
  </si>
  <si>
    <t>XY 206_2022-07-29T12x15x00</t>
  </si>
  <si>
    <t>XY 206</t>
  </si>
  <si>
    <t>EK 103_2022-07-29T12x20x00</t>
  </si>
  <si>
    <t>EK 103</t>
  </si>
  <si>
    <t>FZ 211_2022-07-29T12x25x00</t>
  </si>
  <si>
    <t>IR 610_2022-07-29T12x50x00</t>
  </si>
  <si>
    <t>IR 610</t>
  </si>
  <si>
    <t>D3 188_2022-07-29T12x30x00</t>
  </si>
  <si>
    <t>D3 188</t>
  </si>
  <si>
    <t>SV 554_2022-07-29T12x45x00</t>
  </si>
  <si>
    <t>FZ 860_2022-07-29T12x35x00</t>
  </si>
  <si>
    <t>FZ 860</t>
  </si>
  <si>
    <t>EK 958_2022-07-29T12x55x00</t>
  </si>
  <si>
    <t>IX 193_2022-07-29T13x25x00</t>
  </si>
  <si>
    <t>IX 193</t>
  </si>
  <si>
    <t>6E 083_2022-07-29T12x55x00</t>
  </si>
  <si>
    <t>GF 507_2022-07-29T13x00x00</t>
  </si>
  <si>
    <t>SEP 724_2022-07-29T12x30x00</t>
  </si>
  <si>
    <t>SEP 724</t>
  </si>
  <si>
    <t>EK 584_2022-07-29T12x45x00</t>
  </si>
  <si>
    <t>EK 584</t>
  </si>
  <si>
    <t>EK 507_2022-07-29T13x20x00</t>
  </si>
  <si>
    <t>FZ 820_2022-07-29T12x25x00</t>
  </si>
  <si>
    <t>FZ 820</t>
  </si>
  <si>
    <t>IX 196_2022-07-29T13x00x00</t>
  </si>
  <si>
    <t>IX 196</t>
  </si>
  <si>
    <t>FZ 1449_2022-07-29T12x20x00</t>
  </si>
  <si>
    <t>FZ 1449</t>
  </si>
  <si>
    <t>FZ 027_2022-07-29T13x10x00</t>
  </si>
  <si>
    <t>FZ 027</t>
  </si>
  <si>
    <t>PA 211_2022-07-29T13x00x00</t>
  </si>
  <si>
    <t>PA 211</t>
  </si>
  <si>
    <t>EK 336_2022-07-29T13x00x00</t>
  </si>
  <si>
    <t>J9 124_2022-07-29T12x45x00</t>
  </si>
  <si>
    <t>J9 124</t>
  </si>
  <si>
    <t>QB 2211_2022-07-29T11x50x00</t>
  </si>
  <si>
    <t>QB 2211</t>
  </si>
  <si>
    <t>IX 346_2022-07-29T13x10x00</t>
  </si>
  <si>
    <t>IX 346</t>
  </si>
  <si>
    <t>WY 610_2022-07-29T13x15x00</t>
  </si>
  <si>
    <t>FZ 864_2022-07-29T13x20x00</t>
  </si>
  <si>
    <t>FZ 864</t>
  </si>
  <si>
    <t>ET 603_2022-07-29T13x10x00</t>
  </si>
  <si>
    <t>ET 603</t>
  </si>
  <si>
    <t>PK 204_2022-07-29T12x30x00</t>
  </si>
  <si>
    <t>PK 204</t>
  </si>
  <si>
    <t>SV 589_2022-07-29T13x30x00</t>
  </si>
  <si>
    <t>SV 589</t>
  </si>
  <si>
    <t>FZ 1721_2022-07-29T17x40x00</t>
  </si>
  <si>
    <t>B737/7-MAX</t>
  </si>
  <si>
    <t>PK 221_2022-07-29T13x40x00</t>
  </si>
  <si>
    <t>PK 221</t>
  </si>
  <si>
    <t>6E 072_2022-07-29T13x05x00</t>
  </si>
  <si>
    <t>6E 072</t>
  </si>
  <si>
    <t>UK 201_2022-07-29T14x15x00</t>
  </si>
  <si>
    <t>UK 201</t>
  </si>
  <si>
    <t>KU 673_2022-07-29T13x55x00</t>
  </si>
  <si>
    <t>FZ 1210_2022-07-29T13x45x00</t>
  </si>
  <si>
    <t>FZ 1210</t>
  </si>
  <si>
    <t>UPS 003_2022-07-29T13x50x00</t>
  </si>
  <si>
    <t>IR 657_2022-07-29T13x50x00</t>
  </si>
  <si>
    <t>FZ 1680_2022-07-29T14x30x00</t>
  </si>
  <si>
    <t>EK 9747_2022-07-29T13x55x00</t>
  </si>
  <si>
    <t>EK 9747</t>
  </si>
  <si>
    <t>EK 928_2022-07-29T13x35x00</t>
  </si>
  <si>
    <t>FZ 044_2022-07-29T13x45x00</t>
  </si>
  <si>
    <t>FZ 044</t>
  </si>
  <si>
    <t>FZ 318_2022-07-29T14x15x00</t>
  </si>
  <si>
    <t>FZ 318</t>
  </si>
  <si>
    <t>SEP 701_2022-07-29T13x00x00</t>
  </si>
  <si>
    <t>SEP 701</t>
  </si>
  <si>
    <t>FZ 1407</t>
  </si>
  <si>
    <t>GF 508_2022-07-29T14x10x00</t>
  </si>
  <si>
    <t>GF 508</t>
  </si>
  <si>
    <t>EK 230_2022-07-29T14x30x00</t>
  </si>
  <si>
    <t>FZ 257_2022-07-29T13x40x00</t>
  </si>
  <si>
    <t>FZ 257</t>
  </si>
  <si>
    <t>SQ 494_2022-07-29T14x25x00</t>
  </si>
  <si>
    <t>SQ 494</t>
  </si>
  <si>
    <t>EK 117_2022-07-29T14x00x00</t>
  </si>
  <si>
    <t>SG 017_2022-07-29T14x00x00</t>
  </si>
  <si>
    <t>FZ 1928_2022-07-29T13x50x00</t>
  </si>
  <si>
    <t>EK 517_2022-07-29T14x10x00</t>
  </si>
  <si>
    <t>EK 517</t>
  </si>
  <si>
    <t>PR 658_2022-07-29T14x05x00</t>
  </si>
  <si>
    <t>FZ 203_2022-07-29T13x30x00</t>
  </si>
  <si>
    <t>FZ 203</t>
  </si>
  <si>
    <t>FZ 1228_2022-07-29T14x30x00</t>
  </si>
  <si>
    <t>FZ 1228</t>
  </si>
  <si>
    <t>J4 621_2022-07-29T14x00x00</t>
  </si>
  <si>
    <t>J4 621</t>
  </si>
  <si>
    <t>SV 555_2022-07-29T14x15x00</t>
  </si>
  <si>
    <t>SV 555</t>
  </si>
  <si>
    <t>AI 915_2022-07-29T15x00x00</t>
  </si>
  <si>
    <t>FZ 336_2022-07-29T13x45x00</t>
  </si>
  <si>
    <t>FZ 336</t>
  </si>
  <si>
    <t>IX 612_2022-07-29T14x00x00</t>
  </si>
  <si>
    <t>IX 612</t>
  </si>
  <si>
    <t>EK 338_2022-07-29T14x35x00</t>
  </si>
  <si>
    <t>PA 410_2022-07-29T13x10x00</t>
  </si>
  <si>
    <t>EK 241_2022-07-29T23x30x00</t>
  </si>
  <si>
    <t>EK 713_2022-07-30T05x25x00</t>
  </si>
  <si>
    <t>EK 338_2022-07-28T22x59x00</t>
  </si>
  <si>
    <t>FZ 620_2022-07-29T14x10x00</t>
  </si>
  <si>
    <t>FZ 620</t>
  </si>
  <si>
    <t>EK 509_2022-07-29T14x00x00</t>
  </si>
  <si>
    <t>EK 509</t>
  </si>
  <si>
    <t>6E 084_2022-07-29T13x55x00</t>
  </si>
  <si>
    <t>FZ 867_2022-07-29T14x20x00</t>
  </si>
  <si>
    <t>FZ 867</t>
  </si>
  <si>
    <t>6E 021_2022-07-29T14x40x00</t>
  </si>
  <si>
    <t>6E 021</t>
  </si>
  <si>
    <t>EK 817_2022-07-29T14x35x00</t>
  </si>
  <si>
    <t>EK 236_2022-07-29T15x10x00</t>
  </si>
  <si>
    <t>IX 248_2022-07-29T14x25x00</t>
  </si>
  <si>
    <t>IX 248</t>
  </si>
  <si>
    <t>FZ 886_2022-07-29T14x45x00</t>
  </si>
  <si>
    <t>FZ 369</t>
  </si>
  <si>
    <t>PK 224_2022-07-29T14x40x00</t>
  </si>
  <si>
    <t>PK 224</t>
  </si>
  <si>
    <t>FZ 047_2022-07-29T14x35x00</t>
  </si>
  <si>
    <t>FZ 047</t>
  </si>
  <si>
    <t>SV 560_2022-07-29T15x00x00</t>
  </si>
  <si>
    <t>SV 560</t>
  </si>
  <si>
    <t>OV 247_2022-07-29T14x55x00</t>
  </si>
  <si>
    <t>OV 247</t>
  </si>
  <si>
    <t>EK 509_2022-07-29T14x45x00</t>
  </si>
  <si>
    <t>EK 346</t>
  </si>
  <si>
    <t>FZ 540_2022-07-29T14x50x00</t>
  </si>
  <si>
    <t>FZ 540</t>
  </si>
  <si>
    <t>XY 207_2022-07-29T14x55x00</t>
  </si>
  <si>
    <t>XY 207</t>
  </si>
  <si>
    <t>CA 663_2022-07-29T15x25x00</t>
  </si>
  <si>
    <t>CA 663</t>
  </si>
  <si>
    <t>FZ 060_2022-07-29T14x55x00</t>
  </si>
  <si>
    <t>FZ 060</t>
  </si>
  <si>
    <t>FZ 712_2022-07-29T14x40x00</t>
  </si>
  <si>
    <t>FZ 712</t>
  </si>
  <si>
    <t>EK 927_2022-07-30T04x15x00</t>
  </si>
  <si>
    <t>XY 507_2022-07-29T14x40x00</t>
  </si>
  <si>
    <t>XY 507</t>
  </si>
  <si>
    <t>KU 674_2022-07-29T14x55x00</t>
  </si>
  <si>
    <t>FZ 752_2022-07-29T15x05x00</t>
  </si>
  <si>
    <t>FZ 752</t>
  </si>
  <si>
    <t>FX 008_2022-07-30T00x55x00</t>
  </si>
  <si>
    <t>EK 238_2022-07-29T15x25x00</t>
  </si>
  <si>
    <t>GF 509_2022-07-29T15x10x00</t>
  </si>
  <si>
    <t>GF 509</t>
  </si>
  <si>
    <t>FZ 459_2022-07-29T14x30x00</t>
  </si>
  <si>
    <t>FZ 459</t>
  </si>
  <si>
    <t>EK 212_2022-07-29T15x45x00</t>
  </si>
  <si>
    <t>EK 212</t>
  </si>
  <si>
    <t>FZ 018_2022-07-29T15x15x00</t>
  </si>
  <si>
    <t>FZ 018</t>
  </si>
  <si>
    <t>EK 725_2022-07-30T05x30x00</t>
  </si>
  <si>
    <t>EK 563_2022-07-29T15x30x00</t>
  </si>
  <si>
    <t>UK 202_2022-07-29T15x15x00</t>
  </si>
  <si>
    <t>UK 202</t>
  </si>
  <si>
    <t>SEP 702_2022-07-29T14x00x00</t>
  </si>
  <si>
    <t>SEP 702</t>
  </si>
  <si>
    <t>KU 675_2022-07-29T15x55x00</t>
  </si>
  <si>
    <t>KU 675</t>
  </si>
  <si>
    <t>EK 044_2022-07-29T15x20x00</t>
  </si>
  <si>
    <t>EK 044</t>
  </si>
  <si>
    <t>EK 214_2022-07-29T15x25x00</t>
  </si>
  <si>
    <t>FZ 1749_2022-07-29T14x55x00</t>
  </si>
  <si>
    <t>FZ 1749</t>
  </si>
  <si>
    <t>PA 110_2022-07-29T15x40x00</t>
  </si>
  <si>
    <t>MS 905_2022-07-29T14x50x00</t>
  </si>
  <si>
    <t>MS 905</t>
  </si>
  <si>
    <t>SG 018_2022-07-29T15x00x00</t>
  </si>
  <si>
    <t>SG 018</t>
  </si>
  <si>
    <t>EK 012_2022-07-29T15x40x00</t>
  </si>
  <si>
    <t>FZ 917_2022-07-29T15x10x00</t>
  </si>
  <si>
    <t>FZ 917</t>
  </si>
  <si>
    <t>FZ 734_2022-07-29T15x10x00</t>
  </si>
  <si>
    <t>FZ 734</t>
  </si>
  <si>
    <t>W5 065_2022-07-29T15x30x00</t>
  </si>
  <si>
    <t>W5 065</t>
  </si>
  <si>
    <t>FZ 159_2022-07-29T14x55x00</t>
  </si>
  <si>
    <t>FZ 159</t>
  </si>
  <si>
    <t>EK 533_2022-07-29T11x15x00</t>
  </si>
  <si>
    <t>W6 2357_2022-07-29T15x30x00</t>
  </si>
  <si>
    <t>W6 2357</t>
  </si>
  <si>
    <t>EK 318_2022-07-29T22x40x00</t>
  </si>
  <si>
    <t>FZ 843</t>
  </si>
  <si>
    <t>EK 147_2022-07-30T04x05x00</t>
  </si>
  <si>
    <t>FZ 604_2022-07-29T16x00x00</t>
  </si>
  <si>
    <t>FZ 604</t>
  </si>
  <si>
    <t>FZ 8748_2022-07-29T16x00x00</t>
  </si>
  <si>
    <t>FZ 8748</t>
  </si>
  <si>
    <t>FZ 143_2022-07-29T15x00x00</t>
  </si>
  <si>
    <t>IRB 9722_2022-07-29T15x55x00</t>
  </si>
  <si>
    <t>IRB 9722</t>
  </si>
  <si>
    <t>IA 105_2022-07-29T16x00x00</t>
  </si>
  <si>
    <t>IA 105</t>
  </si>
  <si>
    <t>T5 811_2022-07-29T15x45x00</t>
  </si>
  <si>
    <t>T5 811</t>
  </si>
  <si>
    <t>RQ 901_2022-07-29T15x50x00</t>
  </si>
  <si>
    <t>RQ 901</t>
  </si>
  <si>
    <t>6E 024_2022-07-29T15x40x00</t>
  </si>
  <si>
    <t>6E 024</t>
  </si>
  <si>
    <t>FZ 034_2022-07-29T15x05x00</t>
  </si>
  <si>
    <t>FZ 034</t>
  </si>
  <si>
    <t>J4 622_2022-07-29T15x30x00</t>
  </si>
  <si>
    <t>J4 622</t>
  </si>
  <si>
    <t>6E 055_2022-07-29T15x50x00</t>
  </si>
  <si>
    <t>6E 055</t>
  </si>
  <si>
    <t>EK 517_2022-07-29T15x50x00</t>
  </si>
  <si>
    <t>EK 226_2022-07-29T15x40x00</t>
  </si>
  <si>
    <t>EK 226</t>
  </si>
  <si>
    <t>EK 216_2022-07-29T15x30x00</t>
  </si>
  <si>
    <t>SV 550_2022-07-29T15x30x00</t>
  </si>
  <si>
    <t>SV 550</t>
  </si>
  <si>
    <t>XY 208_2022-07-29T15x45x00</t>
  </si>
  <si>
    <t>XY 208</t>
  </si>
  <si>
    <t>EK 840_2022-07-29T16x00x00</t>
  </si>
  <si>
    <t>EK 840</t>
  </si>
  <si>
    <t>FZ 8908_2022-07-29T15x05x00</t>
  </si>
  <si>
    <t>FZ 8908</t>
  </si>
  <si>
    <t>FZ 005_2022-07-29T15x45x00</t>
  </si>
  <si>
    <t>FZ 005</t>
  </si>
  <si>
    <t>OV 248_2022-07-29T15x55x00</t>
  </si>
  <si>
    <t>OV 248</t>
  </si>
  <si>
    <t>EK 072_2022-07-29T16x00x00</t>
  </si>
  <si>
    <t>FZ 329_2022-07-29T15x45x00</t>
  </si>
  <si>
    <t>FZ 329</t>
  </si>
  <si>
    <t>SQ 495_2022-07-29T16x00x00</t>
  </si>
  <si>
    <t>SQ 495</t>
  </si>
  <si>
    <t>PA 411_2022-07-29T14x10x00</t>
  </si>
  <si>
    <t>GF 510_2022-07-29T16x15x00</t>
  </si>
  <si>
    <t>GF 510</t>
  </si>
  <si>
    <t>EK 202_2022-07-29T15x35x00</t>
  </si>
  <si>
    <t>EK 202</t>
  </si>
  <si>
    <t>6E 066_2022-07-29T16x50x00</t>
  </si>
  <si>
    <t>FZ 441_2022-07-29T16x00x00</t>
  </si>
  <si>
    <t>FZ 441</t>
  </si>
  <si>
    <t>FG 401_2022-07-29T16x30x00</t>
  </si>
  <si>
    <t>FG 401</t>
  </si>
  <si>
    <t>EK 007_2022-07-29T22x30x00</t>
  </si>
  <si>
    <t>EK 007</t>
  </si>
  <si>
    <t>EK 858_2022-07-29T16x25x00</t>
  </si>
  <si>
    <t>EK 858</t>
  </si>
  <si>
    <t>PR 659_2022-07-29T15x40x00</t>
  </si>
  <si>
    <t>PR 659</t>
  </si>
  <si>
    <t>XY 508_2022-07-29T15x30x00</t>
  </si>
  <si>
    <t>XY 508</t>
  </si>
  <si>
    <t>FZ 022_2022-07-29T13x55x00</t>
  </si>
  <si>
    <t>FZ 022</t>
  </si>
  <si>
    <t>AC 056_2022-07-29T15x50x00</t>
  </si>
  <si>
    <t>AC 056</t>
  </si>
  <si>
    <t>FZ 028_2022-07-29T16x40x00</t>
  </si>
  <si>
    <t>FZ 028</t>
  </si>
  <si>
    <t>EK 141_2022-07-30T03x40x00</t>
  </si>
  <si>
    <t>FZ 586_2022-07-29T16x35x00</t>
  </si>
  <si>
    <t>FZ 586</t>
  </si>
  <si>
    <t>FZ 1788_2022-07-29T16x15x00</t>
  </si>
  <si>
    <t>FZ 1788</t>
  </si>
  <si>
    <t>FZ 1502_2022-07-29T16x45x00</t>
  </si>
  <si>
    <t>FZ 1502</t>
  </si>
  <si>
    <t>FZ 258_2022-07-29T16x30x00</t>
  </si>
  <si>
    <t>FZ 258</t>
  </si>
  <si>
    <t>SG 005_2022-07-29T16x40x00</t>
  </si>
  <si>
    <t>CA 664_2022-07-29T16x45x00</t>
  </si>
  <si>
    <t>CA 664</t>
  </si>
  <si>
    <t>F3 511_2022-07-29T16x25x00</t>
  </si>
  <si>
    <t>F3 511</t>
  </si>
  <si>
    <t>KC 207_2022-07-29T17x00x00</t>
  </si>
  <si>
    <t>KC 207</t>
  </si>
  <si>
    <t>SV 561_2022-07-29T16x30x00</t>
  </si>
  <si>
    <t>SV 561</t>
  </si>
  <si>
    <t>ME 428_2022-07-29T16x40x00</t>
  </si>
  <si>
    <t>W6 2358_2022-07-29T16x05x00</t>
  </si>
  <si>
    <t>W6 2358</t>
  </si>
  <si>
    <t>FZ 631_2022-07-29T16x05x00</t>
  </si>
  <si>
    <t>FZ 631</t>
  </si>
  <si>
    <t>EK 503_2022-07-29T17x00x00</t>
  </si>
  <si>
    <t>6E 027_2022-07-29T17x15x00</t>
  </si>
  <si>
    <t>6E 027</t>
  </si>
  <si>
    <t>ES 263_2022-07-29T16x55x00</t>
  </si>
  <si>
    <t>ES 263</t>
  </si>
  <si>
    <t>PA 111_2022-07-29T16x40x00</t>
  </si>
  <si>
    <t>FZ 1627_2022-07-29T16x25x00</t>
  </si>
  <si>
    <t>FZ 1627</t>
  </si>
  <si>
    <t>BS 341_2022-07-29T16x55x00</t>
  </si>
  <si>
    <t>BS 341</t>
  </si>
  <si>
    <t>FZ 8705_2022-07-29T16x10x00</t>
  </si>
  <si>
    <t>IA 106_2022-07-29T16x45x00</t>
  </si>
  <si>
    <t>IA 106</t>
  </si>
  <si>
    <t>MS 906_2022-07-29T16x20x00</t>
  </si>
  <si>
    <t>MS 906</t>
  </si>
  <si>
    <t>SV 552_2022-07-29T17x00x00</t>
  </si>
  <si>
    <t>SV 552</t>
  </si>
  <si>
    <t>6E 061_2022-07-29T17x00x00</t>
  </si>
  <si>
    <t>6E 061</t>
  </si>
  <si>
    <t>QR 1018_2022-07-29T16x55x00</t>
  </si>
  <si>
    <t>QR 1018</t>
  </si>
  <si>
    <t>FZ 447</t>
  </si>
  <si>
    <t>AI 916_2022-07-29T16x50x00</t>
  </si>
  <si>
    <t>AI 916</t>
  </si>
  <si>
    <t>EK 821_2022-07-29T16x50x00</t>
  </si>
  <si>
    <t>EK 821</t>
  </si>
  <si>
    <t>FZ 048_2022-07-29T17x25x00</t>
  </si>
  <si>
    <t>FZ 048</t>
  </si>
  <si>
    <t>GF 511_2022-07-29T17x00x00</t>
  </si>
  <si>
    <t>GF 511</t>
  </si>
  <si>
    <t>EK 932_2022-07-29T17x05x00</t>
  </si>
  <si>
    <t>EK 932</t>
  </si>
  <si>
    <t>EK 859_2022-07-29T16x30x00</t>
  </si>
  <si>
    <t>EK 859</t>
  </si>
  <si>
    <t>EK 661_2022-07-29T17x25x00</t>
  </si>
  <si>
    <t>EK 661</t>
  </si>
  <si>
    <t>FZ 447_2022-07-29T18x20x00</t>
  </si>
  <si>
    <t>FZ 612_2022-07-29T17x10x00</t>
  </si>
  <si>
    <t>FZ 612</t>
  </si>
  <si>
    <t>KQ 310_2022-07-29T17x25x00</t>
  </si>
  <si>
    <t>KU 676_2022-07-29T16x55x00</t>
  </si>
  <si>
    <t>KU 676</t>
  </si>
  <si>
    <t>SV 551_2022-07-29T17x00x00</t>
  </si>
  <si>
    <t>SV 551</t>
  </si>
  <si>
    <t>W5 064_2022-07-29T17x00x00</t>
  </si>
  <si>
    <t>W5 064</t>
  </si>
  <si>
    <t>AI 905_2022-07-29T17x30x00</t>
  </si>
  <si>
    <t>AI 905</t>
  </si>
  <si>
    <t>FZ 884_2022-07-29T17x15x00</t>
  </si>
  <si>
    <t>FZ 884</t>
  </si>
  <si>
    <t>SG 057_2022-07-29T17x30x00</t>
  </si>
  <si>
    <t>SG 057</t>
  </si>
  <si>
    <t>FZ 762_2022-07-29T17x40x00</t>
  </si>
  <si>
    <t>FZ 762</t>
  </si>
  <si>
    <t>EK 724_2022-07-29T17x10x00</t>
  </si>
  <si>
    <t>QR 1014_2022-07-29T17x30x00</t>
  </si>
  <si>
    <t>RJ 614_2022-07-29T16x55x00</t>
  </si>
  <si>
    <t>RJ 614</t>
  </si>
  <si>
    <t>EK 124_2022-07-29T17x50x00</t>
  </si>
  <si>
    <t>FZ 435_2022-07-29T16x50x00</t>
  </si>
  <si>
    <t>FZ 435</t>
  </si>
  <si>
    <t>EK 522_2022-07-29T17x25x00</t>
  </si>
  <si>
    <t>EK 522</t>
  </si>
  <si>
    <t>FZ 1807_2022-07-29T17x10x00</t>
  </si>
  <si>
    <t>FZ 1807</t>
  </si>
  <si>
    <t>6E 067_2022-07-29T17x45x00</t>
  </si>
  <si>
    <t>EK 532_2022-07-29T17x25x00</t>
  </si>
  <si>
    <t>EK 532</t>
  </si>
  <si>
    <t>UL 225_2022-07-29T17x40x00</t>
  </si>
  <si>
    <t>UL 225</t>
  </si>
  <si>
    <t>EK 568_2022-07-29T17x25x00</t>
  </si>
  <si>
    <t>EK 542_2022-07-29T17x00x00</t>
  </si>
  <si>
    <t>FZ 746_2022-07-29T17x50x00</t>
  </si>
  <si>
    <t>FZ 746</t>
  </si>
  <si>
    <t>IX 813_2022-07-29T18x15x00</t>
  </si>
  <si>
    <t>SV 594_2022-07-29T17x25x00</t>
  </si>
  <si>
    <t>SV 594</t>
  </si>
  <si>
    <t>6E 062_2022-07-29T18x00x00</t>
  </si>
  <si>
    <t>EK 624_2022-07-30T00x00x00</t>
  </si>
  <si>
    <t>IRB 9721_2022-07-29T17x20x00</t>
  </si>
  <si>
    <t>IRB 9721</t>
  </si>
  <si>
    <t>FZ 339_2022-07-29T18x20x00</t>
  </si>
  <si>
    <t>FZ 025_2022-07-29T16x25x00</t>
  </si>
  <si>
    <t>FZ 025</t>
  </si>
  <si>
    <t>FZ 894_2022-07-29T17x15x00</t>
  </si>
  <si>
    <t>FZ 894</t>
  </si>
  <si>
    <t>AI 983_2022-07-29T17x55x00</t>
  </si>
  <si>
    <t>FZ 1798_2022-07-29T17x35x00</t>
  </si>
  <si>
    <t>SG 051_2022-07-29T18x35x00</t>
  </si>
  <si>
    <t>SG 051</t>
  </si>
  <si>
    <t>EK 726_2022-07-29T17x50x00</t>
  </si>
  <si>
    <t>EK 726</t>
  </si>
  <si>
    <t>FZ 1746_2022-07-29T17x10x00</t>
  </si>
  <si>
    <t>FZ 1746</t>
  </si>
  <si>
    <t>EK 720_2022-07-29T17x25x00</t>
  </si>
  <si>
    <t>EK 720</t>
  </si>
  <si>
    <t>FZ 868_2022-07-29T17x55x00</t>
  </si>
  <si>
    <t>FZ 868</t>
  </si>
  <si>
    <t>EK 858_2022-07-29T17x57x00</t>
  </si>
  <si>
    <t>EK 347_2022-07-29T18x20x00</t>
  </si>
  <si>
    <t>ME 429_2022-07-29T17x40x00</t>
  </si>
  <si>
    <t>ME 429</t>
  </si>
  <si>
    <t>LX 242_2022-07-29T17x30x00</t>
  </si>
  <si>
    <t>LX 242</t>
  </si>
  <si>
    <t>FZ 715_2022-07-29T17x35x00</t>
  </si>
  <si>
    <t>FZ 715</t>
  </si>
  <si>
    <t>FZ 1303_2022-07-29T17x50x00</t>
  </si>
  <si>
    <t>FZ 1303</t>
  </si>
  <si>
    <t>FZ 755_2022-07-29T17x20x00</t>
  </si>
  <si>
    <t>FZ 755</t>
  </si>
  <si>
    <t>EK 512_2022-07-29T18x00x00</t>
  </si>
  <si>
    <t>EK 512</t>
  </si>
  <si>
    <t>FZ 1758_2022-07-29T18x10x00</t>
  </si>
  <si>
    <t>FZ 1758</t>
  </si>
  <si>
    <t>F3 513_2022-07-29T17x45x00</t>
  </si>
  <si>
    <t>KC 208_2022-07-29T18x00x00</t>
  </si>
  <si>
    <t>KC 208</t>
  </si>
  <si>
    <t>G8 057_2022-07-29T18x20x00</t>
  </si>
  <si>
    <t>BG 247_2022-07-29T18x15x00</t>
  </si>
  <si>
    <t>BG 247</t>
  </si>
  <si>
    <t>EK 925_2022-07-29T17x55x00</t>
  </si>
  <si>
    <t>FZ 826_2022-07-29T17x40x00</t>
  </si>
  <si>
    <t>FZ 826</t>
  </si>
  <si>
    <t>EK 500_2022-07-29T17x55x00</t>
  </si>
  <si>
    <t>EK 500</t>
  </si>
  <si>
    <t>FZ 212_2022-07-29T18x25x00</t>
  </si>
  <si>
    <t>F3 512_2022-07-29T17x35x00</t>
  </si>
  <si>
    <t>F3 512</t>
  </si>
  <si>
    <t>GF 512_2022-07-29T18x35x00</t>
  </si>
  <si>
    <t>GF 512</t>
  </si>
  <si>
    <t>AI 951_2022-07-29T18x25x00</t>
  </si>
  <si>
    <t>FZ 1721</t>
  </si>
  <si>
    <t>EK 858_2022-07-29T18x27x00</t>
  </si>
  <si>
    <t>EK 905_2022-07-29T18x10x00</t>
  </si>
  <si>
    <t>FZ 1296_2022-07-29T17x50x00</t>
  </si>
  <si>
    <t>FZ 1296</t>
  </si>
  <si>
    <t>FZ 173_2022-07-29T17x45x00</t>
  </si>
  <si>
    <t>FZ 173</t>
  </si>
  <si>
    <t>FZ 814_2022-07-29T17x00x00</t>
  </si>
  <si>
    <t>FZ 814</t>
  </si>
  <si>
    <t>FZ 057_2022-07-29T18x00x00</t>
  </si>
  <si>
    <t>FZ 057</t>
  </si>
  <si>
    <t>EK 904_2022-07-29T18x00x00</t>
  </si>
  <si>
    <t>EK 587_2022-07-29T18x30x00</t>
  </si>
  <si>
    <t>EK 503_2022-07-29T18x37x00</t>
  </si>
  <si>
    <t>FZ 8870_2022-07-29T18x35x00</t>
  </si>
  <si>
    <t>FZ 8870</t>
  </si>
  <si>
    <t>EK 540_2022-07-29T23x50x00</t>
  </si>
  <si>
    <t>FZ 1929_2022-07-29T18x00x00</t>
  </si>
  <si>
    <t>FZ 1929</t>
  </si>
  <si>
    <t>EK 206_2022-07-29T18x10x00</t>
  </si>
  <si>
    <t>SG 012_2022-07-29T18x20x00</t>
  </si>
  <si>
    <t>SG 012</t>
  </si>
  <si>
    <t>6E 025_2022-07-29T18x20x00</t>
  </si>
  <si>
    <t>BS 342_2022-07-29T18x30x00</t>
  </si>
  <si>
    <t>BS 342</t>
  </si>
  <si>
    <t>FZ 1941</t>
  </si>
  <si>
    <t>EK 730_2022-07-29T18x50x00</t>
  </si>
  <si>
    <t>EK 333_2022-07-29T19x00x00</t>
  </si>
  <si>
    <t>EK 333</t>
  </si>
  <si>
    <t>SV 553_2022-07-29T18x30x00</t>
  </si>
  <si>
    <t>SV 553</t>
  </si>
  <si>
    <t>AI 995_2022-07-29T18x45x00</t>
  </si>
  <si>
    <t>AF 662_2022-07-29T18x35x00</t>
  </si>
  <si>
    <t>EK 357_2022-07-29T18x55x00</t>
  </si>
  <si>
    <t>RJ 615_2022-07-29T17x55x00</t>
  </si>
  <si>
    <t>RJ 615</t>
  </si>
  <si>
    <t>FZ 1790_2022-07-29T19x05x00</t>
  </si>
  <si>
    <t>FZ 1790</t>
  </si>
  <si>
    <t>EK 524_2022-07-29T18x00x00</t>
  </si>
  <si>
    <t>FZ 912_2022-07-29T18x05x00</t>
  </si>
  <si>
    <t>EK 748_2022-07-29T18x40x00</t>
  </si>
  <si>
    <t>EK 748</t>
  </si>
  <si>
    <t>FZ 839_2022-07-29T18x20x00</t>
  </si>
  <si>
    <t>FZ 839</t>
  </si>
  <si>
    <t>EK 782_2022-07-29T18x50x00</t>
  </si>
  <si>
    <t>SG 056_2022-07-29T18x45x00</t>
  </si>
  <si>
    <t>SG 056</t>
  </si>
  <si>
    <t>EK 098_2022-07-29T19x15x00</t>
  </si>
  <si>
    <t>BA 107_2022-07-29T19x05x00</t>
  </si>
  <si>
    <t>BA 107</t>
  </si>
  <si>
    <t>FZ 431_2022-07-29T18x15x00</t>
  </si>
  <si>
    <t>FZ 431</t>
  </si>
  <si>
    <t>EK 398_2022-07-29T22x20x00</t>
  </si>
  <si>
    <t>EK 180_2022-07-29T18x45x00</t>
  </si>
  <si>
    <t>EK 180</t>
  </si>
  <si>
    <t>EK 538_2022-07-29T18x50x00</t>
  </si>
  <si>
    <t>EK 567_2022-07-29T19x30x00</t>
  </si>
  <si>
    <t>T5 812_2022-07-29T17x30x00</t>
  </si>
  <si>
    <t>T5 812</t>
  </si>
  <si>
    <t>EK 160_2022-07-29T19x20x00</t>
  </si>
  <si>
    <t>FZ 339</t>
  </si>
  <si>
    <t>EK 112_2022-07-29T19x20x00</t>
  </si>
  <si>
    <t>EK 112</t>
  </si>
  <si>
    <t>EK 128_2022-07-29T19x05x00</t>
  </si>
  <si>
    <t>EK 262_2022-07-29T18x55x00</t>
  </si>
  <si>
    <t>EK 262</t>
  </si>
  <si>
    <t>EK 094_2022-07-29T19x30x00</t>
  </si>
  <si>
    <t>SV 595_2022-07-29T19x00x00</t>
  </si>
  <si>
    <t>EK 702_2022-07-29T19x10x00</t>
  </si>
  <si>
    <t>FZ 006_2022-07-29T19x15x00</t>
  </si>
  <si>
    <t>FZ 006</t>
  </si>
  <si>
    <t>EK 090_2022-07-29T19x45x00</t>
  </si>
  <si>
    <t>QR 1015_2022-07-29T19x00x00</t>
  </si>
  <si>
    <t>FZ 777_2022-07-29T18x35x00</t>
  </si>
  <si>
    <t>F3 514_2022-07-29T18x45x00</t>
  </si>
  <si>
    <t>F3 514</t>
  </si>
  <si>
    <t>SG 015_2022-07-29T19x05x00</t>
  </si>
  <si>
    <t>SG 015</t>
  </si>
  <si>
    <t>FZ 252_2022-07-29T19x15x00</t>
  </si>
  <si>
    <t>FZ 252</t>
  </si>
  <si>
    <t>6E 096_2022-07-29T19x10x00</t>
  </si>
  <si>
    <t>6E 096</t>
  </si>
  <si>
    <t>FZ 1466_2022-07-29T19x55x00</t>
  </si>
  <si>
    <t>FZ 1466</t>
  </si>
  <si>
    <t>FZ 172_2022-07-29T19x25x00</t>
  </si>
  <si>
    <t>EK 140_2022-07-29T19x50x00</t>
  </si>
  <si>
    <t>EK 046_2022-07-29T19x35x00</t>
  </si>
  <si>
    <t>FZ 8567_2022-07-29T19x05x00</t>
  </si>
  <si>
    <t>FZ 8567</t>
  </si>
  <si>
    <t>FZ 1461_2022-07-29T18x45x00</t>
  </si>
  <si>
    <t>FZ 1461</t>
  </si>
  <si>
    <t>FZ 331_2022-07-29T19x15x00</t>
  </si>
  <si>
    <t>FZ 331</t>
  </si>
  <si>
    <t>AC 057_2022-07-29T18x55x00</t>
  </si>
  <si>
    <t>AC 057</t>
  </si>
  <si>
    <t>FZ 8945_2022-07-29T19x05x00</t>
  </si>
  <si>
    <t>FZ 8945</t>
  </si>
  <si>
    <t>IX 539_2022-07-29T20x05x00</t>
  </si>
  <si>
    <t>IX 539</t>
  </si>
  <si>
    <t>EK 050_2022-07-29T19x45x00</t>
  </si>
  <si>
    <t>EK 050</t>
  </si>
  <si>
    <t>EK 509_2022-07-29T20x05x00</t>
  </si>
  <si>
    <t>G8 058_2022-07-29T19x20x00</t>
  </si>
  <si>
    <t>G8 058</t>
  </si>
  <si>
    <t>FZ 1739_2022-07-29T18x55x00</t>
  </si>
  <si>
    <t>FZ 1739</t>
  </si>
  <si>
    <t>EK 134_2022-07-29T19x25x00</t>
  </si>
  <si>
    <t>EK 603_2022-07-29T19x45x00</t>
  </si>
  <si>
    <t>EK 573_2022-07-29T20x05x00</t>
  </si>
  <si>
    <t>EK 573</t>
  </si>
  <si>
    <t>AI 952_2022-07-29T19x25x00</t>
  </si>
  <si>
    <t>IX 434_2022-07-29T19x15x00</t>
  </si>
  <si>
    <t>IX 434</t>
  </si>
  <si>
    <t>GF 513_2022-07-29T19x35x00</t>
  </si>
  <si>
    <t>GF 513</t>
  </si>
  <si>
    <t>EK 158_2022-07-29T19x20x00</t>
  </si>
  <si>
    <t>UL 226_2022-07-29T18x50x00</t>
  </si>
  <si>
    <t>UL 226</t>
  </si>
  <si>
    <t>AI 906_2022-07-29T19x30x00</t>
  </si>
  <si>
    <t>AI 906</t>
  </si>
  <si>
    <t>FZ 895_2022-07-29T19x25x00</t>
  </si>
  <si>
    <t>FZ 895</t>
  </si>
  <si>
    <t>EK 152_2022-07-29T19x55x00</t>
  </si>
  <si>
    <t>AI 984_2022-07-29T19x40x00</t>
  </si>
  <si>
    <t>AI 984</t>
  </si>
  <si>
    <t>EK 174_2022-07-29T19x35x00</t>
  </si>
  <si>
    <t>EK 174</t>
  </si>
  <si>
    <t>KL 427_2022-07-29T19x10x00</t>
  </si>
  <si>
    <t>QR 1019_2022-07-29T19x30x00</t>
  </si>
  <si>
    <t>QR 1019</t>
  </si>
  <si>
    <t>AT 244_2022-07-29T19x15x00</t>
  </si>
  <si>
    <t>AT 244</t>
  </si>
  <si>
    <t>XY 811_2022-07-29T18x25x00</t>
  </si>
  <si>
    <t>XY 811</t>
  </si>
  <si>
    <t>EK 210_2022-07-29T19x35x00</t>
  </si>
  <si>
    <t>EK 515_2022-07-29T19x55x00</t>
  </si>
  <si>
    <t>EK 762_2022-07-29T20x00x00</t>
  </si>
  <si>
    <t>FZ 445_2022-07-29T19x30x00</t>
  </si>
  <si>
    <t>FZ 445</t>
  </si>
  <si>
    <t>EK 547_2022-07-29T20x30x00</t>
  </si>
  <si>
    <t>EK 547</t>
  </si>
  <si>
    <t>EK 529_2022-07-29T20x10x00</t>
  </si>
  <si>
    <t>FZ 1076_2022-07-29T20x05x00</t>
  </si>
  <si>
    <t>FZ 1076</t>
  </si>
  <si>
    <t>EK 088_2022-07-29T19x45x00</t>
  </si>
  <si>
    <t>SG 052_2022-07-29T19x55x00</t>
  </si>
  <si>
    <t>SG 052</t>
  </si>
  <si>
    <t>FZ 844_2022-07-29T20x05x00</t>
  </si>
  <si>
    <t>FZ 844</t>
  </si>
  <si>
    <t>5J 014_2022-07-29T20x45x00</t>
  </si>
  <si>
    <t>EK 040_2022-07-29T20x25x00</t>
  </si>
  <si>
    <t>AI 996_2022-07-29T20x05x00</t>
  </si>
  <si>
    <t>FZ 204_2022-07-29T20x30x00</t>
  </si>
  <si>
    <t>EK 804_2022-07-29T20x15x00</t>
  </si>
  <si>
    <t>FZ 343_2022-07-29T19x35x00</t>
  </si>
  <si>
    <t>FZ 343</t>
  </si>
  <si>
    <t>FZ 592_2022-07-29T21x05x00</t>
  </si>
  <si>
    <t>FZ 592</t>
  </si>
  <si>
    <t>EK 203_2022-07-29T22x50x00</t>
  </si>
  <si>
    <t>EK 256_2022-07-29T20x15x00</t>
  </si>
  <si>
    <t>EK 018_2022-07-29T20x20x00</t>
  </si>
  <si>
    <t>EK 818_2022-07-29T20x35x00</t>
  </si>
  <si>
    <t>BG 148_2022-07-29T20x05x00</t>
  </si>
  <si>
    <t>BG 148</t>
  </si>
  <si>
    <t>TK 760_2022-07-29T20x25x00</t>
  </si>
  <si>
    <t>TK 760</t>
  </si>
  <si>
    <t>EK 002_2022-07-29T20x20x00</t>
  </si>
  <si>
    <t>EK 148_2022-07-29T19x55x00</t>
  </si>
  <si>
    <t>EK 734_2022-07-29T20x15x00</t>
  </si>
  <si>
    <t>EK 016_2022-07-29T20x35x00</t>
  </si>
  <si>
    <t>CZ 8027_2022-07-29T21x20x00</t>
  </si>
  <si>
    <t>CZ 8027</t>
  </si>
  <si>
    <t>EK 801_2022-07-29T20x20x00</t>
  </si>
  <si>
    <t>EK 122_2022-07-29T20x55x00</t>
  </si>
  <si>
    <t>LH 630_2022-07-29T18x35x00</t>
  </si>
  <si>
    <t>FZ 337_2022-07-29T20x15x00</t>
  </si>
  <si>
    <t>FZ 337</t>
  </si>
  <si>
    <t>FZ 574_2022-07-29T20x10x00</t>
  </si>
  <si>
    <t>FZ 574</t>
  </si>
  <si>
    <t>XY 209_2022-07-29T18x00x00</t>
  </si>
  <si>
    <t>EK 017_2022-07-30T03x25x00</t>
  </si>
  <si>
    <t>IX 195_2022-07-29T20x35x00</t>
  </si>
  <si>
    <t>IX 195</t>
  </si>
  <si>
    <t>EK 078_2022-07-29T20x10x00</t>
  </si>
  <si>
    <t>EK 078</t>
  </si>
  <si>
    <t>EK 954_2022-07-29T20x35x00</t>
  </si>
  <si>
    <t>FZ 1685_2022-07-29T20x25x00</t>
  </si>
  <si>
    <t>FZ 1685</t>
  </si>
  <si>
    <t>EK 142_2022-07-29T20x45x00</t>
  </si>
  <si>
    <t>EK 162_2022-07-29T20x45x00</t>
  </si>
  <si>
    <t>EK 184_2022-07-29T19x55x00</t>
  </si>
  <si>
    <t>EK 184</t>
  </si>
  <si>
    <t>EK 924_2022-07-29T20x40x00</t>
  </si>
  <si>
    <t>AF 655_2022-07-29T20x40x00</t>
  </si>
  <si>
    <t>EK 027_2022-07-30T03x50x00</t>
  </si>
  <si>
    <t>EK 192_2022-07-29T20x50x00</t>
  </si>
  <si>
    <t>EK 074_2022-07-29T20x20x00</t>
  </si>
  <si>
    <t>EK 074</t>
  </si>
  <si>
    <t>EK 822_2022-07-29T21x00x00</t>
  </si>
  <si>
    <t>EK 028_2022-07-29T21x05x00</t>
  </si>
  <si>
    <t>FZ 026_2022-07-29T19x45x00</t>
  </si>
  <si>
    <t>FZ 026</t>
  </si>
  <si>
    <t>FZ 1707_2022-07-29T20x50x00</t>
  </si>
  <si>
    <t>FZ 1707</t>
  </si>
  <si>
    <t>FZ 029_2022-07-29T20x30x00</t>
  </si>
  <si>
    <t>FZ 029</t>
  </si>
  <si>
    <t>IX 355_2022-07-29T21x25x00</t>
  </si>
  <si>
    <t>IX 355</t>
  </si>
  <si>
    <t>EK 338_2022-07-29T21x15x00</t>
  </si>
  <si>
    <t>EK 090_2022-07-29T21x13x00</t>
  </si>
  <si>
    <t>SG 013_2022-07-29T21x10x00</t>
  </si>
  <si>
    <t>SG 013</t>
  </si>
  <si>
    <t>EK 620_2022-07-30T00x20x00</t>
  </si>
  <si>
    <t>EK 752_2022-07-29T21x15x00</t>
  </si>
  <si>
    <t>IX 191_2022-07-29T18x15x00</t>
  </si>
  <si>
    <t>IX 191</t>
  </si>
  <si>
    <t>EK 564_2022-07-29T23x20x00</t>
  </si>
  <si>
    <t>FZ 330_2022-07-29T21x10x00</t>
  </si>
  <si>
    <t>FZ 330</t>
  </si>
  <si>
    <t>FZ 584_2022-07-29T21x25x00</t>
  </si>
  <si>
    <t>FZ 584</t>
  </si>
  <si>
    <t>IX 540_2022-07-29T21x05x00</t>
  </si>
  <si>
    <t>IX 540</t>
  </si>
  <si>
    <t>XY 812_2022-07-29T19x15x00</t>
  </si>
  <si>
    <t>XY 812</t>
  </si>
  <si>
    <t>SG 016_2022-07-29T20x10x00</t>
  </si>
  <si>
    <t>SG 016</t>
  </si>
  <si>
    <t>EK 2646_2022-07-30T14x00x00</t>
  </si>
  <si>
    <t>EK 529_2022-07-29T21x30x00</t>
  </si>
  <si>
    <t>SG 059_2022-07-29T21x30x00</t>
  </si>
  <si>
    <t>SG 059</t>
  </si>
  <si>
    <t>EK 184_2022-07-29T21x30x00</t>
  </si>
  <si>
    <t>FZ 750_2022-07-29T20x55x00</t>
  </si>
  <si>
    <t>FZ 750</t>
  </si>
  <si>
    <t>EK 860_2022-07-29T21x20x00</t>
  </si>
  <si>
    <t>EK 179_2022-07-30T04x10x00</t>
  </si>
  <si>
    <t>EK 355_2022-07-29T20x50x00</t>
  </si>
  <si>
    <t>EK 529_2022-07-29T21x23x00</t>
  </si>
  <si>
    <t>KL 428_2022-07-29T20x55x00</t>
  </si>
  <si>
    <t>KL 428</t>
  </si>
  <si>
    <t>EK 110_2022-07-29T21x05x00</t>
  </si>
  <si>
    <t>EK 110</t>
  </si>
  <si>
    <t>LX 243_2022-07-29T21x15x00</t>
  </si>
  <si>
    <t>FZ 977_2022-07-29T21x20x00</t>
  </si>
  <si>
    <t>FZ 977</t>
  </si>
  <si>
    <t>EK 385_2022-07-29T21x20x00</t>
  </si>
  <si>
    <t>FZ 713_2022-07-29T21x20x00</t>
  </si>
  <si>
    <t>FZ 713</t>
  </si>
  <si>
    <t>FZ 1353_2022-07-29T21x10x00</t>
  </si>
  <si>
    <t>FZ 1353</t>
  </si>
  <si>
    <t>EK 762_2022-07-30T03x55x00</t>
  </si>
  <si>
    <t>PK 223_2022-07-29T22x00x00</t>
  </si>
  <si>
    <t>EK 853_2022-07-29T21x20x00</t>
  </si>
  <si>
    <t>EK 367_2022-07-29T22x10x00</t>
  </si>
  <si>
    <t>TK 7686_2022-07-29T22x00x00</t>
  </si>
  <si>
    <t>TK 7686</t>
  </si>
  <si>
    <t>XY 210_2022-07-29T19x00x00</t>
  </si>
  <si>
    <t>EK 772_2022-07-29T23x50x00</t>
  </si>
  <si>
    <t>EK 787_2022-07-30T03x30x00</t>
  </si>
  <si>
    <t>EK 653_2022-07-29T22x00x00</t>
  </si>
  <si>
    <t>EK 815_2022-07-29T21x25x00</t>
  </si>
  <si>
    <t>EK 729_2022-07-30T05x55x00</t>
  </si>
  <si>
    <t>IX 616_2022-07-29T21x55x00</t>
  </si>
  <si>
    <t>IX 616</t>
  </si>
  <si>
    <t>AI 911_2022-07-29T22x40x00</t>
  </si>
  <si>
    <t>EK 362_2022-07-29T22x05x00</t>
  </si>
  <si>
    <t>EK 362</t>
  </si>
  <si>
    <t>AT 245_2022-07-29T22x00x00</t>
  </si>
  <si>
    <t>AT 245</t>
  </si>
  <si>
    <t>WB 305_2022-07-29T21x50x00</t>
  </si>
  <si>
    <t>WB 305</t>
  </si>
  <si>
    <t>EK 582_2022-07-29T22x00x00</t>
  </si>
  <si>
    <t>EK 582</t>
  </si>
  <si>
    <t>FZ 8606_2022-07-29T22x20x00</t>
  </si>
  <si>
    <t>FZ 8606</t>
  </si>
  <si>
    <t>EK 835_2022-07-29T22x00x00</t>
  </si>
  <si>
    <t>KQ 311_2022-07-29T21x45x00</t>
  </si>
  <si>
    <t>KQ 311</t>
  </si>
  <si>
    <t>EK 071_2022-07-30T00x05x00</t>
  </si>
  <si>
    <t>EK 721_2022-07-29T22x15x00</t>
  </si>
  <si>
    <t>EK 414_2022-07-29T22x15x00</t>
  </si>
  <si>
    <t>EK 705_2022-07-29T22x15x00</t>
  </si>
  <si>
    <t>IX 384_2022-07-29T19x30x00</t>
  </si>
  <si>
    <t>IX 384</t>
  </si>
  <si>
    <t>SG 014_2022-07-29T22x10x00</t>
  </si>
  <si>
    <t>SG 014</t>
  </si>
  <si>
    <t>FZ 1570_2022-07-29T23x10x00</t>
  </si>
  <si>
    <t>FZ 571_2022-07-29T22x15x00</t>
  </si>
  <si>
    <t>FZ 571</t>
  </si>
  <si>
    <t>EK 2551_2022-07-29T22x05x00</t>
  </si>
  <si>
    <t>EK 2568_2022-07-29T21x10x00</t>
  </si>
  <si>
    <t>EK 2568</t>
  </si>
  <si>
    <t>6E 071_2022-07-29T22x55x00</t>
  </si>
  <si>
    <t>6E 071</t>
  </si>
  <si>
    <t>EK 231_2022-07-29T22x25x00</t>
  </si>
  <si>
    <t>EK 231</t>
  </si>
  <si>
    <t>IX 356_2022-07-29T22x25x00</t>
  </si>
  <si>
    <t>IX 356</t>
  </si>
  <si>
    <t>EK 656_2022-07-29T22x30x00</t>
  </si>
  <si>
    <t>EK 823_2022-07-29T22x25x00</t>
  </si>
  <si>
    <t>EK 823</t>
  </si>
  <si>
    <t>BI 007_2022-07-29T22x55x00</t>
  </si>
  <si>
    <t>BI 007</t>
  </si>
  <si>
    <t>FZ 1207_2022-07-29T22x10x00</t>
  </si>
  <si>
    <t>FZ 1207</t>
  </si>
  <si>
    <t>FZ 058_2022-07-29T22x25x00</t>
  </si>
  <si>
    <t>FZ 058</t>
  </si>
  <si>
    <t>TK 761_2022-07-29T22x05x00</t>
  </si>
  <si>
    <t>TK 761</t>
  </si>
  <si>
    <t>5J 017_2022-07-29T22x25x00</t>
  </si>
  <si>
    <t>5J 017</t>
  </si>
  <si>
    <t>FZ 433_2022-07-29T22x00x00</t>
  </si>
  <si>
    <t>FZ 433</t>
  </si>
  <si>
    <t>EK 570_2022-07-29T22x05x00</t>
  </si>
  <si>
    <t>EK 570</t>
  </si>
  <si>
    <t>EK 030_2022-07-29T22x45x00</t>
  </si>
  <si>
    <t>FZ 144_2022-07-29T22x20x00</t>
  </si>
  <si>
    <t>FZ 429_2022-07-29T21x35x00</t>
  </si>
  <si>
    <t>FZ 429</t>
  </si>
  <si>
    <t>FZ 1679_2022-07-29T22x30x00</t>
  </si>
  <si>
    <t>FZ 1679</t>
  </si>
  <si>
    <t>EK 356_2022-07-30T00x10x00</t>
  </si>
  <si>
    <t>EK 318</t>
  </si>
  <si>
    <t>EK 701_2022-07-29T22x35x00</t>
  </si>
  <si>
    <t>EK 701</t>
  </si>
  <si>
    <t>SG 024_2022-07-29T22x15x00</t>
  </si>
  <si>
    <t>SG 024</t>
  </si>
  <si>
    <t>EK 430_2022-07-29T22x30x00</t>
  </si>
  <si>
    <t>EK 097_2022-07-30T05x10x00</t>
  </si>
  <si>
    <t>EK 650_2022-07-29T22x40x00</t>
  </si>
  <si>
    <t>EK 420_2022-07-29T22x45x00</t>
  </si>
  <si>
    <t>EK 420</t>
  </si>
  <si>
    <t>EK 379_2022-07-29T23x05x00</t>
  </si>
  <si>
    <t>WY 601_2022-07-29T23x10x00</t>
  </si>
  <si>
    <t>WY 601</t>
  </si>
  <si>
    <t>EK 544_2022-07-29T22x45x00</t>
  </si>
  <si>
    <t>EK 011_2022-07-29T22x30x00</t>
  </si>
  <si>
    <t>EK 011</t>
  </si>
  <si>
    <t>EK 378_2022-07-29T23x00x00</t>
  </si>
  <si>
    <t>EK 316</t>
  </si>
  <si>
    <t>FX 008_2022-07-29T23x15x00</t>
  </si>
  <si>
    <t>EK 338_2022-07-29T22x55x00</t>
  </si>
  <si>
    <t>EK 384_2022-07-29T22x50x00</t>
  </si>
  <si>
    <t>ET 600_2022-07-29T22x55x00</t>
  </si>
  <si>
    <t>EK 203</t>
  </si>
  <si>
    <t>PC 886_2022-07-29T23x15x00</t>
  </si>
  <si>
    <t>PC 886</t>
  </si>
  <si>
    <t>EK 332_2022-07-29T23x10x00</t>
  </si>
  <si>
    <t>BA 106_2022-07-29T21x25x00</t>
  </si>
  <si>
    <t>BA 106</t>
  </si>
  <si>
    <t>FZ 616_2022-07-29T22x15x00</t>
  </si>
  <si>
    <t>FZ 616</t>
  </si>
  <si>
    <t>QR 1002_2022-07-29T23x20x00</t>
  </si>
  <si>
    <t>SV 598_2022-07-29T23x00x00</t>
  </si>
  <si>
    <t>TK 7687_2022-07-29T23x15x00</t>
  </si>
  <si>
    <t>TK 7687</t>
  </si>
  <si>
    <t>EK 636_2022-07-29T23x20x00</t>
  </si>
  <si>
    <t>EK 636</t>
  </si>
  <si>
    <t>EK 393_2022-07-30T00x00x00</t>
  </si>
  <si>
    <t>EK 393</t>
  </si>
  <si>
    <t>EK 530</t>
  </si>
  <si>
    <t>EK 354_2022-07-29T23x05x00</t>
  </si>
  <si>
    <t>EK 354</t>
  </si>
  <si>
    <t>FZ 1930_2022-07-29T23x25x00</t>
  </si>
  <si>
    <t>ES 265_2022-07-29T23x50x00</t>
  </si>
  <si>
    <t>ES 265</t>
  </si>
  <si>
    <t>J4 200_2022-07-29T23x10x00</t>
  </si>
  <si>
    <t>EK 237_2022-07-30T04x15x00</t>
  </si>
  <si>
    <t>EK 564</t>
  </si>
  <si>
    <t>SG 053_2022-07-29T23x55x00</t>
  </si>
  <si>
    <t>EK 607_2022-07-29T23x45x00</t>
  </si>
  <si>
    <t>EK 504_2022-07-29T23x30x00</t>
  </si>
  <si>
    <t>EK 504</t>
  </si>
  <si>
    <t>EK 319_2022-07-30T00x10x00</t>
  </si>
  <si>
    <t>PK 284_2022-07-29T23x00x00</t>
  </si>
  <si>
    <t>PK 284</t>
  </si>
  <si>
    <t>6E 1087_2022-07-30T00x15x00</t>
  </si>
  <si>
    <t>EK 526_2022-07-29T23x10x00</t>
  </si>
  <si>
    <t>EK 526</t>
  </si>
  <si>
    <t>EK 213_2022-07-29T23x10x00</t>
  </si>
  <si>
    <t>EK 213</t>
  </si>
  <si>
    <t>EK 043_2022-07-29T23x45x00</t>
  </si>
  <si>
    <t>EK 043</t>
  </si>
  <si>
    <t>FZ 8503_2022-07-29T23x20x00</t>
  </si>
  <si>
    <t>FZ 8503</t>
  </si>
  <si>
    <t>EK 540</t>
  </si>
  <si>
    <t>EK 322_2022-07-29T23x40x00</t>
  </si>
  <si>
    <t>EK 322</t>
  </si>
  <si>
    <t>RQ 902_2022-07-29T23x30x00</t>
  </si>
  <si>
    <t>RQ 902</t>
  </si>
  <si>
    <t>GF 500_2022-07-30T00x15x00</t>
  </si>
  <si>
    <t>EK 323_2022-07-30T00x25x00</t>
  </si>
  <si>
    <t>KU 677_2022-07-30T00x35x00</t>
  </si>
  <si>
    <t>EK 159_2022-07-30T03x25x00</t>
  </si>
  <si>
    <t>EK 517_2022-07-30T04x15x00</t>
  </si>
  <si>
    <t>Conversion to Safedock Aircraft Type Failed: (JVT 206) (GLEX)</t>
  </si>
  <si>
    <t>SDK-10.1</t>
  </si>
  <si>
    <t>Minor display error - faulty LEDs detected</t>
  </si>
  <si>
    <t>Conversion to Safedock Aircraft Type Failed: (JVT 272) (GLF2)</t>
  </si>
  <si>
    <t>E38</t>
  </si>
  <si>
    <t>Conversion to Safedock Aircraft Type Failed: (JVT 224) (GLF6)</t>
  </si>
  <si>
    <t>SDK-12.1</t>
  </si>
  <si>
    <t>IDFailed - VerAnalysisFailedTooClose</t>
  </si>
  <si>
    <t>Conversion to Safedock Aircraft Type Failed: (EJF 121) (GLEX)</t>
  </si>
  <si>
    <t>E32</t>
  </si>
  <si>
    <t>Conversion to Safedock Aircraft Type Failed: (EJF 120) (GLEX)</t>
  </si>
  <si>
    <t>FZ 1928</t>
  </si>
  <si>
    <t>SDK-17.2</t>
  </si>
  <si>
    <t>SBUStop - ScanFailed</t>
  </si>
  <si>
    <t>Blocking Rules Unknown Aircraft Type: Configured aircraft type E195/E2 for centerline C54L is unknown</t>
  </si>
  <si>
    <t>Blocking Rules Unknown Aircraft Type: Configured aircraft type E195/E2 for centerline C54R is unknown</t>
  </si>
  <si>
    <t>SDK-17.7</t>
  </si>
  <si>
    <t>SBUStop - AzimuthStop</t>
  </si>
  <si>
    <t>Conversion to Safedock Aircraft Type Failed: (EJF 124) (GA5C)</t>
  </si>
  <si>
    <t>Conversion to Safedock Aircraft Type Failed: (JVT 255) (GLF2)</t>
  </si>
  <si>
    <t>Conversion to Safedock Aircraft Type Failed: (EJF 134) (GLF6)</t>
  </si>
  <si>
    <t>Conversion to Safedock Aircraft Type Failed: (EJF 124) (GLEX)</t>
  </si>
  <si>
    <t>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</si>
</sst>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yyyy\-mm\-dd\ hh:mm:ss"/>
    <numFmt numFmtId="165" formatCode="0.0%"/>
    <numFmt numFmtId="168" formatCode="[$-14009]h:mm;@"/>
  </numFmts>
  <fonts count="4" x14ac:knownFonts="1">
    <font>
      <sz val="11"/>
      <color theme="1"/>
      <name val="Calibri"/>
      <family val="2"/>
      <scheme val="minor"/>
    </font>
    <font>
      <b/>
      <sz val="11"/>
      <color theme="0"/>
      <name val="Calibri"/>
      <family val="2"/>
      <scheme val="minor"/>
    </font>
    <font>
      <sz val="11"/>
      <color rgb="FF000000"/>
      <name val="Verdana"/>
      <family val="2"/>
    </font>
    <font>
      <b/>
      <sz val="14"/>
      <color theme="1"/>
      <name val="Calibri"/>
      <family val="2"/>
      <scheme val="minor"/>
    </font>
  </fonts>
  <fills count="5">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solid">
        <fgColor theme="4"/>
        <bgColor theme="4"/>
      </patternFill>
    </fill>
  </fills>
  <borders count="2">
    <border>
      <left/>
      <right/>
      <top/>
      <bottom/>
      <diagonal/>
    </border>
    <border>
      <left style="thin">
        <color auto="1"/>
      </left>
      <right style="thin">
        <color auto="1"/>
      </right>
      <top/>
      <bottom style="thin">
        <color auto="1"/>
      </bottom>
      <diagonal/>
    </border>
  </borders>
  <cellStyleXfs count="1">
    <xf numFmtId="0" fontId="0" fillId="0" borderId="0"/>
  </cellStyleXfs>
  <cellXfs count="12">
    <xf numFmtId="0" fontId="0" fillId="0" borderId="0" xfId="0"/>
    <xf numFmtId="0" fontId="0" fillId="2" borderId="0" xfId="0" applyFill="1"/>
    <xf numFmtId="0" fontId="1" fillId="4" borderId="1" xfId="0" applyFont="1" applyFill="1" applyBorder="1" applyAlignment="1">
      <alignment horizontal="center" vertical="top"/>
    </xf>
    <xf numFmtId="14" fontId="1" fillId="4" borderId="1" xfId="0" applyNumberFormat="1" applyFont="1" applyFill="1" applyBorder="1" applyAlignment="1">
      <alignment horizontal="center" vertical="top"/>
    </xf>
    <xf numFmtId="164" fontId="0" fillId="0" borderId="0" xfId="0" applyNumberFormat="1"/>
    <xf numFmtId="0" fontId="3" fillId="0" borderId="0" xfId="0" applyFont="1"/>
    <xf numFmtId="0" fontId="0" fillId="0" borderId="0" xfId="0" applyFill="1"/>
    <xf numFmtId="165" fontId="0" fillId="0" borderId="0" xfId="0" applyNumberFormat="1"/>
    <xf numFmtId="0" fontId="0" fillId="3" borderId="0" xfId="0" applyFill="1"/>
    <xf numFmtId="0" fontId="0" fillId="0" borderId="0" xfId="0" pivotButton="1"/>
    <xf numFmtId="0" fontId="0" fillId="0" borderId="0" xfId="0" applyNumberFormat="1"/>
    <xf numFmtId="0" fontId="0" fillId="0" borderId="0" xfId="0" applyAlignment="1">
      <alignment horizontal="left"/>
    </xf>
  </cellXfs>
  <cellStyles count="1">
    <cellStyle name="Normal" xfId="0" builtinId="0"/>
  </cellStyles>
  <dxfs count="23">
    <dxf>
      <numFmt numFmtId="164" formatCode="yyyy\-mm\-dd\ hh:mm:ss"/>
      <border diagonalUp="0" diagonalDown="0" outline="0">
        <left/>
        <right/>
        <top style="thin">
          <color theme="4" tint="0.39997558519241921"/>
        </top>
        <bottom style="thin">
          <color theme="4" tint="0.39997558519241921"/>
        </bottom>
      </border>
    </dxf>
    <dxf>
      <fill>
        <patternFill>
          <bgColor rgb="FF0070C0"/>
        </patternFill>
      </fill>
    </dxf>
    <dxf>
      <border diagonalUp="0" diagonalDown="0">
        <left/>
        <right style="thin">
          <color theme="4" tint="0.39997558519241921"/>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diagonalUp="0" diagonalDown="0">
        <left/>
        <right/>
        <top style="thin">
          <color theme="4" tint="0.39997558519241921"/>
        </top>
        <bottom style="thin">
          <color theme="4" tint="0.39997558519241921"/>
        </bottom>
        <vertical/>
        <horizontal/>
      </border>
    </dxf>
    <dxf>
      <border diagonalUp="0" diagonalDown="0">
        <left style="thin">
          <color theme="4" tint="0.39997558519241921"/>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auto="1"/>
        </top>
        <bottom style="thin">
          <color theme="4" tint="0.39997558519241921"/>
        </bottom>
      </border>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top" textRotation="0" wrapText="0" indent="0" justifyLastLine="0" shrinkToFit="0" readingOrder="0"/>
      <border diagonalUp="0" diagonalDown="0" outline="0">
        <left style="thin">
          <color auto="1"/>
        </left>
        <right style="thin">
          <color auto="1"/>
        </right>
        <top/>
        <bottom/>
      </border>
    </dxf>
    <dxf>
      <font>
        <b/>
        <sz val="11"/>
        <color theme="1"/>
      </font>
    </dxf>
    <dxf>
      <fill>
        <patternFill patternType="none">
          <fgColor indexed="64"/>
          <bgColor auto="1"/>
        </patternFill>
      </fill>
      <border diagonalUp="0" diagonalDown="0">
        <left/>
        <right/>
        <top/>
        <bottom/>
        <vertical/>
        <horizontal/>
      </border>
    </dxf>
  </dxfs>
  <tableStyles count="2" defaultTableStyle="TableStyleMedium2" defaultPivotStyle="PivotStyleLight16">
    <tableStyle name="Slicer Style 1" pivot="0" table="0" count="2" xr9:uid="{A1630114-DBCC-46FE-8CE5-0B830C1B9979}">
      <tableStyleElement type="wholeTable" dxfId="1"/>
    </tableStyle>
    <tableStyle name="Timeline Style 1" pivot="0" table="0" count="8" xr9:uid="{65B2BAD3-9DEC-45B1-8AB9-4CF923A42398}">
      <tableStyleElement type="wholeTable" dxfId="22"/>
      <tableStyleElement type="headerRow" dxfId="21"/>
    </tableStyle>
  </tableStyles>
  <colors>
    <mruColors>
      <color rgb="FFD1512D"/>
      <color rgb="FF002B5B"/>
      <color rgb="FFE8AA42"/>
      <color rgb="FF019267"/>
      <color rgb="FF8FE3CF"/>
      <color rgb="FF355764"/>
    </mruColors>
  </colors>
  <extLst>
    <ext xmlns:x14="http://schemas.microsoft.com/office/spreadsheetml/2009/9/main" uri="{46F421CA-312F-682f-3DD2-61675219B42D}">
      <x14:dxfs count="1">
        <dxf>
          <fill>
            <patternFill>
              <bgColor theme="5"/>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019267"/>
              </a:solidFill>
              <a:ln w="19050">
                <a:noFill/>
              </a:ln>
              <a:effectLst/>
            </c:spPr>
            <c:extLst>
              <c:ext xmlns:c16="http://schemas.microsoft.com/office/drawing/2014/chart" uri="{C3380CC4-5D6E-409C-BE32-E72D297353CC}">
                <c16:uniqueId val="{00000001-E4FA-4087-BD8C-70F4F9FE7555}"/>
              </c:ext>
            </c:extLst>
          </c:dPt>
          <c:dPt>
            <c:idx val="1"/>
            <c:bubble3D val="0"/>
            <c:spPr>
              <a:solidFill>
                <a:schemeClr val="bg1">
                  <a:lumMod val="75000"/>
                </a:schemeClr>
              </a:solidFill>
              <a:ln w="19050">
                <a:noFill/>
              </a:ln>
              <a:effectLst/>
            </c:spPr>
            <c:extLst>
              <c:ext xmlns:c16="http://schemas.microsoft.com/office/drawing/2014/chart" uri="{C3380CC4-5D6E-409C-BE32-E72D297353CC}">
                <c16:uniqueId val="{00000003-E4FA-4087-BD8C-70F4F9FE7555}"/>
              </c:ext>
            </c:extLst>
          </c:dPt>
          <c:val>
            <c:numRef>
              <c:f>lookup!$C$5:$D$5</c:f>
              <c:numCache>
                <c:formatCode>0.0%</c:formatCode>
                <c:ptCount val="2"/>
                <c:pt idx="0">
                  <c:v>0.99447513812154698</c:v>
                </c:pt>
                <c:pt idx="1">
                  <c:v>5.5248618784530246E-3</c:v>
                </c:pt>
              </c:numCache>
            </c:numRef>
          </c:val>
          <c:extLst>
            <c:ext xmlns:c16="http://schemas.microsoft.com/office/drawing/2014/chart" uri="{C3380CC4-5D6E-409C-BE32-E72D297353CC}">
              <c16:uniqueId val="{00000004-E4FA-4087-BD8C-70F4F9FE755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rgbClr val="019267"/>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lookup!$A$10:$A$18</c:f>
              <c:strCache>
                <c:ptCount val="9"/>
                <c:pt idx="0">
                  <c:v>Apron Charlie</c:v>
                </c:pt>
                <c:pt idx="1">
                  <c:v>Apron Echo</c:v>
                </c:pt>
                <c:pt idx="2">
                  <c:v>Apron Golf</c:v>
                </c:pt>
                <c:pt idx="3">
                  <c:v>Apron Quebec</c:v>
                </c:pt>
                <c:pt idx="4">
                  <c:v>Apron Sierra</c:v>
                </c:pt>
                <c:pt idx="5">
                  <c:v>Concourse A</c:v>
                </c:pt>
                <c:pt idx="6">
                  <c:v>Concourse B</c:v>
                </c:pt>
                <c:pt idx="7">
                  <c:v>Concourse C</c:v>
                </c:pt>
                <c:pt idx="8">
                  <c:v>Concourse D</c:v>
                </c:pt>
              </c:strCache>
            </c:strRef>
          </c:cat>
          <c:val>
            <c:numRef>
              <c:f>lookup!$D$10:$D$18</c:f>
              <c:numCache>
                <c:formatCode>0.0%</c:formatCode>
                <c:ptCount val="9"/>
                <c:pt idx="0">
                  <c:v>0.98305084745762716</c:v>
                </c:pt>
                <c:pt idx="1">
                  <c:v>1</c:v>
                </c:pt>
                <c:pt idx="2">
                  <c:v>1</c:v>
                </c:pt>
                <c:pt idx="3">
                  <c:v>1</c:v>
                </c:pt>
                <c:pt idx="4">
                  <c:v>1</c:v>
                </c:pt>
                <c:pt idx="5">
                  <c:v>0.98630136986301364</c:v>
                </c:pt>
                <c:pt idx="6">
                  <c:v>0.97752808988764039</c:v>
                </c:pt>
                <c:pt idx="7">
                  <c:v>1.0185185185185186</c:v>
                </c:pt>
                <c:pt idx="8">
                  <c:v>1</c:v>
                </c:pt>
              </c:numCache>
            </c:numRef>
          </c:val>
          <c:extLst>
            <c:ext xmlns:c16="http://schemas.microsoft.com/office/drawing/2014/chart" uri="{C3380CC4-5D6E-409C-BE32-E72D297353CC}">
              <c16:uniqueId val="{00000000-2ECC-419E-8943-FD40F7C565C8}"/>
            </c:ext>
          </c:extLst>
        </c:ser>
        <c:ser>
          <c:idx val="1"/>
          <c:order val="1"/>
          <c:spPr>
            <a:solidFill>
              <a:srgbClr val="D1512D"/>
            </a:solidFill>
            <a:ln>
              <a:noFill/>
            </a:ln>
            <a:effectLst/>
          </c:spPr>
          <c:invertIfNegative val="0"/>
          <c:cat>
            <c:strRef>
              <c:f>lookup!$A$10:$A$18</c:f>
              <c:strCache>
                <c:ptCount val="9"/>
                <c:pt idx="0">
                  <c:v>Apron Charlie</c:v>
                </c:pt>
                <c:pt idx="1">
                  <c:v>Apron Echo</c:v>
                </c:pt>
                <c:pt idx="2">
                  <c:v>Apron Golf</c:v>
                </c:pt>
                <c:pt idx="3">
                  <c:v>Apron Quebec</c:v>
                </c:pt>
                <c:pt idx="4">
                  <c:v>Apron Sierra</c:v>
                </c:pt>
                <c:pt idx="5">
                  <c:v>Concourse A</c:v>
                </c:pt>
                <c:pt idx="6">
                  <c:v>Concourse B</c:v>
                </c:pt>
                <c:pt idx="7">
                  <c:v>Concourse C</c:v>
                </c:pt>
                <c:pt idx="8">
                  <c:v>Concourse D</c:v>
                </c:pt>
              </c:strCache>
            </c:strRef>
          </c:cat>
          <c:val>
            <c:numRef>
              <c:f>lookup!$E$10:$E$18</c:f>
              <c:numCache>
                <c:formatCode>0.0%</c:formatCode>
                <c:ptCount val="9"/>
                <c:pt idx="0">
                  <c:v>1.6949152542372836E-2</c:v>
                </c:pt>
                <c:pt idx="1">
                  <c:v>0</c:v>
                </c:pt>
                <c:pt idx="2">
                  <c:v>0</c:v>
                </c:pt>
                <c:pt idx="3">
                  <c:v>0</c:v>
                </c:pt>
                <c:pt idx="4">
                  <c:v>0</c:v>
                </c:pt>
                <c:pt idx="5">
                  <c:v>1.3698630136986356E-2</c:v>
                </c:pt>
                <c:pt idx="6">
                  <c:v>2.2471910112359605E-2</c:v>
                </c:pt>
                <c:pt idx="7">
                  <c:v>-1.8518518518518601E-2</c:v>
                </c:pt>
                <c:pt idx="8">
                  <c:v>0</c:v>
                </c:pt>
              </c:numCache>
            </c:numRef>
          </c:val>
          <c:extLst>
            <c:ext xmlns:c16="http://schemas.microsoft.com/office/drawing/2014/chart" uri="{C3380CC4-5D6E-409C-BE32-E72D297353CC}">
              <c16:uniqueId val="{00000001-2ECC-419E-8943-FD40F7C565C8}"/>
            </c:ext>
          </c:extLst>
        </c:ser>
        <c:dLbls>
          <c:showLegendKey val="0"/>
          <c:showVal val="0"/>
          <c:showCatName val="0"/>
          <c:showSerName val="0"/>
          <c:showPercent val="0"/>
          <c:showBubbleSize val="0"/>
        </c:dLbls>
        <c:gapWidth val="150"/>
        <c:overlap val="100"/>
        <c:axId val="1281906175"/>
        <c:axId val="1281896607"/>
      </c:barChart>
      <c:catAx>
        <c:axId val="1281906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1281896607"/>
        <c:crosses val="autoZero"/>
        <c:auto val="1"/>
        <c:lblAlgn val="ctr"/>
        <c:lblOffset val="100"/>
        <c:noMultiLvlLbl val="0"/>
      </c:catAx>
      <c:valAx>
        <c:axId val="1281896607"/>
        <c:scaling>
          <c:orientation val="minMax"/>
          <c:max val="1"/>
          <c:min val="0"/>
        </c:scaling>
        <c:delete val="1"/>
        <c:axPos val="l"/>
        <c:numFmt formatCode="0.0%" sourceLinked="1"/>
        <c:majorTickMark val="none"/>
        <c:minorTickMark val="none"/>
        <c:tickLblPos val="nextTo"/>
        <c:crossAx val="12819061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[Daily_Data.xlsm]lookup!PivotTable2</c:name>
    <c:fmtId val="21"/>
  </c:pivotSource>
  <c:chart>
    <c:autoTitleDeleted val="1"/>
    <c:pivotFmts>
      <c:pivotFmt>
        <c:idx val="0"/>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
        <c:spPr>
          <a:solidFill>
            <a:schemeClr val="accent1"/>
          </a:solidFill>
          <a:ln w="28575" cap="rnd">
            <a:solidFill>
              <a:schemeClr val="accent1"/>
            </a:solidFill>
            <a:round/>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
        <c:spPr>
          <a:ln w="28575" cap="rnd">
            <a:solidFill>
              <a:srgbClr val="019267"/>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lookup!$J$26</c:f>
              <c:strCache>
                <c:ptCount val="1"/>
                <c:pt idx="0">
                  <c:v>Total</c:v>
                </c:pt>
              </c:strCache>
            </c:strRef>
          </c:tx>
          <c:spPr>
            <a:ln w="28575" cap="rnd">
              <a:solidFill>
                <a:srgbClr val="019267"/>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lookup!$I$27:$I$51</c:f>
              <c:strCache>
                <c:ptCount val="24"/>
                <c:pt idx="0">
                  <c:v>00</c:v>
                </c:pt>
                <c:pt idx="1">
                  <c:v>01</c:v>
                </c:pt>
                <c:pt idx="2">
                  <c:v>02</c:v>
                </c:pt>
                <c:pt idx="3">
                  <c:v>03</c:v>
                </c:pt>
                <c:pt idx="4">
                  <c:v>04</c:v>
                </c:pt>
                <c:pt idx="5">
                  <c:v>05</c:v>
                </c:pt>
                <c:pt idx="6">
                  <c:v>06</c:v>
                </c:pt>
                <c:pt idx="7">
                  <c:v>07</c:v>
                </c:pt>
                <c:pt idx="8">
                  <c:v>08</c:v>
                </c:pt>
                <c:pt idx="9">
                  <c:v>09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lookup!$J$27:$J$51</c:f>
              <c:numCache>
                <c:formatCode>General</c:formatCode>
                <c:ptCount val="24"/>
                <c:pt idx="0">
                  <c:v>24</c:v>
                </c:pt>
                <c:pt idx="1">
                  <c:v>32</c:v>
                </c:pt>
                <c:pt idx="2">
                  <c:v>28</c:v>
                </c:pt>
                <c:pt idx="3">
                  <c:v>18</c:v>
                </c:pt>
                <c:pt idx="4">
                  <c:v>19</c:v>
                </c:pt>
                <c:pt idx="5">
                  <c:v>16</c:v>
                </c:pt>
                <c:pt idx="6">
                  <c:v>23</c:v>
                </c:pt>
                <c:pt idx="7">
                  <c:v>26</c:v>
                </c:pt>
                <c:pt idx="8">
                  <c:v>30</c:v>
                </c:pt>
                <c:pt idx="9">
                  <c:v>16</c:v>
                </c:pt>
                <c:pt idx="10">
                  <c:v>13</c:v>
                </c:pt>
                <c:pt idx="11">
                  <c:v>16</c:v>
                </c:pt>
                <c:pt idx="12">
                  <c:v>13</c:v>
                </c:pt>
                <c:pt idx="13">
                  <c:v>12</c:v>
                </c:pt>
                <c:pt idx="14">
                  <c:v>27</c:v>
                </c:pt>
                <c:pt idx="15">
                  <c:v>29</c:v>
                </c:pt>
                <c:pt idx="16">
                  <c:v>26</c:v>
                </c:pt>
                <c:pt idx="17">
                  <c:v>26</c:v>
                </c:pt>
                <c:pt idx="18">
                  <c:v>30</c:v>
                </c:pt>
                <c:pt idx="19">
                  <c:v>31</c:v>
                </c:pt>
                <c:pt idx="20">
                  <c:v>37</c:v>
                </c:pt>
                <c:pt idx="21">
                  <c:v>20</c:v>
                </c:pt>
                <c:pt idx="22">
                  <c:v>14</c:v>
                </c:pt>
                <c:pt idx="23">
                  <c:v>17</c:v>
                </c:pt>
              </c:numCache>
            </c:numRef>
          </c:val>
          <c:smooth val="0"/>
          <c:extLst>
            <c:ext xmlns:c16="http://schemas.microsoft.com/office/drawing/2014/chart" uri="{C3380CC4-5D6E-409C-BE32-E72D297353CC}">
              <c16:uniqueId val="{00000000-1169-46B7-8810-8C6176926EAF}"/>
            </c:ext>
          </c:extLst>
        </c:ser>
        <c:dLbls>
          <c:dLblPos val="t"/>
          <c:showLegendKey val="0"/>
          <c:showVal val="1"/>
          <c:showCatName val="0"/>
          <c:showSerName val="0"/>
          <c:showPercent val="0"/>
          <c:showBubbleSize val="0"/>
        </c:dLbls>
        <c:smooth val="0"/>
        <c:axId val="1697073423"/>
        <c:axId val="1697076751"/>
      </c:lineChart>
      <c:catAx>
        <c:axId val="1697073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697076751"/>
        <c:crosses val="autoZero"/>
        <c:auto val="1"/>
        <c:lblAlgn val="ctr"/>
        <c:lblOffset val="100"/>
        <c:noMultiLvlLbl val="0"/>
      </c:catAx>
      <c:valAx>
        <c:axId val="1697076751"/>
        <c:scaling>
          <c:orientation val="minMax"/>
        </c:scaling>
        <c:delete val="1"/>
        <c:axPos val="l"/>
        <c:numFmt formatCode="General" sourceLinked="1"/>
        <c:majorTickMark val="none"/>
        <c:minorTickMark val="none"/>
        <c:tickLblPos val="nextTo"/>
        <c:crossAx val="1697073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[Daily_Data.xlsm]lookup!PivotTable1</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1512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lookup!$D$26</c:f>
              <c:strCache>
                <c:ptCount val="1"/>
                <c:pt idx="0">
                  <c:v>Total</c:v>
                </c:pt>
              </c:strCache>
            </c:strRef>
          </c:tx>
          <c:spPr>
            <a:solidFill>
              <a:srgbClr val="D1512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lookup!$C$27:$C$31</c:f>
              <c:strCache>
                <c:ptCount val="4"/>
                <c:pt idx="0">
                  <c:v>AutoCalibrationError</c:v>
                </c:pt>
                <c:pt idx="1">
                  <c:v>Minor display error - faulty LEDs detected</c:v>
                </c:pt>
                <c:pt idx="2">
                  <c:v>SBUStop - ScanFailed</c:v>
                </c:pt>
                <c:pt idx="3">
                  <c:v>SBUStop - AzimuthStop</c:v>
                </c:pt>
              </c:strCache>
            </c:strRef>
          </c:cat>
          <c:val>
            <c:numRef>
              <c:f>lookup!$D$27:$D$31</c:f>
              <c:numCache>
                <c:formatCode>General</c:formatCode>
                <c:ptCount val="4"/>
                <c:pt idx="0">
                  <c:v>8</c:v>
                </c:pt>
                <c:pt idx="1">
                  <c:v>2</c:v>
                </c:pt>
                <c:pt idx="2">
                  <c:v>1</c:v>
                </c:pt>
                <c:pt idx="3">
                  <c:v>1</c:v>
                </c:pt>
              </c:numCache>
            </c:numRef>
          </c:val>
          <c:extLst>
            <c:ext xmlns:c16="http://schemas.microsoft.com/office/drawing/2014/chart" uri="{C3380CC4-5D6E-409C-BE32-E72D297353CC}">
              <c16:uniqueId val="{00000000-2E16-4206-B332-9190E919584C}"/>
            </c:ext>
          </c:extLst>
        </c:ser>
        <c:dLbls>
          <c:dLblPos val="outEnd"/>
          <c:showLegendKey val="0"/>
          <c:showVal val="1"/>
          <c:showCatName val="0"/>
          <c:showSerName val="0"/>
          <c:showPercent val="0"/>
          <c:showBubbleSize val="0"/>
        </c:dLbls>
        <c:gapWidth val="182"/>
        <c:axId val="263855775"/>
        <c:axId val="263839551"/>
      </c:barChart>
      <c:catAx>
        <c:axId val="2638557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263839551"/>
        <c:crosses val="autoZero"/>
        <c:auto val="1"/>
        <c:lblAlgn val="ctr"/>
        <c:lblOffset val="100"/>
        <c:noMultiLvlLbl val="0"/>
      </c:catAx>
      <c:valAx>
        <c:axId val="263839551"/>
        <c:scaling>
          <c:orientation val="minMax"/>
        </c:scaling>
        <c:delete val="1"/>
        <c:axPos val="b"/>
        <c:numFmt formatCode="General" sourceLinked="1"/>
        <c:majorTickMark val="none"/>
        <c:minorTickMark val="none"/>
        <c:tickLblPos val="nextTo"/>
        <c:crossAx val="263855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[Daily_Data.xlsm]lookup!apron_error</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D1512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D1512D"/>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lookup!$Q$26</c:f>
              <c:strCache>
                <c:ptCount val="1"/>
                <c:pt idx="0">
                  <c:v>Total</c:v>
                </c:pt>
              </c:strCache>
            </c:strRef>
          </c:tx>
          <c:spPr>
            <a:solidFill>
              <a:srgbClr val="D1512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D1512D"/>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lookup!$P$27:$P$31</c:f>
              <c:strCache>
                <c:ptCount val="4"/>
                <c:pt idx="0">
                  <c:v>Apron Charlie</c:v>
                </c:pt>
                <c:pt idx="1">
                  <c:v>Apron Echo</c:v>
                </c:pt>
                <c:pt idx="2">
                  <c:v>Apron Sierra</c:v>
                </c:pt>
                <c:pt idx="3">
                  <c:v>Concourse A</c:v>
                </c:pt>
              </c:strCache>
            </c:strRef>
          </c:cat>
          <c:val>
            <c:numRef>
              <c:f>lookup!$Q$27:$Q$31</c:f>
              <c:numCache>
                <c:formatCode>General</c:formatCode>
                <c:ptCount val="4"/>
                <c:pt idx="0">
                  <c:v>1</c:v>
                </c:pt>
                <c:pt idx="1">
                  <c:v>7</c:v>
                </c:pt>
                <c:pt idx="2">
                  <c:v>3</c:v>
                </c:pt>
                <c:pt idx="3">
                  <c:v>1</c:v>
                </c:pt>
              </c:numCache>
            </c:numRef>
          </c:val>
          <c:extLst>
            <c:ext xmlns:c16="http://schemas.microsoft.com/office/drawing/2014/chart" uri="{C3380CC4-5D6E-409C-BE32-E72D297353CC}">
              <c16:uniqueId val="{00000000-1CDB-4F97-A4D6-FB65FB79FD94}"/>
            </c:ext>
          </c:extLst>
        </c:ser>
        <c:dLbls>
          <c:dLblPos val="outEnd"/>
          <c:showLegendKey val="0"/>
          <c:showVal val="1"/>
          <c:showCatName val="0"/>
          <c:showSerName val="0"/>
          <c:showPercent val="0"/>
          <c:showBubbleSize val="0"/>
        </c:dLbls>
        <c:gapWidth val="219"/>
        <c:overlap val="-27"/>
        <c:axId val="340111007"/>
        <c:axId val="340110175"/>
      </c:barChart>
      <c:catAx>
        <c:axId val="34011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340110175"/>
        <c:crosses val="autoZero"/>
        <c:auto val="1"/>
        <c:lblAlgn val="ctr"/>
        <c:lblOffset val="100"/>
        <c:noMultiLvlLbl val="0"/>
      </c:catAx>
      <c:valAx>
        <c:axId val="340110175"/>
        <c:scaling>
          <c:orientation val="minMax"/>
        </c:scaling>
        <c:delete val="1"/>
        <c:axPos val="l"/>
        <c:numFmt formatCode="General" sourceLinked="1"/>
        <c:majorTickMark val="none"/>
        <c:minorTickMark val="none"/>
        <c:tickLblPos val="nextTo"/>
        <c:crossAx val="3401110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sunburst" uniqueId="{27A6F101-B0F9-4150-A5B6-C05C6642C478}">
          <cx:tx>
            <cx:txData>
              <cx:f>_xlchart.v1.1</cx:f>
              <cx:v>Count of ID</cx:v>
            </cx:txData>
          </cx:tx>
          <cx:spPr>
            <a:ln w="38100">
              <a:solidFill>
                <a:srgbClr val="002B5B"/>
              </a:solidFill>
            </a:ln>
          </cx:spPr>
          <cx:dataPt idx="0">
            <cx:spPr>
              <a:solidFill>
                <a:srgbClr val="E8AA42"/>
              </a:solidFill>
            </cx:spPr>
          </cx:dataPt>
          <cx:dataLabels pos="ctr">
            <cx:visibility seriesName="0" categoryName="1" value="1"/>
            <cx:separator>, </cx:separator>
          </cx:dataLabels>
          <cx:dataId val="0"/>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microsoft.com/office/2014/relationships/chartEx" Target="../charts/chartEx1.xml"/><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2.jpg"/><Relationship Id="rId1" Type="http://schemas.openxmlformats.org/officeDocument/2006/relationships/image" Target="../media/image1.jpe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 Id="rId9"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76200</xdr:colOff>
          <xdr:row>4</xdr:row>
          <xdr:rowOff>171450</xdr:rowOff>
        </xdr:from>
        <xdr:to>
          <xdr:col>12</xdr:col>
          <xdr:colOff>333375</xdr:colOff>
          <xdr:row>6</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100" b="0" i="0" u="none" strike="noStrike" baseline="0">
                  <a:solidFill>
                    <a:srgbClr val="000000"/>
                  </a:solidFill>
                  <a:latin typeface="Verdana"/>
                  <a:ea typeface="Verdana"/>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38100</xdr:colOff>
          <xdr:row>7</xdr:row>
          <xdr:rowOff>85725</xdr:rowOff>
        </xdr:from>
        <xdr:to>
          <xdr:col>12</xdr:col>
          <xdr:colOff>371475</xdr:colOff>
          <xdr:row>10</xdr:row>
          <xdr:rowOff>57150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9805416D-1DFC-11C0-C1AF-4B7A49523DD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100" b="0" i="0" u="none" strike="noStrike" baseline="0">
                  <a:solidFill>
                    <a:srgbClr val="000000"/>
                  </a:solidFill>
                  <a:latin typeface="Verdana"/>
                  <a:ea typeface="Verdana"/>
                </a:rPr>
                <a:t>Load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11</xdr:col>
      <xdr:colOff>441571</xdr:colOff>
      <xdr:row>0</xdr:row>
      <xdr:rowOff>53974</xdr:rowOff>
    </xdr:from>
    <xdr:to>
      <xdr:col>14</xdr:col>
      <xdr:colOff>603250</xdr:colOff>
      <xdr:row>1</xdr:row>
      <xdr:rowOff>493713</xdr:rowOff>
    </xdr:to>
    <xdr:pic>
      <xdr:nvPicPr>
        <xdr:cNvPr id="21" name="Picture 20">
          <a:extLst>
            <a:ext uri="{FF2B5EF4-FFF2-40B4-BE49-F238E27FC236}">
              <a16:creationId xmlns:a16="http://schemas.microsoft.com/office/drawing/2014/main" id="{DA91D089-99F6-4F69-96ED-FDB83A08EB8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23396" y="53974"/>
          <a:ext cx="1990479" cy="649289"/>
        </a:xfrm>
        <a:prstGeom prst="rect">
          <a:avLst/>
        </a:prstGeom>
      </xdr:spPr>
    </xdr:pic>
    <xdr:clientData/>
  </xdr:twoCellAnchor>
  <xdr:twoCellAnchor editAs="oneCell">
    <xdr:from>
      <xdr:col>0</xdr:col>
      <xdr:colOff>1</xdr:colOff>
      <xdr:row>0</xdr:row>
      <xdr:rowOff>0</xdr:rowOff>
    </xdr:from>
    <xdr:to>
      <xdr:col>3</xdr:col>
      <xdr:colOff>196935</xdr:colOff>
      <xdr:row>1</xdr:row>
      <xdr:rowOff>481013</xdr:rowOff>
    </xdr:to>
    <xdr:pic>
      <xdr:nvPicPr>
        <xdr:cNvPr id="22" name="Picture 21">
          <a:extLst>
            <a:ext uri="{FF2B5EF4-FFF2-40B4-BE49-F238E27FC236}">
              <a16:creationId xmlns:a16="http://schemas.microsoft.com/office/drawing/2014/main" id="{CD720E36-A94D-482C-9697-DE617D6C367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0"/>
          <a:ext cx="2025734" cy="690563"/>
        </a:xfrm>
        <a:prstGeom prst="rect">
          <a:avLst/>
        </a:prstGeom>
      </xdr:spPr>
    </xdr:pic>
    <xdr:clientData/>
  </xdr:twoCellAnchor>
  <xdr:twoCellAnchor>
    <xdr:from>
      <xdr:col>1</xdr:col>
      <xdr:colOff>27348</xdr:colOff>
      <xdr:row>12</xdr:row>
      <xdr:rowOff>134243</xdr:rowOff>
    </xdr:from>
    <xdr:to>
      <xdr:col>5</xdr:col>
      <xdr:colOff>353652</xdr:colOff>
      <xdr:row>24</xdr:row>
      <xdr:rowOff>8145</xdr:rowOff>
    </xdr:to>
    <xdr:graphicFrame macro="">
      <xdr:nvGraphicFramePr>
        <xdr:cNvPr id="321" name="Chart 320">
          <a:extLst>
            <a:ext uri="{FF2B5EF4-FFF2-40B4-BE49-F238E27FC236}">
              <a16:creationId xmlns:a16="http://schemas.microsoft.com/office/drawing/2014/main" id="{B0BE44A0-62E2-49F7-BF7C-7C8B809488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133351</xdr:colOff>
      <xdr:row>40</xdr:row>
      <xdr:rowOff>6</xdr:rowOff>
    </xdr:from>
    <xdr:to>
      <xdr:col>14</xdr:col>
      <xdr:colOff>533401</xdr:colOff>
      <xdr:row>78</xdr:row>
      <xdr:rowOff>76210</xdr:rowOff>
    </xdr:to>
    <xdr:sp macro="" textlink="">
      <xdr:nvSpPr>
        <xdr:cNvPr id="328" name="Rectangle: Rounded Corners 327">
          <a:extLst>
            <a:ext uri="{FF2B5EF4-FFF2-40B4-BE49-F238E27FC236}">
              <a16:creationId xmlns:a16="http://schemas.microsoft.com/office/drawing/2014/main" id="{0E910EC4-66C9-7D01-4D51-51B1B0BB953E}"/>
            </a:ext>
          </a:extLst>
        </xdr:cNvPr>
        <xdr:cNvSpPr/>
      </xdr:nvSpPr>
      <xdr:spPr>
        <a:xfrm>
          <a:off x="133351" y="7839081"/>
          <a:ext cx="9210675" cy="7315204"/>
        </a:xfrm>
        <a:prstGeom prst="roundRect">
          <a:avLst>
            <a:gd name="adj" fmla="val 2773"/>
          </a:avLst>
        </a:prstGeom>
        <a:solidFill>
          <a:srgbClr val="002B5B"/>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3</xdr:col>
      <xdr:colOff>76200</xdr:colOff>
      <xdr:row>40</xdr:row>
      <xdr:rowOff>148639</xdr:rowOff>
    </xdr:from>
    <xdr:ext cx="771525" cy="413336"/>
    <xdr:sp macro="" textlink="lookup!B22">
      <xdr:nvSpPr>
        <xdr:cNvPr id="333" name="TextBox 332">
          <a:extLst>
            <a:ext uri="{FF2B5EF4-FFF2-40B4-BE49-F238E27FC236}">
              <a16:creationId xmlns:a16="http://schemas.microsoft.com/office/drawing/2014/main" id="{0B13817B-DFD6-40D2-BC70-857FC2CE4F4A}"/>
            </a:ext>
          </a:extLst>
        </xdr:cNvPr>
        <xdr:cNvSpPr txBox="1"/>
      </xdr:nvSpPr>
      <xdr:spPr>
        <a:xfrm>
          <a:off x="1609725" y="7987714"/>
          <a:ext cx="771525" cy="413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F45F45EF-E29F-40DD-811B-69B6EE2BF561}" type="TxLink">
            <a:rPr lang="en-US" sz="2000" b="1" i="0" u="none" strike="noStrike">
              <a:solidFill>
                <a:srgbClr val="D1512D"/>
              </a:solidFill>
              <a:latin typeface="Calibri"/>
              <a:ea typeface="Calibri"/>
              <a:cs typeface="Calibri"/>
            </a:rPr>
            <a:t>12</a:t>
          </a:fld>
          <a:endParaRPr lang="en-IN" sz="2000" b="1">
            <a:solidFill>
              <a:srgbClr val="D1512D"/>
            </a:solidFill>
          </a:endParaRPr>
        </a:p>
      </xdr:txBody>
    </xdr:sp>
    <xdr:clientData/>
  </xdr:oneCellAnchor>
  <xdr:twoCellAnchor editAs="oneCell">
    <xdr:from>
      <xdr:col>11</xdr:col>
      <xdr:colOff>441571</xdr:colOff>
      <xdr:row>0</xdr:row>
      <xdr:rowOff>53974</xdr:rowOff>
    </xdr:from>
    <xdr:to>
      <xdr:col>14</xdr:col>
      <xdr:colOff>603250</xdr:colOff>
      <xdr:row>1</xdr:row>
      <xdr:rowOff>493713</xdr:rowOff>
    </xdr:to>
    <xdr:pic>
      <xdr:nvPicPr>
        <xdr:cNvPr id="364" name="Picture 363">
          <a:extLst>
            <a:ext uri="{FF2B5EF4-FFF2-40B4-BE49-F238E27FC236}">
              <a16:creationId xmlns:a16="http://schemas.microsoft.com/office/drawing/2014/main" id="{4ED5A9CA-AF08-416A-8A48-BC440171662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423396" y="53974"/>
          <a:ext cx="1990479" cy="649289"/>
        </a:xfrm>
        <a:prstGeom prst="rect">
          <a:avLst/>
        </a:prstGeom>
      </xdr:spPr>
    </xdr:pic>
    <xdr:clientData/>
  </xdr:twoCellAnchor>
  <xdr:twoCellAnchor editAs="oneCell">
    <xdr:from>
      <xdr:col>0</xdr:col>
      <xdr:colOff>1</xdr:colOff>
      <xdr:row>0</xdr:row>
      <xdr:rowOff>0</xdr:rowOff>
    </xdr:from>
    <xdr:to>
      <xdr:col>3</xdr:col>
      <xdr:colOff>492210</xdr:colOff>
      <xdr:row>1</xdr:row>
      <xdr:rowOff>481013</xdr:rowOff>
    </xdr:to>
    <xdr:pic>
      <xdr:nvPicPr>
        <xdr:cNvPr id="365" name="Picture 364">
          <a:extLst>
            <a:ext uri="{FF2B5EF4-FFF2-40B4-BE49-F238E27FC236}">
              <a16:creationId xmlns:a16="http://schemas.microsoft.com/office/drawing/2014/main" id="{21209F9E-9EE9-4D57-8CA2-BE9AD7E0881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0"/>
          <a:ext cx="2025734" cy="690563"/>
        </a:xfrm>
        <a:prstGeom prst="rect">
          <a:avLst/>
        </a:prstGeom>
      </xdr:spPr>
    </xdr:pic>
    <xdr:clientData/>
  </xdr:twoCellAnchor>
  <xdr:twoCellAnchor>
    <xdr:from>
      <xdr:col>0</xdr:col>
      <xdr:colOff>104775</xdr:colOff>
      <xdr:row>12</xdr:row>
      <xdr:rowOff>34437</xdr:rowOff>
    </xdr:from>
    <xdr:to>
      <xdr:col>14</xdr:col>
      <xdr:colOff>476250</xdr:colOff>
      <xdr:row>25</xdr:row>
      <xdr:rowOff>163512</xdr:rowOff>
    </xdr:to>
    <xdr:grpSp>
      <xdr:nvGrpSpPr>
        <xdr:cNvPr id="6" name="Group 5">
          <a:extLst>
            <a:ext uri="{FF2B5EF4-FFF2-40B4-BE49-F238E27FC236}">
              <a16:creationId xmlns:a16="http://schemas.microsoft.com/office/drawing/2014/main" id="{1B95CBBB-8C80-ACD4-974B-975B7D7CC9E3}"/>
            </a:ext>
          </a:extLst>
        </xdr:cNvPr>
        <xdr:cNvGrpSpPr/>
      </xdr:nvGrpSpPr>
      <xdr:grpSpPr>
        <a:xfrm>
          <a:off x="104775" y="2425212"/>
          <a:ext cx="9182100" cy="2605575"/>
          <a:chOff x="104775" y="2653812"/>
          <a:chExt cx="9182100" cy="2605575"/>
        </a:xfrm>
      </xdr:grpSpPr>
      <xdr:grpSp>
        <xdr:nvGrpSpPr>
          <xdr:cNvPr id="4" name="Group 3">
            <a:extLst>
              <a:ext uri="{FF2B5EF4-FFF2-40B4-BE49-F238E27FC236}">
                <a16:creationId xmlns:a16="http://schemas.microsoft.com/office/drawing/2014/main" id="{60684A9A-D9B7-DF0F-6267-E8D6816A8D45}"/>
              </a:ext>
            </a:extLst>
          </xdr:cNvPr>
          <xdr:cNvGrpSpPr/>
        </xdr:nvGrpSpPr>
        <xdr:grpSpPr>
          <a:xfrm>
            <a:off x="104775" y="2653812"/>
            <a:ext cx="9182100" cy="2605575"/>
            <a:chOff x="133350" y="2949087"/>
            <a:chExt cx="9182100" cy="2605575"/>
          </a:xfrm>
        </xdr:grpSpPr>
        <xdr:grpSp>
          <xdr:nvGrpSpPr>
            <xdr:cNvPr id="2" name="Group 1">
              <a:extLst>
                <a:ext uri="{FF2B5EF4-FFF2-40B4-BE49-F238E27FC236}">
                  <a16:creationId xmlns:a16="http://schemas.microsoft.com/office/drawing/2014/main" id="{0CEEF9C9-BC20-89D2-4F3B-7C5B8CEB86E8}"/>
                </a:ext>
              </a:extLst>
            </xdr:cNvPr>
            <xdr:cNvGrpSpPr/>
          </xdr:nvGrpSpPr>
          <xdr:grpSpPr>
            <a:xfrm>
              <a:off x="133350" y="2949087"/>
              <a:ext cx="3338514" cy="2572238"/>
              <a:chOff x="133350" y="2949087"/>
              <a:chExt cx="3338514" cy="2572238"/>
            </a:xfrm>
          </xdr:grpSpPr>
          <xdr:sp macro="" textlink="">
            <xdr:nvSpPr>
              <xdr:cNvPr id="319" name="Rectangle: Rounded Corners 318">
                <a:extLst>
                  <a:ext uri="{FF2B5EF4-FFF2-40B4-BE49-F238E27FC236}">
                    <a16:creationId xmlns:a16="http://schemas.microsoft.com/office/drawing/2014/main" id="{B9707608-6EDD-4898-A218-4D582939DBEB}"/>
                  </a:ext>
                </a:extLst>
              </xdr:cNvPr>
              <xdr:cNvSpPr/>
            </xdr:nvSpPr>
            <xdr:spPr>
              <a:xfrm>
                <a:off x="133350" y="2949087"/>
                <a:ext cx="3338514" cy="2572238"/>
              </a:xfrm>
              <a:prstGeom prst="roundRect">
                <a:avLst>
                  <a:gd name="adj" fmla="val 5921"/>
                </a:avLst>
              </a:prstGeom>
              <a:solidFill>
                <a:srgbClr val="002B5B"/>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63" name="TextBox 662">
                <a:extLst>
                  <a:ext uri="{FF2B5EF4-FFF2-40B4-BE49-F238E27FC236}">
                    <a16:creationId xmlns:a16="http://schemas.microsoft.com/office/drawing/2014/main" id="{6588C403-0409-4B63-A6EC-287E67B61698}"/>
                  </a:ext>
                </a:extLst>
              </xdr:cNvPr>
              <xdr:cNvSpPr txBox="1"/>
            </xdr:nvSpPr>
            <xdr:spPr>
              <a:xfrm>
                <a:off x="184764" y="3008313"/>
                <a:ext cx="1608686" cy="3269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900" b="1" u="sng">
                    <a:solidFill>
                      <a:schemeClr val="bg1">
                        <a:lumMod val="85000"/>
                      </a:schemeClr>
                    </a:solidFill>
                  </a:rPr>
                  <a:t>OVERALL</a:t>
                </a:r>
                <a:r>
                  <a:rPr lang="en-IN" sz="900" b="1" u="sng" baseline="0">
                    <a:solidFill>
                      <a:schemeClr val="bg1">
                        <a:lumMod val="85000"/>
                      </a:schemeClr>
                    </a:solidFill>
                  </a:rPr>
                  <a:t> VDGS PERFORMANCE</a:t>
                </a:r>
                <a:endParaRPr lang="en-IN" sz="900" b="1" u="sng">
                  <a:solidFill>
                    <a:schemeClr val="bg1">
                      <a:lumMod val="85000"/>
                    </a:schemeClr>
                  </a:solidFill>
                </a:endParaRPr>
              </a:p>
            </xdr:txBody>
          </xdr:sp>
          <xdr:graphicFrame macro="">
            <xdr:nvGraphicFramePr>
              <xdr:cNvPr id="664" name="Chart 663">
                <a:extLst>
                  <a:ext uri="{FF2B5EF4-FFF2-40B4-BE49-F238E27FC236}">
                    <a16:creationId xmlns:a16="http://schemas.microsoft.com/office/drawing/2014/main" id="{4A3253CE-E9DE-4B6A-99B8-66CD3CCFC7BA}"/>
                  </a:ext>
                </a:extLst>
              </xdr:cNvPr>
              <xdr:cNvGraphicFramePr>
                <a:graphicFrameLocks/>
              </xdr:cNvGraphicFramePr>
            </xdr:nvGraphicFramePr>
            <xdr:xfrm>
              <a:off x="420255" y="3155255"/>
              <a:ext cx="2764704" cy="2159902"/>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3" name="Group 2">
              <a:extLst>
                <a:ext uri="{FF2B5EF4-FFF2-40B4-BE49-F238E27FC236}">
                  <a16:creationId xmlns:a16="http://schemas.microsoft.com/office/drawing/2014/main" id="{BED935CC-471D-5A76-E8E1-8BD42F0794A8}"/>
                </a:ext>
              </a:extLst>
            </xdr:cNvPr>
            <xdr:cNvGrpSpPr/>
          </xdr:nvGrpSpPr>
          <xdr:grpSpPr>
            <a:xfrm>
              <a:off x="3559173" y="2958612"/>
              <a:ext cx="5756277" cy="2596050"/>
              <a:chOff x="3559173" y="2958612"/>
              <a:chExt cx="5756277" cy="2596050"/>
            </a:xfrm>
          </xdr:grpSpPr>
          <xdr:sp macro="" textlink="">
            <xdr:nvSpPr>
              <xdr:cNvPr id="323" name="Rectangle: Rounded Corners 322">
                <a:extLst>
                  <a:ext uri="{FF2B5EF4-FFF2-40B4-BE49-F238E27FC236}">
                    <a16:creationId xmlns:a16="http://schemas.microsoft.com/office/drawing/2014/main" id="{085B4CA0-9E07-45BE-B7EE-067D897952F2}"/>
                  </a:ext>
                </a:extLst>
              </xdr:cNvPr>
              <xdr:cNvSpPr/>
            </xdr:nvSpPr>
            <xdr:spPr>
              <a:xfrm>
                <a:off x="3559173" y="2958612"/>
                <a:ext cx="5756277" cy="2572238"/>
              </a:xfrm>
              <a:prstGeom prst="roundRect">
                <a:avLst>
                  <a:gd name="adj" fmla="val 5921"/>
                </a:avLst>
              </a:prstGeom>
              <a:solidFill>
                <a:srgbClr val="002B5B"/>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67" name="Chart 666">
                <a:extLst>
                  <a:ext uri="{FF2B5EF4-FFF2-40B4-BE49-F238E27FC236}">
                    <a16:creationId xmlns:a16="http://schemas.microsoft.com/office/drawing/2014/main" id="{66BF3B89-EC82-4049-BF36-9215F6E8CD32}"/>
                  </a:ext>
                </a:extLst>
              </xdr:cNvPr>
              <xdr:cNvGraphicFramePr>
                <a:graphicFrameLocks/>
              </xdr:cNvGraphicFramePr>
            </xdr:nvGraphicFramePr>
            <xdr:xfrm>
              <a:off x="3587749" y="3236912"/>
              <a:ext cx="5646737" cy="2317750"/>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668" name="TextBox 667">
                <a:extLst>
                  <a:ext uri="{FF2B5EF4-FFF2-40B4-BE49-F238E27FC236}">
                    <a16:creationId xmlns:a16="http://schemas.microsoft.com/office/drawing/2014/main" id="{306C2AB9-FBFA-4A4C-9C50-94B299A3A591}"/>
                  </a:ext>
                </a:extLst>
              </xdr:cNvPr>
              <xdr:cNvSpPr txBox="1"/>
            </xdr:nvSpPr>
            <xdr:spPr>
              <a:xfrm>
                <a:off x="3609000" y="3005138"/>
                <a:ext cx="1885337" cy="3269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900" b="1" u="sng">
                    <a:solidFill>
                      <a:schemeClr val="bg1">
                        <a:lumMod val="85000"/>
                      </a:schemeClr>
                    </a:solidFill>
                  </a:rPr>
                  <a:t>APRON-WISE</a:t>
                </a:r>
                <a:r>
                  <a:rPr lang="en-IN" sz="900" b="1" u="sng" baseline="0">
                    <a:solidFill>
                      <a:schemeClr val="bg1">
                        <a:lumMod val="85000"/>
                      </a:schemeClr>
                    </a:solidFill>
                  </a:rPr>
                  <a:t> VDGS PERFORMANCE</a:t>
                </a:r>
                <a:endParaRPr lang="en-IN" sz="900" b="1" u="sng">
                  <a:solidFill>
                    <a:schemeClr val="bg1">
                      <a:lumMod val="85000"/>
                    </a:schemeClr>
                  </a:solidFill>
                </a:endParaRPr>
              </a:p>
            </xdr:txBody>
          </xdr:sp>
        </xdr:grpSp>
      </xdr:grpSp>
      <xdr:sp macro="" textlink="lookup!C5">
        <xdr:nvSpPr>
          <xdr:cNvPr id="665" name="TextBox 664">
            <a:extLst>
              <a:ext uri="{FF2B5EF4-FFF2-40B4-BE49-F238E27FC236}">
                <a16:creationId xmlns:a16="http://schemas.microsoft.com/office/drawing/2014/main" id="{56A6F5D5-09CD-4723-BF56-B90934DBD2BA}"/>
              </a:ext>
            </a:extLst>
          </xdr:cNvPr>
          <xdr:cNvSpPr txBox="1"/>
        </xdr:nvSpPr>
        <xdr:spPr>
          <a:xfrm>
            <a:off x="1158506" y="3636402"/>
            <a:ext cx="1288202" cy="6070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239281CE-209B-43A3-AC97-299D65C8F62B}" type="TxLink">
              <a:rPr lang="en-US" sz="3600" b="1" i="0" u="none" strike="noStrike">
                <a:solidFill>
                  <a:schemeClr val="bg1">
                    <a:lumMod val="85000"/>
                  </a:schemeClr>
                </a:solidFill>
                <a:latin typeface="Calibri"/>
                <a:ea typeface="Calibri"/>
                <a:cs typeface="Calibri"/>
              </a:rPr>
              <a:pPr algn="ctr"/>
              <a:t>99.4%</a:t>
            </a:fld>
            <a:endParaRPr lang="en-IN" sz="3600" b="1">
              <a:solidFill>
                <a:schemeClr val="bg1">
                  <a:lumMod val="85000"/>
                </a:schemeClr>
              </a:solidFill>
            </a:endParaRPr>
          </a:p>
        </xdr:txBody>
      </xdr:sp>
    </xdr:grpSp>
    <xdr:clientData/>
  </xdr:twoCellAnchor>
  <xdr:twoCellAnchor>
    <xdr:from>
      <xdr:col>0</xdr:col>
      <xdr:colOff>104775</xdr:colOff>
      <xdr:row>3</xdr:row>
      <xdr:rowOff>234462</xdr:rowOff>
    </xdr:from>
    <xdr:to>
      <xdr:col>14</xdr:col>
      <xdr:colOff>400050</xdr:colOff>
      <xdr:row>11</xdr:row>
      <xdr:rowOff>161925</xdr:rowOff>
    </xdr:to>
    <xdr:grpSp>
      <xdr:nvGrpSpPr>
        <xdr:cNvPr id="5" name="Group 4">
          <a:extLst>
            <a:ext uri="{FF2B5EF4-FFF2-40B4-BE49-F238E27FC236}">
              <a16:creationId xmlns:a16="http://schemas.microsoft.com/office/drawing/2014/main" id="{97804C79-B3AB-7270-DD9D-9BC274648B0D}"/>
            </a:ext>
          </a:extLst>
        </xdr:cNvPr>
        <xdr:cNvGrpSpPr/>
      </xdr:nvGrpSpPr>
      <xdr:grpSpPr>
        <a:xfrm>
          <a:off x="104775" y="986937"/>
          <a:ext cx="9105900" cy="1375263"/>
          <a:chOff x="104775" y="986937"/>
          <a:chExt cx="9105900" cy="1375263"/>
        </a:xfrm>
      </xdr:grpSpPr>
      <xdr:sp macro="" textlink="">
        <xdr:nvSpPr>
          <xdr:cNvPr id="689" name="Rectangle: Rounded Corners 688">
            <a:extLst>
              <a:ext uri="{FF2B5EF4-FFF2-40B4-BE49-F238E27FC236}">
                <a16:creationId xmlns:a16="http://schemas.microsoft.com/office/drawing/2014/main" id="{C15C8842-C1EB-FB37-9337-C4A0DA79941F}"/>
              </a:ext>
            </a:extLst>
          </xdr:cNvPr>
          <xdr:cNvSpPr/>
        </xdr:nvSpPr>
        <xdr:spPr>
          <a:xfrm>
            <a:off x="104775" y="986937"/>
            <a:ext cx="4457700" cy="1375263"/>
          </a:xfrm>
          <a:prstGeom prst="roundRect">
            <a:avLst>
              <a:gd name="adj" fmla="val 5921"/>
            </a:avLst>
          </a:prstGeom>
          <a:solidFill>
            <a:srgbClr val="002B5B"/>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90" name="TextBox 689">
            <a:extLst>
              <a:ext uri="{FF2B5EF4-FFF2-40B4-BE49-F238E27FC236}">
                <a16:creationId xmlns:a16="http://schemas.microsoft.com/office/drawing/2014/main" id="{768B1103-BC6C-C60D-3914-525DF9B4E6C5}"/>
              </a:ext>
            </a:extLst>
          </xdr:cNvPr>
          <xdr:cNvSpPr txBox="1"/>
        </xdr:nvSpPr>
        <xdr:spPr>
          <a:xfrm>
            <a:off x="2219325" y="1000124"/>
            <a:ext cx="2181225" cy="134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IN" sz="4000" b="1">
                <a:solidFill>
                  <a:srgbClr val="E8AA42"/>
                </a:solidFill>
              </a:rPr>
              <a:t>Total Dockings</a:t>
            </a:r>
          </a:p>
        </xdr:txBody>
      </xdr:sp>
      <xdr:sp macro="" textlink="lookup!$B$4">
        <xdr:nvSpPr>
          <xdr:cNvPr id="693" name="TextBox 692">
            <a:extLst>
              <a:ext uri="{FF2B5EF4-FFF2-40B4-BE49-F238E27FC236}">
                <a16:creationId xmlns:a16="http://schemas.microsoft.com/office/drawing/2014/main" id="{2C58318D-E6DF-F85B-9E6F-5BF85A3E7292}"/>
              </a:ext>
            </a:extLst>
          </xdr:cNvPr>
          <xdr:cNvSpPr txBox="1"/>
        </xdr:nvSpPr>
        <xdr:spPr>
          <a:xfrm>
            <a:off x="219075" y="1028700"/>
            <a:ext cx="1981200" cy="1219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r"/>
            <a:fld id="{8CA9FDAD-2126-46C9-9DB3-BAC02981964D}" type="TxLink">
              <a:rPr lang="en-US" sz="7200" b="1" i="0" u="none" strike="noStrike">
                <a:solidFill>
                  <a:srgbClr val="FFFF00"/>
                </a:solidFill>
                <a:latin typeface="Calibri"/>
                <a:ea typeface="Calibri"/>
                <a:cs typeface="Calibri"/>
              </a:rPr>
              <a:pPr algn="r"/>
              <a:t>543</a:t>
            </a:fld>
            <a:endParaRPr lang="en-IN" sz="7200" b="1">
              <a:solidFill>
                <a:srgbClr val="FFFF00"/>
              </a:solidFill>
            </a:endParaRPr>
          </a:p>
        </xdr:txBody>
      </xdr:sp>
      <xdr:sp macro="" textlink="">
        <xdr:nvSpPr>
          <xdr:cNvPr id="691" name="Rectangle: Rounded Corners 690">
            <a:extLst>
              <a:ext uri="{FF2B5EF4-FFF2-40B4-BE49-F238E27FC236}">
                <a16:creationId xmlns:a16="http://schemas.microsoft.com/office/drawing/2014/main" id="{17F5C584-60EB-4A84-6398-7FF3AEF4F95B}"/>
              </a:ext>
            </a:extLst>
          </xdr:cNvPr>
          <xdr:cNvSpPr/>
        </xdr:nvSpPr>
        <xdr:spPr>
          <a:xfrm>
            <a:off x="4838700" y="986937"/>
            <a:ext cx="4371975" cy="1375263"/>
          </a:xfrm>
          <a:prstGeom prst="roundRect">
            <a:avLst>
              <a:gd name="adj" fmla="val 5921"/>
            </a:avLst>
          </a:prstGeom>
          <a:solidFill>
            <a:srgbClr val="002B5B"/>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92" name="TextBox 691">
            <a:extLst>
              <a:ext uri="{FF2B5EF4-FFF2-40B4-BE49-F238E27FC236}">
                <a16:creationId xmlns:a16="http://schemas.microsoft.com/office/drawing/2014/main" id="{9F30736F-12DC-ED7E-C49A-71F325502EF6}"/>
              </a:ext>
            </a:extLst>
          </xdr:cNvPr>
          <xdr:cNvSpPr txBox="1"/>
        </xdr:nvSpPr>
        <xdr:spPr>
          <a:xfrm>
            <a:off x="6905625" y="1000124"/>
            <a:ext cx="2200275" cy="134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IN" sz="4000" b="1">
                <a:solidFill>
                  <a:srgbClr val="E8AA42"/>
                </a:solidFill>
              </a:rPr>
              <a:t>Succesful Dockings</a:t>
            </a:r>
          </a:p>
        </xdr:txBody>
      </xdr:sp>
      <xdr:sp macro="" textlink="lookup!$B$5">
        <xdr:nvSpPr>
          <xdr:cNvPr id="694" name="TextBox 693">
            <a:extLst>
              <a:ext uri="{FF2B5EF4-FFF2-40B4-BE49-F238E27FC236}">
                <a16:creationId xmlns:a16="http://schemas.microsoft.com/office/drawing/2014/main" id="{631CD0C2-465F-6E45-6811-86F43B5051CF}"/>
              </a:ext>
            </a:extLst>
          </xdr:cNvPr>
          <xdr:cNvSpPr txBox="1"/>
        </xdr:nvSpPr>
        <xdr:spPr>
          <a:xfrm>
            <a:off x="4914900" y="1009650"/>
            <a:ext cx="1981200" cy="1219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r"/>
            <a:fld id="{3528EBEB-299C-4316-A8C9-471EEEC99447}" type="TxLink">
              <a:rPr lang="en-US" sz="7200" b="1" i="0" u="none" strike="noStrike">
                <a:solidFill>
                  <a:srgbClr val="FFFF00"/>
                </a:solidFill>
                <a:latin typeface="Calibri"/>
                <a:ea typeface="Calibri"/>
                <a:cs typeface="Calibri"/>
              </a:rPr>
              <a:pPr algn="r"/>
              <a:t>540</a:t>
            </a:fld>
            <a:endParaRPr lang="en-IN" sz="7200" b="1">
              <a:solidFill>
                <a:srgbClr val="FFFF00"/>
              </a:solidFill>
            </a:endParaRPr>
          </a:p>
        </xdr:txBody>
      </xdr:sp>
    </xdr:grpSp>
    <xdr:clientData/>
  </xdr:twoCellAnchor>
  <xdr:twoCellAnchor>
    <xdr:from>
      <xdr:col>0</xdr:col>
      <xdr:colOff>95250</xdr:colOff>
      <xdr:row>26</xdr:row>
      <xdr:rowOff>15387</xdr:rowOff>
    </xdr:from>
    <xdr:to>
      <xdr:col>14</xdr:col>
      <xdr:colOff>508002</xdr:colOff>
      <xdr:row>38</xdr:row>
      <xdr:rowOff>85725</xdr:rowOff>
    </xdr:to>
    <xdr:grpSp>
      <xdr:nvGrpSpPr>
        <xdr:cNvPr id="7" name="Group 6">
          <a:extLst>
            <a:ext uri="{FF2B5EF4-FFF2-40B4-BE49-F238E27FC236}">
              <a16:creationId xmlns:a16="http://schemas.microsoft.com/office/drawing/2014/main" id="{8B7AEE11-A99D-931E-6550-44BF48BB7558}"/>
            </a:ext>
          </a:extLst>
        </xdr:cNvPr>
        <xdr:cNvGrpSpPr/>
      </xdr:nvGrpSpPr>
      <xdr:grpSpPr>
        <a:xfrm>
          <a:off x="95250" y="5073162"/>
          <a:ext cx="9223377" cy="2356338"/>
          <a:chOff x="95250" y="5320812"/>
          <a:chExt cx="9223377" cy="2356338"/>
        </a:xfrm>
      </xdr:grpSpPr>
      <xdr:sp macro="" textlink="">
        <xdr:nvSpPr>
          <xdr:cNvPr id="666" name="Rectangle: Rounded Corners 665">
            <a:extLst>
              <a:ext uri="{FF2B5EF4-FFF2-40B4-BE49-F238E27FC236}">
                <a16:creationId xmlns:a16="http://schemas.microsoft.com/office/drawing/2014/main" id="{7F3174FB-F1FD-E66E-DF16-6FF65114D3D1}"/>
              </a:ext>
            </a:extLst>
          </xdr:cNvPr>
          <xdr:cNvSpPr/>
        </xdr:nvSpPr>
        <xdr:spPr>
          <a:xfrm>
            <a:off x="95250" y="5320812"/>
            <a:ext cx="9223377" cy="2356338"/>
          </a:xfrm>
          <a:prstGeom prst="roundRect">
            <a:avLst>
              <a:gd name="adj" fmla="val 5921"/>
            </a:avLst>
          </a:prstGeom>
          <a:solidFill>
            <a:srgbClr val="002B5B"/>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662" name="Chart 661">
            <a:extLst>
              <a:ext uri="{FF2B5EF4-FFF2-40B4-BE49-F238E27FC236}">
                <a16:creationId xmlns:a16="http://schemas.microsoft.com/office/drawing/2014/main" id="{250BA0B7-D9B2-4FAB-9E6D-25756A611690}"/>
              </a:ext>
            </a:extLst>
          </xdr:cNvPr>
          <xdr:cNvGraphicFramePr>
            <a:graphicFrameLocks/>
          </xdr:cNvGraphicFramePr>
        </xdr:nvGraphicFramePr>
        <xdr:xfrm>
          <a:off x="257174" y="5562599"/>
          <a:ext cx="9000000" cy="2070000"/>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oneCellAnchor>
    <xdr:from>
      <xdr:col>0</xdr:col>
      <xdr:colOff>152400</xdr:colOff>
      <xdr:row>26</xdr:row>
      <xdr:rowOff>57150</xdr:rowOff>
    </xdr:from>
    <xdr:ext cx="1438022" cy="264560"/>
    <xdr:sp macro="" textlink="">
      <xdr:nvSpPr>
        <xdr:cNvPr id="8" name="TextBox 7">
          <a:extLst>
            <a:ext uri="{FF2B5EF4-FFF2-40B4-BE49-F238E27FC236}">
              <a16:creationId xmlns:a16="http://schemas.microsoft.com/office/drawing/2014/main" id="{50555EF2-7B65-0CA6-8947-152E42BCD6B9}"/>
            </a:ext>
          </a:extLst>
        </xdr:cNvPr>
        <xdr:cNvSpPr txBox="1"/>
      </xdr:nvSpPr>
      <xdr:spPr>
        <a:xfrm>
          <a:off x="152400" y="5114925"/>
          <a:ext cx="143802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100" b="1" u="sng">
              <a:solidFill>
                <a:schemeClr val="bg1">
                  <a:lumMod val="85000"/>
                </a:schemeClr>
              </a:solidFill>
            </a:rPr>
            <a:t>Total</a:t>
          </a:r>
          <a:r>
            <a:rPr lang="en-IN" sz="1100" b="1" u="sng" baseline="0">
              <a:solidFill>
                <a:schemeClr val="bg1">
                  <a:lumMod val="85000"/>
                </a:schemeClr>
              </a:solidFill>
            </a:rPr>
            <a:t> hourly dockings</a:t>
          </a:r>
          <a:endParaRPr lang="en-IN" sz="1100" b="1" u="sng">
            <a:solidFill>
              <a:schemeClr val="bg1">
                <a:lumMod val="85000"/>
              </a:schemeClr>
            </a:solidFill>
          </a:endParaRPr>
        </a:p>
      </xdr:txBody>
    </xdr:sp>
    <xdr:clientData/>
  </xdr:oneCellAnchor>
  <xdr:oneCellAnchor>
    <xdr:from>
      <xdr:col>0</xdr:col>
      <xdr:colOff>209550</xdr:colOff>
      <xdr:row>40</xdr:row>
      <xdr:rowOff>152495</xdr:rowOff>
    </xdr:from>
    <xdr:ext cx="1571626" cy="405432"/>
    <xdr:sp macro="" textlink="">
      <xdr:nvSpPr>
        <xdr:cNvPr id="680" name="TextBox 679">
          <a:extLst>
            <a:ext uri="{FF2B5EF4-FFF2-40B4-BE49-F238E27FC236}">
              <a16:creationId xmlns:a16="http://schemas.microsoft.com/office/drawing/2014/main" id="{11A33601-E5F0-35E6-C999-E93F378DEAE5}"/>
            </a:ext>
          </a:extLst>
        </xdr:cNvPr>
        <xdr:cNvSpPr txBox="1"/>
      </xdr:nvSpPr>
      <xdr:spPr>
        <a:xfrm>
          <a:off x="209550" y="7991570"/>
          <a:ext cx="1571626"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2000" b="1" i="0" u="none" strike="noStrike">
              <a:solidFill>
                <a:srgbClr val="D1512D"/>
              </a:solidFill>
              <a:latin typeface="+mn-lt"/>
              <a:ea typeface="Calibri"/>
              <a:cs typeface="Calibri"/>
            </a:rPr>
            <a:t>Total  Errors:</a:t>
          </a:r>
        </a:p>
      </xdr:txBody>
    </xdr:sp>
    <xdr:clientData/>
  </xdr:oneCellAnchor>
  <xdr:twoCellAnchor>
    <xdr:from>
      <xdr:col>1</xdr:col>
      <xdr:colOff>171452</xdr:colOff>
      <xdr:row>57</xdr:row>
      <xdr:rowOff>9525</xdr:rowOff>
    </xdr:from>
    <xdr:to>
      <xdr:col>6</xdr:col>
      <xdr:colOff>904876</xdr:colOff>
      <xdr:row>77</xdr:row>
      <xdr:rowOff>180974</xdr:rowOff>
    </xdr:to>
    <xdr:graphicFrame macro="">
      <xdr:nvGraphicFramePr>
        <xdr:cNvPr id="681" name="Chart 680">
          <a:extLst>
            <a:ext uri="{FF2B5EF4-FFF2-40B4-BE49-F238E27FC236}">
              <a16:creationId xmlns:a16="http://schemas.microsoft.com/office/drawing/2014/main" id="{55A54B97-E287-4E37-9711-9BF7F12334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800100</xdr:colOff>
      <xdr:row>51</xdr:row>
      <xdr:rowOff>95250</xdr:rowOff>
    </xdr:from>
    <xdr:to>
      <xdr:col>14</xdr:col>
      <xdr:colOff>476250</xdr:colOff>
      <xdr:row>78</xdr:row>
      <xdr:rowOff>19050</xdr:rowOff>
    </xdr:to>
    <mc:AlternateContent xmlns:mc="http://schemas.openxmlformats.org/markup-compatibility/2006">
      <mc:Choice xmlns:cx1="http://schemas.microsoft.com/office/drawing/2015/9/8/chartex" Requires="cx1">
        <xdr:graphicFrame macro="">
          <xdr:nvGraphicFramePr>
            <xdr:cNvPr id="682" name="Chart 681">
              <a:extLst>
                <a:ext uri="{FF2B5EF4-FFF2-40B4-BE49-F238E27FC236}">
                  <a16:creationId xmlns:a16="http://schemas.microsoft.com/office/drawing/2014/main" id="{D5657C5C-2014-4D20-A899-7E106C5281B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4162425" y="10029825"/>
              <a:ext cx="5124450" cy="50673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76201</xdr:colOff>
      <xdr:row>44</xdr:row>
      <xdr:rowOff>123830</xdr:rowOff>
    </xdr:from>
    <xdr:to>
      <xdr:col>6</xdr:col>
      <xdr:colOff>1171576</xdr:colOff>
      <xdr:row>53</xdr:row>
      <xdr:rowOff>133349</xdr:rowOff>
    </xdr:to>
    <xdr:graphicFrame macro="">
      <xdr:nvGraphicFramePr>
        <xdr:cNvPr id="683" name="Chart 682">
          <a:extLst>
            <a:ext uri="{FF2B5EF4-FFF2-40B4-BE49-F238E27FC236}">
              <a16:creationId xmlns:a16="http://schemas.microsoft.com/office/drawing/2014/main" id="{B945EBFF-F95A-4F60-9D9E-B58C21473D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7</xdr:col>
      <xdr:colOff>523876</xdr:colOff>
      <xdr:row>40</xdr:row>
      <xdr:rowOff>123832</xdr:rowOff>
    </xdr:from>
    <xdr:to>
      <xdr:col>14</xdr:col>
      <xdr:colOff>161925</xdr:colOff>
      <xdr:row>42</xdr:row>
      <xdr:rowOff>142875</xdr:rowOff>
    </xdr:to>
    <mc:AlternateContent xmlns:mc="http://schemas.openxmlformats.org/markup-compatibility/2006">
      <mc:Choice xmlns:a14="http://schemas.microsoft.com/office/drawing/2010/main" Requires="a14">
        <xdr:graphicFrame macro="">
          <xdr:nvGraphicFramePr>
            <xdr:cNvPr id="684" name="Error Type">
              <a:extLst>
                <a:ext uri="{FF2B5EF4-FFF2-40B4-BE49-F238E27FC236}">
                  <a16:creationId xmlns:a16="http://schemas.microsoft.com/office/drawing/2014/main" id="{1F9FD14D-E976-4A06-9E55-BEB28696E86A}"/>
                </a:ext>
              </a:extLst>
            </xdr:cNvPr>
            <xdr:cNvGraphicFramePr/>
          </xdr:nvGraphicFramePr>
          <xdr:xfrm>
            <a:off x="0" y="0"/>
            <a:ext cx="0" cy="0"/>
          </xdr:xfrm>
          <a:graphic>
            <a:graphicData uri="http://schemas.microsoft.com/office/drawing/2010/slicer">
              <sle:slicer xmlns:sle="http://schemas.microsoft.com/office/drawing/2010/slicer" name="Error Type"/>
            </a:graphicData>
          </a:graphic>
        </xdr:graphicFrame>
      </mc:Choice>
      <mc:Fallback>
        <xdr:sp macro="" textlink="">
          <xdr:nvSpPr>
            <xdr:cNvPr id="0" name=""/>
            <xdr:cNvSpPr>
              <a:spLocks noTextEdit="1"/>
            </xdr:cNvSpPr>
          </xdr:nvSpPr>
          <xdr:spPr>
            <a:xfrm>
              <a:off x="5067301" y="7962907"/>
              <a:ext cx="3905249" cy="4000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ivot_Macr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Lookup"/>
      <sheetName val="Summary"/>
      <sheetName val="Jira_issues"/>
      <sheetName val="Data_Pivot_Helper"/>
      <sheetName val="Data_Stage_Changes"/>
      <sheetName val="Data_Alarms"/>
      <sheetName val="Data_aibt_aobt"/>
      <sheetName val="Data_SOS_File_Size"/>
      <sheetName val="Data_Commands"/>
      <sheetName val="Data_Sam_Sequencing"/>
      <sheetName val="Data_Interface"/>
      <sheetName val="Stage_Changes"/>
      <sheetName val="VDGS_ID_Fails"/>
      <sheetName val="VDGS_Technical_Errors"/>
      <sheetName val="ARR_DEP_PER_STAND"/>
      <sheetName val="AIRCRAFT_TYPE"/>
      <sheetName val="VDGS_EVENT_SOURCE"/>
    </sheetNames>
    <sheetDataSet>
      <sheetData sheetId="0" refreshError="1"/>
      <sheetData sheetId="1">
        <row r="2">
          <cell r="F2" t="str">
            <v>Apron Charlie</v>
          </cell>
          <cell r="G2">
            <v>0.99204771371769385</v>
          </cell>
          <cell r="H2">
            <v>7.9522862823061535E-3</v>
          </cell>
        </row>
        <row r="3">
          <cell r="F3" t="str">
            <v>Apron Echo</v>
          </cell>
          <cell r="G3">
            <v>0.99385026737967919</v>
          </cell>
          <cell r="H3">
            <v>6.1497326203208136E-3</v>
          </cell>
        </row>
        <row r="4">
          <cell r="F4" t="str">
            <v>Apron Golf</v>
          </cell>
          <cell r="G4">
            <v>0.9813829787234043</v>
          </cell>
          <cell r="H4">
            <v>1.8617021276595702E-2</v>
          </cell>
        </row>
        <row r="5">
          <cell r="F5" t="str">
            <v>Apron Quebec</v>
          </cell>
          <cell r="G5">
            <v>0.99024390243902438</v>
          </cell>
          <cell r="H5">
            <v>9.7560975609756184E-3</v>
          </cell>
        </row>
        <row r="6">
          <cell r="F6" t="str">
            <v>Apron Sierra</v>
          </cell>
          <cell r="G6">
            <v>0.89937106918238996</v>
          </cell>
          <cell r="H6">
            <v>0.10062893081761004</v>
          </cell>
        </row>
        <row r="7">
          <cell r="F7" t="str">
            <v>Concourse A</v>
          </cell>
          <cell r="G7">
            <v>0.99618502622794469</v>
          </cell>
          <cell r="H7">
            <v>3.8149737720553079E-3</v>
          </cell>
        </row>
        <row r="8">
          <cell r="F8" t="str">
            <v>Concourse B</v>
          </cell>
          <cell r="G8">
            <v>0.99663928304705007</v>
          </cell>
          <cell r="H8">
            <v>3.360716952949927E-3</v>
          </cell>
        </row>
        <row r="9">
          <cell r="F9" t="str">
            <v>Concourse C</v>
          </cell>
          <cell r="G9">
            <v>0.99771036061820262</v>
          </cell>
          <cell r="H9">
            <v>2.2896393817973815E-3</v>
          </cell>
        </row>
        <row r="10">
          <cell r="F10" t="str">
            <v>Concourse D</v>
          </cell>
          <cell r="G10">
            <v>0.99587096774193551</v>
          </cell>
          <cell r="H10">
            <v>4.1290322580644911E-3</v>
          </cell>
          <cell r="N10" t="str">
            <v>Total Dockings</v>
          </cell>
        </row>
        <row r="11">
          <cell r="C11">
            <v>0.99204771371769385</v>
          </cell>
          <cell r="D11">
            <v>7.9522862823061535E-3</v>
          </cell>
          <cell r="M11" t="str">
            <v>C33</v>
          </cell>
          <cell r="N11">
            <v>121</v>
          </cell>
          <cell r="S11" t="str">
            <v>C41</v>
          </cell>
          <cell r="T11">
            <v>22</v>
          </cell>
          <cell r="V11" t="str">
            <v>AutoCalibrationError</v>
          </cell>
          <cell r="W11">
            <v>10</v>
          </cell>
        </row>
        <row r="12">
          <cell r="D12">
            <v>0.16438356164383561</v>
          </cell>
          <cell r="E12">
            <v>0.83561643835616439</v>
          </cell>
          <cell r="M12" t="str">
            <v>C20</v>
          </cell>
          <cell r="N12">
            <v>114</v>
          </cell>
          <cell r="S12" t="str">
            <v>C31</v>
          </cell>
          <cell r="T12">
            <v>18</v>
          </cell>
          <cell r="V12" t="str">
            <v>ConfigurationError - SystemIntegrity</v>
          </cell>
          <cell r="W12">
            <v>0</v>
          </cell>
          <cell r="AK12" t="str">
            <v>AutoCalibrationError</v>
          </cell>
          <cell r="AL12">
            <v>31</v>
          </cell>
        </row>
        <row r="13">
          <cell r="D13">
            <v>0.83561643835616439</v>
          </cell>
          <cell r="E13">
            <v>0.16438356164383561</v>
          </cell>
          <cell r="M13" t="str">
            <v>C22</v>
          </cell>
          <cell r="N13">
            <v>104</v>
          </cell>
          <cell r="S13" t="str">
            <v>C47</v>
          </cell>
          <cell r="T13">
            <v>14</v>
          </cell>
          <cell r="V13" t="str">
            <v>Major display error - faulty LED board detected</v>
          </cell>
          <cell r="W13">
            <v>4</v>
          </cell>
          <cell r="AB13" t="str">
            <v>E5</v>
          </cell>
          <cell r="AC13">
            <v>197</v>
          </cell>
          <cell r="AH13" t="str">
            <v>E23</v>
          </cell>
          <cell r="AI13">
            <v>81</v>
          </cell>
          <cell r="AK13" t="str">
            <v>ConfigurationError - SystemIntegrity</v>
          </cell>
          <cell r="AL13">
            <v>0</v>
          </cell>
          <cell r="AQ13" t="str">
            <v>G3</v>
          </cell>
          <cell r="AR13">
            <v>44</v>
          </cell>
          <cell r="AW13" t="str">
            <v>G10</v>
          </cell>
          <cell r="AX13">
            <v>28</v>
          </cell>
          <cell r="AZ13" t="str">
            <v>AutoCalibrationError</v>
          </cell>
          <cell r="BA13">
            <v>5</v>
          </cell>
          <cell r="BL13" t="str">
            <v>Q2</v>
          </cell>
          <cell r="BM13">
            <v>16</v>
          </cell>
        </row>
        <row r="14">
          <cell r="M14" t="str">
            <v>C23</v>
          </cell>
          <cell r="N14">
            <v>102</v>
          </cell>
          <cell r="S14" t="str">
            <v>C20</v>
          </cell>
          <cell r="T14">
            <v>11</v>
          </cell>
          <cell r="V14" t="str">
            <v>Minor display error - faulty LEDs detected</v>
          </cell>
          <cell r="W14">
            <v>7</v>
          </cell>
          <cell r="AB14" t="str">
            <v>E12R</v>
          </cell>
          <cell r="AC14">
            <v>197</v>
          </cell>
          <cell r="AH14" t="str">
            <v>E11L</v>
          </cell>
          <cell r="AI14">
            <v>61</v>
          </cell>
          <cell r="AK14" t="str">
            <v>Major display error - faulty LED board detected</v>
          </cell>
          <cell r="AL14">
            <v>12</v>
          </cell>
          <cell r="AQ14" t="str">
            <v>G5</v>
          </cell>
          <cell r="AR14">
            <v>43</v>
          </cell>
          <cell r="AW14" t="str">
            <v>G3</v>
          </cell>
          <cell r="AX14">
            <v>15</v>
          </cell>
          <cell r="AZ14" t="str">
            <v>ConfigurationError - SystemIntegrity</v>
          </cell>
          <cell r="BA14">
            <v>0</v>
          </cell>
          <cell r="BF14" t="str">
            <v>Q3</v>
          </cell>
          <cell r="BG14">
            <v>35</v>
          </cell>
          <cell r="BL14" t="str">
            <v>Q8</v>
          </cell>
          <cell r="BM14">
            <v>11</v>
          </cell>
        </row>
        <row r="15">
          <cell r="M15" t="str">
            <v>C21</v>
          </cell>
          <cell r="N15">
            <v>99</v>
          </cell>
          <cell r="S15" t="str">
            <v>C34</v>
          </cell>
          <cell r="T15">
            <v>11</v>
          </cell>
          <cell r="V15" t="str">
            <v>SBUStop - AzimuthStop</v>
          </cell>
          <cell r="W15">
            <v>0</v>
          </cell>
          <cell r="AB15" t="str">
            <v>E7L</v>
          </cell>
          <cell r="AC15">
            <v>193</v>
          </cell>
          <cell r="AH15" t="str">
            <v>E17</v>
          </cell>
          <cell r="AI15">
            <v>60</v>
          </cell>
          <cell r="AK15" t="str">
            <v>Minor display error - faulty LEDs detected</v>
          </cell>
          <cell r="AL15">
            <v>19</v>
          </cell>
          <cell r="AQ15" t="str">
            <v>G1</v>
          </cell>
          <cell r="AR15">
            <v>43</v>
          </cell>
          <cell r="AW15" t="str">
            <v>G21</v>
          </cell>
          <cell r="AX15">
            <v>11</v>
          </cell>
          <cell r="AZ15" t="str">
            <v>Major display error - faulty LED board detected</v>
          </cell>
          <cell r="BA15">
            <v>2</v>
          </cell>
          <cell r="BF15" t="str">
            <v>Q7</v>
          </cell>
          <cell r="BG15">
            <v>30</v>
          </cell>
          <cell r="BL15" t="str">
            <v>Q6</v>
          </cell>
          <cell r="BM15">
            <v>7</v>
          </cell>
        </row>
        <row r="16">
          <cell r="M16" t="str">
            <v>C19</v>
          </cell>
          <cell r="N16">
            <v>92</v>
          </cell>
          <cell r="V16" t="str">
            <v>SBUStop - LdmDataRate</v>
          </cell>
          <cell r="W16">
            <v>0</v>
          </cell>
          <cell r="AB16" t="str">
            <v>E8</v>
          </cell>
          <cell r="AC16">
            <v>190</v>
          </cell>
          <cell r="AH16" t="str">
            <v>E12L</v>
          </cell>
          <cell r="AI16">
            <v>55</v>
          </cell>
          <cell r="AK16" t="str">
            <v>SBUStop - AzimuthStop</v>
          </cell>
          <cell r="AL16">
            <v>3</v>
          </cell>
          <cell r="AQ16" t="str">
            <v>G7</v>
          </cell>
          <cell r="AR16">
            <v>40</v>
          </cell>
          <cell r="AW16" t="str">
            <v>G20</v>
          </cell>
          <cell r="AX16">
            <v>10</v>
          </cell>
          <cell r="AZ16" t="str">
            <v>Minor display error - faulty LEDs detected</v>
          </cell>
          <cell r="BA16">
            <v>7</v>
          </cell>
          <cell r="BF16" t="str">
            <v>Q2</v>
          </cell>
          <cell r="BG16">
            <v>29</v>
          </cell>
          <cell r="BL16" t="str">
            <v>Q4</v>
          </cell>
          <cell r="BM16">
            <v>7</v>
          </cell>
        </row>
        <row r="17">
          <cell r="M17" t="str">
            <v>C18</v>
          </cell>
          <cell r="N17">
            <v>90</v>
          </cell>
          <cell r="V17" t="str">
            <v>SBUStop - ScanFailed</v>
          </cell>
          <cell r="W17">
            <v>3</v>
          </cell>
          <cell r="AB17" t="str">
            <v>E11R</v>
          </cell>
          <cell r="AC17">
            <v>184</v>
          </cell>
          <cell r="AH17" t="str">
            <v>E15</v>
          </cell>
          <cell r="AI17">
            <v>55</v>
          </cell>
          <cell r="AK17" t="str">
            <v>SBUStop - LdmDataRate</v>
          </cell>
          <cell r="AL17">
            <v>0</v>
          </cell>
          <cell r="AQ17" t="str">
            <v>G2</v>
          </cell>
          <cell r="AR17">
            <v>40</v>
          </cell>
          <cell r="AW17" t="str">
            <v>G2</v>
          </cell>
          <cell r="AX17">
            <v>6</v>
          </cell>
          <cell r="AZ17" t="str">
            <v>SBUStop - AzimuthStop</v>
          </cell>
          <cell r="BA17">
            <v>0</v>
          </cell>
          <cell r="BF17" t="str">
            <v>Q8</v>
          </cell>
          <cell r="BG17">
            <v>28</v>
          </cell>
          <cell r="BL17" t="str">
            <v>Q7</v>
          </cell>
          <cell r="BM17">
            <v>5</v>
          </cell>
        </row>
        <row r="18">
          <cell r="M18" t="str">
            <v>C34</v>
          </cell>
          <cell r="N18">
            <v>90</v>
          </cell>
          <cell r="AB18" t="str">
            <v>E4</v>
          </cell>
          <cell r="AC18">
            <v>177</v>
          </cell>
          <cell r="AK18" t="str">
            <v>SBUStop - ScanFailed</v>
          </cell>
          <cell r="AL18">
            <v>1</v>
          </cell>
          <cell r="AQ18" t="str">
            <v>G4</v>
          </cell>
          <cell r="AR18">
            <v>39</v>
          </cell>
          <cell r="AZ18" t="str">
            <v>SBUStop - LdmDataRate</v>
          </cell>
          <cell r="BA18">
            <v>0</v>
          </cell>
          <cell r="BF18" t="str">
            <v>Q4</v>
          </cell>
          <cell r="BG18">
            <v>28</v>
          </cell>
        </row>
        <row r="19">
          <cell r="C19">
            <v>0.99385026737967919</v>
          </cell>
          <cell r="D19">
            <v>6.1497326203208136E-3</v>
          </cell>
          <cell r="M19" t="str">
            <v>C31</v>
          </cell>
          <cell r="N19">
            <v>89</v>
          </cell>
          <cell r="AB19" t="str">
            <v>E12L</v>
          </cell>
          <cell r="AC19">
            <v>176</v>
          </cell>
          <cell r="AQ19" t="str">
            <v>G15</v>
          </cell>
          <cell r="AR19">
            <v>37</v>
          </cell>
          <cell r="AZ19" t="str">
            <v>SBUStop - ScanFailed</v>
          </cell>
          <cell r="BA19">
            <v>0</v>
          </cell>
          <cell r="BF19" t="str">
            <v>Q5</v>
          </cell>
          <cell r="BG19">
            <v>28</v>
          </cell>
        </row>
        <row r="20">
          <cell r="D20">
            <v>5.9836808703535811E-2</v>
          </cell>
          <cell r="E20">
            <v>0.9401631912964642</v>
          </cell>
          <cell r="M20" t="str">
            <v>C47</v>
          </cell>
          <cell r="N20">
            <v>80</v>
          </cell>
          <cell r="AB20" t="str">
            <v>E10L</v>
          </cell>
          <cell r="AC20">
            <v>176</v>
          </cell>
          <cell r="AQ20" t="str">
            <v>G11</v>
          </cell>
          <cell r="AR20">
            <v>35</v>
          </cell>
          <cell r="BF20" t="str">
            <v>Q6</v>
          </cell>
          <cell r="BG20">
            <v>25</v>
          </cell>
        </row>
        <row r="21">
          <cell r="D21">
            <v>0.9401631912964642</v>
          </cell>
          <cell r="E21">
            <v>5.9836808703535804E-2</v>
          </cell>
          <cell r="V21" t="str">
            <v>ApronBlocked</v>
          </cell>
          <cell r="W21">
            <v>54</v>
          </cell>
          <cell r="AB21" t="str">
            <v>E9L</v>
          </cell>
          <cell r="AC21">
            <v>171</v>
          </cell>
          <cell r="AQ21" t="str">
            <v>G13</v>
          </cell>
          <cell r="AR21">
            <v>35</v>
          </cell>
          <cell r="BF21" t="str">
            <v/>
          </cell>
          <cell r="BG21" t="e">
            <v>#N/A</v>
          </cell>
        </row>
        <row r="22">
          <cell r="V22" t="str">
            <v>BridgeNotIn</v>
          </cell>
          <cell r="W22">
            <v>0</v>
          </cell>
          <cell r="AB22" t="str">
            <v>E6</v>
          </cell>
          <cell r="AC22">
            <v>170</v>
          </cell>
          <cell r="AK22" t="str">
            <v>ApronBlocked</v>
          </cell>
          <cell r="AL22">
            <v>829</v>
          </cell>
          <cell r="AQ22" t="str">
            <v>G12</v>
          </cell>
          <cell r="AR22">
            <v>34</v>
          </cell>
          <cell r="BF22" t="str">
            <v/>
          </cell>
          <cell r="BG22" t="e">
            <v>#N/A</v>
          </cell>
        </row>
        <row r="23">
          <cell r="V23" t="str">
            <v>GateBlocked</v>
          </cell>
          <cell r="W23">
            <v>37</v>
          </cell>
          <cell r="AK23" t="str">
            <v>BridgeNotIn</v>
          </cell>
          <cell r="AL23">
            <v>1</v>
          </cell>
          <cell r="AZ23" t="str">
            <v>ApronBlocked</v>
          </cell>
          <cell r="BA23">
            <v>55</v>
          </cell>
          <cell r="BF23" t="str">
            <v/>
          </cell>
          <cell r="BG23" t="e">
            <v>#N/A</v>
          </cell>
          <cell r="BO23" t="str">
            <v>ApronBlocked</v>
          </cell>
          <cell r="BP23">
            <v>36</v>
          </cell>
        </row>
        <row r="24">
          <cell r="V24" t="str">
            <v>IDFailed - EngineCheckFailed</v>
          </cell>
          <cell r="W24">
            <v>2</v>
          </cell>
          <cell r="AK24" t="str">
            <v>GateBlocked</v>
          </cell>
          <cell r="AL24">
            <v>153</v>
          </cell>
          <cell r="AZ24" t="str">
            <v>BridgeNotIn</v>
          </cell>
          <cell r="BA24">
            <v>0</v>
          </cell>
          <cell r="BO24" t="str">
            <v>BridgeNotIn</v>
          </cell>
          <cell r="BP24">
            <v>0</v>
          </cell>
        </row>
        <row r="25">
          <cell r="V25" t="str">
            <v>IDFailed - IdLostTrackCloseToStop</v>
          </cell>
          <cell r="W25">
            <v>8</v>
          </cell>
          <cell r="AK25" t="str">
            <v>IDFailed - EngineCheckFailed</v>
          </cell>
          <cell r="AL25">
            <v>7</v>
          </cell>
          <cell r="AZ25" t="str">
            <v>GateBlocked</v>
          </cell>
          <cell r="BA25">
            <v>30</v>
          </cell>
          <cell r="BO25" t="str">
            <v>GateBlocked</v>
          </cell>
          <cell r="BP25">
            <v>6</v>
          </cell>
        </row>
        <row r="26">
          <cell r="V26" t="str">
            <v>IDFailed - NoseHeightFailed</v>
          </cell>
          <cell r="W26">
            <v>11</v>
          </cell>
          <cell r="AK26" t="str">
            <v>IDFailed - IdLostTrackCloseToStop</v>
          </cell>
          <cell r="AL26">
            <v>23</v>
          </cell>
          <cell r="AZ26" t="str">
            <v>IDFailed - EngineCheckFailed</v>
          </cell>
          <cell r="BA26">
            <v>0</v>
          </cell>
          <cell r="BO26" t="str">
            <v>IDFailed - EngineCheckFailed</v>
          </cell>
          <cell r="BP26">
            <v>1</v>
          </cell>
        </row>
        <row r="27">
          <cell r="C27">
            <v>0.9813829787234043</v>
          </cell>
          <cell r="D27">
            <v>1.8617021276595702E-2</v>
          </cell>
          <cell r="V27" t="str">
            <v>IDFailed - ProfileFailed</v>
          </cell>
          <cell r="W27">
            <v>1</v>
          </cell>
          <cell r="AK27" t="str">
            <v>IDFailed - NoseHeightFailed</v>
          </cell>
          <cell r="AL27">
            <v>17</v>
          </cell>
          <cell r="AZ27" t="str">
            <v>IDFailed - IdLostTrackCloseToStop</v>
          </cell>
          <cell r="BA27">
            <v>3</v>
          </cell>
          <cell r="BO27" t="str">
            <v>IDFailed - IdLostTrackCloseToStop</v>
          </cell>
          <cell r="BP27">
            <v>0</v>
          </cell>
        </row>
        <row r="28">
          <cell r="D28">
            <v>0.12727272727272726</v>
          </cell>
          <cell r="E28">
            <v>0.8727272727272728</v>
          </cell>
          <cell r="V28" t="str">
            <v>IDFailed - VerAnalysisFailedTooClose</v>
          </cell>
          <cell r="W28">
            <v>9</v>
          </cell>
          <cell r="AK28" t="str">
            <v>IDFailed - ProfileFailed</v>
          </cell>
          <cell r="AL28">
            <v>0</v>
          </cell>
          <cell r="AZ28" t="str">
            <v>IDFailed - NoseHeightFailed</v>
          </cell>
          <cell r="BA28">
            <v>8</v>
          </cell>
          <cell r="BO28" t="str">
            <v>IDFailed - NoseHeightFailed</v>
          </cell>
          <cell r="BP28">
            <v>2</v>
          </cell>
        </row>
        <row r="29">
          <cell r="D29">
            <v>0.87272727272727268</v>
          </cell>
          <cell r="E29">
            <v>0.12727272727272732</v>
          </cell>
          <cell r="V29" t="str">
            <v>ViewBlocked</v>
          </cell>
          <cell r="W29">
            <v>0</v>
          </cell>
          <cell r="AK29" t="str">
            <v>IDFailed - VerAnalysisFailedTooClose</v>
          </cell>
          <cell r="AL29">
            <v>6</v>
          </cell>
          <cell r="AZ29" t="str">
            <v>IDFailed - ProfileFailed</v>
          </cell>
          <cell r="BA29">
            <v>0</v>
          </cell>
          <cell r="BO29" t="str">
            <v>IDFailed - ProfileFailed</v>
          </cell>
          <cell r="BP29">
            <v>0</v>
          </cell>
        </row>
        <row r="30">
          <cell r="AK30" t="str">
            <v>ViewBlocked</v>
          </cell>
          <cell r="AL30">
            <v>1</v>
          </cell>
          <cell r="AZ30" t="str">
            <v>IDFailed - VerAnalysisFailedTooClose</v>
          </cell>
          <cell r="BA30">
            <v>0</v>
          </cell>
          <cell r="BO30" t="str">
            <v>IDFailed - VerAnalysisFailedTooClose</v>
          </cell>
          <cell r="BP30">
            <v>0</v>
          </cell>
        </row>
        <row r="31">
          <cell r="AZ31" t="str">
            <v>ViewBlocked</v>
          </cell>
          <cell r="BA31">
            <v>0</v>
          </cell>
          <cell r="BO31" t="str">
            <v>ViewBlocked</v>
          </cell>
          <cell r="BP31">
            <v>0</v>
          </cell>
        </row>
        <row r="35">
          <cell r="C35">
            <v>0.99024390243902438</v>
          </cell>
          <cell r="D35">
            <v>9.7560975609756184E-3</v>
          </cell>
        </row>
        <row r="36">
          <cell r="D36">
            <v>0.30769230769230771</v>
          </cell>
          <cell r="E36">
            <v>0.69230769230769229</v>
          </cell>
        </row>
        <row r="37">
          <cell r="D37">
            <v>0.69230769230769229</v>
          </cell>
          <cell r="E37">
            <v>0.30769230769230771</v>
          </cell>
        </row>
        <row r="43">
          <cell r="C43">
            <v>0.89937106918238996</v>
          </cell>
          <cell r="D43">
            <v>0.10062893081761004</v>
          </cell>
        </row>
        <row r="44">
          <cell r="D44">
            <v>0.32758620689655171</v>
          </cell>
          <cell r="E44">
            <v>0.67241379310344829</v>
          </cell>
        </row>
        <row r="45">
          <cell r="D45">
            <v>0.67241379310344829</v>
          </cell>
          <cell r="E45">
            <v>0.32758620689655171</v>
          </cell>
        </row>
        <row r="51">
          <cell r="C51">
            <v>0.99618502622794469</v>
          </cell>
          <cell r="D51">
            <v>3.8149737720553079E-3</v>
          </cell>
        </row>
        <row r="52">
          <cell r="D52">
            <v>0.11450381679389313</v>
          </cell>
          <cell r="E52">
            <v>0.8854961832061069</v>
          </cell>
        </row>
        <row r="53">
          <cell r="D53">
            <v>0.8854961832061069</v>
          </cell>
          <cell r="E53">
            <v>0.1145038167938931</v>
          </cell>
        </row>
        <row r="59">
          <cell r="C59">
            <v>0.99663928304705007</v>
          </cell>
          <cell r="D59">
            <v>3.360716952949927E-3</v>
          </cell>
        </row>
        <row r="60">
          <cell r="D60">
            <v>4.7619047619047616E-2</v>
          </cell>
          <cell r="E60">
            <v>0.95238095238095233</v>
          </cell>
        </row>
        <row r="61">
          <cell r="D61">
            <v>0.95238095238095233</v>
          </cell>
          <cell r="E61">
            <v>4.7619047619047672E-2</v>
          </cell>
        </row>
        <row r="67">
          <cell r="C67">
            <v>0.99771036061820262</v>
          </cell>
          <cell r="D67">
            <v>2.2896393817973815E-3</v>
          </cell>
        </row>
        <row r="68">
          <cell r="D68">
            <v>6.1403508771929821E-2</v>
          </cell>
          <cell r="E68">
            <v>0.93859649122807021</v>
          </cell>
        </row>
        <row r="69">
          <cell r="D69">
            <v>0.93859649122807021</v>
          </cell>
          <cell r="E69">
            <v>6.1403508771929793E-2</v>
          </cell>
        </row>
        <row r="75">
          <cell r="C75">
            <v>0.99587096774193551</v>
          </cell>
          <cell r="D75">
            <v>4.1290322580644911E-3</v>
          </cell>
        </row>
        <row r="76">
          <cell r="D76">
            <v>5.2154195011337869E-2</v>
          </cell>
          <cell r="E76">
            <v>0.94784580498866211</v>
          </cell>
        </row>
        <row r="77">
          <cell r="D77">
            <v>0.94784580498866211</v>
          </cell>
          <cell r="E77">
            <v>5.2154195011337889E-2</v>
          </cell>
        </row>
        <row r="153">
          <cell r="L153" t="str">
            <v>S9</v>
          </cell>
          <cell r="M153">
            <v>24</v>
          </cell>
          <cell r="R153" t="str">
            <v>S1</v>
          </cell>
          <cell r="S153">
            <v>81</v>
          </cell>
          <cell r="U153" t="str">
            <v>AutoCalibrationError</v>
          </cell>
          <cell r="V153">
            <v>48</v>
          </cell>
        </row>
        <row r="154">
          <cell r="L154" t="str">
            <v>S12</v>
          </cell>
          <cell r="M154">
            <v>21</v>
          </cell>
          <cell r="R154" t="str">
            <v>S2</v>
          </cell>
          <cell r="S154">
            <v>39</v>
          </cell>
          <cell r="U154" t="str">
            <v>ConfigurationError - SystemIntegrity</v>
          </cell>
          <cell r="V154">
            <v>0</v>
          </cell>
          <cell r="AA154" t="str">
            <v>D10</v>
          </cell>
          <cell r="AB154">
            <v>126</v>
          </cell>
          <cell r="AG154" t="str">
            <v>A1</v>
          </cell>
          <cell r="AH154">
            <v>57</v>
          </cell>
          <cell r="AJ154" t="str">
            <v>AutoCalibrationError</v>
          </cell>
          <cell r="AK154">
            <v>32</v>
          </cell>
        </row>
        <row r="155">
          <cell r="L155" t="str">
            <v>S8</v>
          </cell>
          <cell r="M155">
            <v>21</v>
          </cell>
          <cell r="R155" t="str">
            <v>S10</v>
          </cell>
          <cell r="S155">
            <v>14</v>
          </cell>
          <cell r="U155" t="str">
            <v>Major display error - faulty LED board detected</v>
          </cell>
          <cell r="V155">
            <v>1</v>
          </cell>
          <cell r="AA155" t="str">
            <v>A1</v>
          </cell>
          <cell r="AB155">
            <v>122</v>
          </cell>
          <cell r="AG155" t="str">
            <v>A2</v>
          </cell>
          <cell r="AH155">
            <v>43</v>
          </cell>
          <cell r="AJ155" t="str">
            <v>ConfigurationError - SystemIntegrity</v>
          </cell>
          <cell r="AK155">
            <v>1</v>
          </cell>
          <cell r="AP155" t="str">
            <v>B16</v>
          </cell>
          <cell r="AQ155">
            <v>148</v>
          </cell>
          <cell r="AV155" t="str">
            <v>B27</v>
          </cell>
          <cell r="AW155">
            <v>46</v>
          </cell>
          <cell r="AY155" t="str">
            <v>AutoCalibrationError</v>
          </cell>
          <cell r="AZ155">
            <v>0</v>
          </cell>
        </row>
        <row r="156">
          <cell r="L156" t="str">
            <v>S14</v>
          </cell>
          <cell r="M156">
            <v>19</v>
          </cell>
          <cell r="R156" t="str">
            <v>S15</v>
          </cell>
          <cell r="S156">
            <v>9</v>
          </cell>
          <cell r="U156" t="str">
            <v>Minor display error - faulty LEDs detected</v>
          </cell>
          <cell r="V156">
            <v>5</v>
          </cell>
          <cell r="AA156" t="str">
            <v>D1</v>
          </cell>
          <cell r="AB156">
            <v>114</v>
          </cell>
          <cell r="AG156" t="str">
            <v>A8</v>
          </cell>
          <cell r="AH156">
            <v>35</v>
          </cell>
          <cell r="AJ156" t="str">
            <v>Major display error - faulty LED board detected</v>
          </cell>
          <cell r="AK156">
            <v>2</v>
          </cell>
          <cell r="AP156" t="str">
            <v>F24</v>
          </cell>
          <cell r="AQ156">
            <v>142</v>
          </cell>
          <cell r="AV156" t="str">
            <v>F16</v>
          </cell>
          <cell r="AW156">
            <v>33</v>
          </cell>
          <cell r="AY156" t="str">
            <v>ConfigurationError - SystemIntegrity</v>
          </cell>
          <cell r="AZ156">
            <v>0</v>
          </cell>
          <cell r="BE156" t="str">
            <v>B4</v>
          </cell>
          <cell r="BF156">
            <v>109</v>
          </cell>
          <cell r="BK156" t="str">
            <v>B8</v>
          </cell>
          <cell r="BL156">
            <v>139</v>
          </cell>
          <cell r="BN156" t="str">
            <v>AutoCalibrationError</v>
          </cell>
          <cell r="BO156">
            <v>13</v>
          </cell>
        </row>
        <row r="157">
          <cell r="L157" t="str">
            <v>S1</v>
          </cell>
          <cell r="M157">
            <v>17</v>
          </cell>
          <cell r="R157" t="str">
            <v>S3</v>
          </cell>
          <cell r="S157">
            <v>8</v>
          </cell>
          <cell r="U157" t="str">
            <v>SBUStop - AzimuthStop</v>
          </cell>
          <cell r="V157">
            <v>3</v>
          </cell>
          <cell r="AA157" t="str">
            <v>A4</v>
          </cell>
          <cell r="AB157">
            <v>112</v>
          </cell>
          <cell r="AG157" t="str">
            <v>A9</v>
          </cell>
          <cell r="AH157">
            <v>26</v>
          </cell>
          <cell r="AJ157" t="str">
            <v>Minor display error - faulty LEDs detected</v>
          </cell>
          <cell r="AK157">
            <v>7</v>
          </cell>
          <cell r="AP157" t="str">
            <v>B20</v>
          </cell>
          <cell r="AQ157">
            <v>142</v>
          </cell>
          <cell r="AV157" t="str">
            <v>F26</v>
          </cell>
          <cell r="AW157">
            <v>18</v>
          </cell>
          <cell r="AY157" t="str">
            <v>Major display error - faulty LED board detected</v>
          </cell>
          <cell r="AZ157">
            <v>6</v>
          </cell>
          <cell r="BE157" t="str">
            <v>B3</v>
          </cell>
          <cell r="BF157">
            <v>105</v>
          </cell>
          <cell r="BK157" t="str">
            <v>F5</v>
          </cell>
          <cell r="BL157">
            <v>67</v>
          </cell>
          <cell r="BN157" t="str">
            <v>ConfigurationError - SystemIntegrity</v>
          </cell>
          <cell r="BO157">
            <v>0</v>
          </cell>
          <cell r="BT157" t="str">
            <v>C55</v>
          </cell>
          <cell r="BU157">
            <v>440</v>
          </cell>
          <cell r="BZ157" t="str">
            <v>C56</v>
          </cell>
          <cell r="CA157">
            <v>161</v>
          </cell>
          <cell r="CC157" t="str">
            <v>AutoCalibrationError</v>
          </cell>
          <cell r="CD157">
            <v>1</v>
          </cell>
        </row>
        <row r="158">
          <cell r="L158" t="str">
            <v>S11</v>
          </cell>
          <cell r="M158">
            <v>15</v>
          </cell>
          <cell r="U158" t="str">
            <v>SBUStop - LdmDataRate</v>
          </cell>
          <cell r="V158">
            <v>0</v>
          </cell>
          <cell r="AA158" t="str">
            <v>D5</v>
          </cell>
          <cell r="AB158">
            <v>110</v>
          </cell>
          <cell r="AG158" t="str">
            <v>A7</v>
          </cell>
          <cell r="AH158">
            <v>21</v>
          </cell>
          <cell r="AJ158" t="str">
            <v>SBUStop - AzimuthStop</v>
          </cell>
          <cell r="AK158">
            <v>1</v>
          </cell>
          <cell r="AP158" t="str">
            <v>B14</v>
          </cell>
          <cell r="AQ158">
            <v>139</v>
          </cell>
          <cell r="AV158" t="str">
            <v>B21</v>
          </cell>
          <cell r="AW158">
            <v>12</v>
          </cell>
          <cell r="AY158" t="str">
            <v>Minor display error - faulty LEDs detected</v>
          </cell>
          <cell r="AZ158">
            <v>1</v>
          </cell>
          <cell r="BE158" t="str">
            <v>B1</v>
          </cell>
          <cell r="BF158">
            <v>104</v>
          </cell>
          <cell r="BK158" t="str">
            <v>F7</v>
          </cell>
          <cell r="BL158">
            <v>45</v>
          </cell>
          <cell r="BN158" t="str">
            <v>Major display error - faulty LED board detected</v>
          </cell>
          <cell r="BO158">
            <v>0</v>
          </cell>
          <cell r="BT158" t="str">
            <v>C53</v>
          </cell>
          <cell r="BU158">
            <v>405</v>
          </cell>
          <cell r="BZ158" t="str">
            <v>C51</v>
          </cell>
          <cell r="CA158">
            <v>48</v>
          </cell>
          <cell r="CC158" t="str">
            <v>ConfigurationError - SystemIntegrity</v>
          </cell>
          <cell r="CD158">
            <v>0</v>
          </cell>
        </row>
        <row r="159">
          <cell r="L159" t="str">
            <v>S13</v>
          </cell>
          <cell r="M159">
            <v>15</v>
          </cell>
          <cell r="U159" t="str">
            <v>SBUStop - ScanFailed</v>
          </cell>
          <cell r="V159">
            <v>0</v>
          </cell>
          <cell r="AA159" t="str">
            <v>A3</v>
          </cell>
          <cell r="AB159">
            <v>109</v>
          </cell>
          <cell r="AJ159" t="str">
            <v>SBUStop - LdmDataRate</v>
          </cell>
          <cell r="AK159">
            <v>0</v>
          </cell>
          <cell r="AP159" t="str">
            <v>B15</v>
          </cell>
          <cell r="AQ159">
            <v>138</v>
          </cell>
          <cell r="AV159" t="str">
            <v>B14</v>
          </cell>
          <cell r="AW159">
            <v>12</v>
          </cell>
          <cell r="AY159" t="str">
            <v>SBUStop - AzimuthStop</v>
          </cell>
          <cell r="AZ159">
            <v>0</v>
          </cell>
          <cell r="BE159" t="str">
            <v>B6</v>
          </cell>
          <cell r="BF159">
            <v>104</v>
          </cell>
          <cell r="BK159" t="str">
            <v>F8</v>
          </cell>
          <cell r="BL159">
            <v>14</v>
          </cell>
          <cell r="BN159" t="str">
            <v>Minor display error - faulty LEDs detected</v>
          </cell>
          <cell r="BO159">
            <v>5</v>
          </cell>
          <cell r="BT159" t="str">
            <v>C54</v>
          </cell>
          <cell r="BU159">
            <v>397</v>
          </cell>
          <cell r="BZ159" t="str">
            <v>C48</v>
          </cell>
          <cell r="CA159">
            <v>37</v>
          </cell>
          <cell r="CC159" t="str">
            <v>Major display error - faulty LED board detected</v>
          </cell>
          <cell r="CD159">
            <v>5</v>
          </cell>
        </row>
        <row r="160">
          <cell r="L160" t="str">
            <v>S10</v>
          </cell>
          <cell r="M160">
            <v>5</v>
          </cell>
          <cell r="AA160" t="str">
            <v>D9</v>
          </cell>
          <cell r="AB160">
            <v>109</v>
          </cell>
          <cell r="AJ160" t="str">
            <v>SBUStop - ScanFailed</v>
          </cell>
          <cell r="AK160">
            <v>2</v>
          </cell>
          <cell r="AP160" t="str">
            <v>B22</v>
          </cell>
          <cell r="AQ160">
            <v>135</v>
          </cell>
          <cell r="AY160" t="str">
            <v>SBUStop - LdmDataRate</v>
          </cell>
          <cell r="AZ160">
            <v>0</v>
          </cell>
          <cell r="BE160" t="str">
            <v>F4</v>
          </cell>
          <cell r="BF160">
            <v>104</v>
          </cell>
          <cell r="BK160" t="str">
            <v>B6</v>
          </cell>
          <cell r="BL160">
            <v>14</v>
          </cell>
          <cell r="BN160" t="str">
            <v>SBUStop - AzimuthStop</v>
          </cell>
          <cell r="BO160">
            <v>0</v>
          </cell>
          <cell r="BT160" t="str">
            <v>C57</v>
          </cell>
          <cell r="BU160">
            <v>213</v>
          </cell>
          <cell r="BZ160" t="str">
            <v>C53</v>
          </cell>
          <cell r="CA160">
            <v>25</v>
          </cell>
          <cell r="CC160" t="str">
            <v>Minor display error - faulty LEDs detected</v>
          </cell>
          <cell r="CD160">
            <v>10</v>
          </cell>
        </row>
        <row r="161">
          <cell r="L161" t="str">
            <v>S6</v>
          </cell>
          <cell r="M161">
            <v>4</v>
          </cell>
          <cell r="AA161" t="str">
            <v>D2</v>
          </cell>
          <cell r="AB161">
            <v>107</v>
          </cell>
          <cell r="AP161" t="str">
            <v>F23</v>
          </cell>
          <cell r="AQ161">
            <v>134</v>
          </cell>
          <cell r="AY161" t="str">
            <v>SBUStop - ScanFailed</v>
          </cell>
          <cell r="AZ161">
            <v>1</v>
          </cell>
          <cell r="BE161" t="str">
            <v>B2</v>
          </cell>
          <cell r="BF161">
            <v>103</v>
          </cell>
          <cell r="BN161" t="str">
            <v>SBUStop - LdmDataRate</v>
          </cell>
          <cell r="BO161">
            <v>0</v>
          </cell>
          <cell r="BT161" t="str">
            <v>C52</v>
          </cell>
          <cell r="BU161">
            <v>211</v>
          </cell>
          <cell r="BZ161" t="str">
            <v>C61</v>
          </cell>
          <cell r="CA161">
            <v>19</v>
          </cell>
          <cell r="CC161" t="str">
            <v>SBUStop - AzimuthStop</v>
          </cell>
          <cell r="CD161">
            <v>0</v>
          </cell>
        </row>
        <row r="162">
          <cell r="L162" t="str">
            <v>S3</v>
          </cell>
          <cell r="M162">
            <v>2</v>
          </cell>
          <cell r="AA162" t="str">
            <v>D7</v>
          </cell>
          <cell r="AB162">
            <v>104</v>
          </cell>
          <cell r="AP162" t="str">
            <v>B17</v>
          </cell>
          <cell r="AQ162">
            <v>134</v>
          </cell>
          <cell r="BE162" t="str">
            <v>B5</v>
          </cell>
          <cell r="BF162">
            <v>103</v>
          </cell>
          <cell r="BN162" t="str">
            <v>SBUStop - ScanFailed</v>
          </cell>
          <cell r="BO162">
            <v>3</v>
          </cell>
          <cell r="BT162" t="str">
            <v>C49</v>
          </cell>
          <cell r="BU162">
            <v>210</v>
          </cell>
          <cell r="CC162" t="str">
            <v>SBUStop - LdmDataRate</v>
          </cell>
          <cell r="CD162">
            <v>0</v>
          </cell>
        </row>
        <row r="163">
          <cell r="U163" t="str">
            <v>ApronBlocked</v>
          </cell>
          <cell r="V163">
            <v>55</v>
          </cell>
          <cell r="AA163" t="str">
            <v>D8</v>
          </cell>
          <cell r="AB163">
            <v>104</v>
          </cell>
          <cell r="AP163" t="str">
            <v>F27</v>
          </cell>
          <cell r="AQ163">
            <v>132</v>
          </cell>
          <cell r="BE163" t="str">
            <v>B9</v>
          </cell>
          <cell r="BF163">
            <v>100</v>
          </cell>
          <cell r="BT163" t="str">
            <v>C56</v>
          </cell>
          <cell r="BU163">
            <v>201</v>
          </cell>
          <cell r="CC163" t="str">
            <v>SBUStop - ScanFailed</v>
          </cell>
          <cell r="CD163">
            <v>7</v>
          </cell>
        </row>
        <row r="164">
          <cell r="U164" t="str">
            <v>BridgeNotIn</v>
          </cell>
          <cell r="V164">
            <v>0</v>
          </cell>
          <cell r="AJ164" t="str">
            <v>ApronBlocked</v>
          </cell>
          <cell r="AK164">
            <v>195</v>
          </cell>
          <cell r="AP164" t="str">
            <v>B23</v>
          </cell>
          <cell r="AQ164">
            <v>128</v>
          </cell>
          <cell r="BE164" t="str">
            <v>F5</v>
          </cell>
          <cell r="BF164">
            <v>97</v>
          </cell>
          <cell r="BT164" t="str">
            <v>C59</v>
          </cell>
          <cell r="BU164">
            <v>197</v>
          </cell>
        </row>
        <row r="165">
          <cell r="U165" t="str">
            <v>GateBlocked</v>
          </cell>
          <cell r="V165">
            <v>50</v>
          </cell>
          <cell r="AJ165" t="str">
            <v>BridgeNotIn</v>
          </cell>
          <cell r="AK165">
            <v>104</v>
          </cell>
          <cell r="AY165" t="str">
            <v>ApronBlocked</v>
          </cell>
          <cell r="AZ165">
            <v>48</v>
          </cell>
          <cell r="BE165" t="str">
            <v>B10</v>
          </cell>
          <cell r="BF165">
            <v>91</v>
          </cell>
          <cell r="BT165" t="str">
            <v>C58</v>
          </cell>
          <cell r="BU165">
            <v>195</v>
          </cell>
        </row>
        <row r="166">
          <cell r="U166" t="str">
            <v>IDFailed - EngineCheckFailed</v>
          </cell>
          <cell r="V166">
            <v>0</v>
          </cell>
          <cell r="AJ166" t="str">
            <v>GateBlocked</v>
          </cell>
          <cell r="AK166">
            <v>44</v>
          </cell>
          <cell r="AY166" t="str">
            <v>BridgeNotIn</v>
          </cell>
          <cell r="AZ166">
            <v>57</v>
          </cell>
          <cell r="BN166" t="str">
            <v>ApronBlocked</v>
          </cell>
          <cell r="BO166">
            <v>189</v>
          </cell>
          <cell r="BT166" t="str">
            <v>C50</v>
          </cell>
          <cell r="BU166">
            <v>188</v>
          </cell>
        </row>
        <row r="167">
          <cell r="U167" t="str">
            <v>IDFailed - IdLostTrackCloseToStop</v>
          </cell>
          <cell r="V167">
            <v>1</v>
          </cell>
          <cell r="AJ167" t="str">
            <v>IDFailed - EngineCheckFailed</v>
          </cell>
          <cell r="AK167">
            <v>3</v>
          </cell>
          <cell r="AY167" t="str">
            <v>GateBlocked</v>
          </cell>
          <cell r="AZ167">
            <v>36</v>
          </cell>
          <cell r="BN167" t="str">
            <v>BridgeNotIn</v>
          </cell>
          <cell r="BO167">
            <v>15</v>
          </cell>
          <cell r="CC167" t="str">
            <v>ApronBlocked</v>
          </cell>
          <cell r="CD167">
            <v>316</v>
          </cell>
        </row>
        <row r="168">
          <cell r="U168" t="str">
            <v>IDFailed - NoseHeightFailed</v>
          </cell>
          <cell r="V168">
            <v>11</v>
          </cell>
          <cell r="AJ168" t="str">
            <v>IDFailed - IdLostTrackCloseToStop</v>
          </cell>
          <cell r="AK168">
            <v>1</v>
          </cell>
          <cell r="AY168" t="str">
            <v>IDFailed - EngineCheckFailed</v>
          </cell>
          <cell r="AZ168">
            <v>1</v>
          </cell>
          <cell r="BN168" t="str">
            <v>GateBlocked</v>
          </cell>
          <cell r="BO168">
            <v>110</v>
          </cell>
          <cell r="CC168" t="str">
            <v>BridgeNotIn</v>
          </cell>
          <cell r="CD168">
            <v>2</v>
          </cell>
        </row>
        <row r="169">
          <cell r="U169" t="str">
            <v>IDFailed - ProfileFailed</v>
          </cell>
          <cell r="V169">
            <v>0</v>
          </cell>
          <cell r="AJ169" t="str">
            <v>IDFailed - NoseHeightFailed</v>
          </cell>
          <cell r="AK169">
            <v>1</v>
          </cell>
          <cell r="AY169" t="str">
            <v>IDFailed - IdLostTrackCloseToStop</v>
          </cell>
          <cell r="AZ169">
            <v>4</v>
          </cell>
          <cell r="BN169" t="str">
            <v>IDFailed - EngineCheckFailed</v>
          </cell>
          <cell r="BO169">
            <v>0</v>
          </cell>
          <cell r="CC169" t="str">
            <v>GateBlocked</v>
          </cell>
          <cell r="CD169">
            <v>74</v>
          </cell>
        </row>
        <row r="170">
          <cell r="U170" t="str">
            <v>IDFailed - VerAnalysisFailedTooClose</v>
          </cell>
          <cell r="V170">
            <v>0</v>
          </cell>
          <cell r="AJ170" t="str">
            <v>IDFailed - ProfileFailed</v>
          </cell>
          <cell r="AK170">
            <v>0</v>
          </cell>
          <cell r="AY170" t="str">
            <v>IDFailed - NoseHeightFailed</v>
          </cell>
          <cell r="AZ170">
            <v>5</v>
          </cell>
          <cell r="BN170" t="str">
            <v>IDFailed - IdLostTrackCloseToStop</v>
          </cell>
          <cell r="BO170">
            <v>4</v>
          </cell>
          <cell r="CC170" t="str">
            <v>IDFailed - EngineCheckFailed</v>
          </cell>
          <cell r="CD170">
            <v>3</v>
          </cell>
        </row>
        <row r="171">
          <cell r="U171" t="str">
            <v>ViewBlocked</v>
          </cell>
          <cell r="V171">
            <v>0</v>
          </cell>
          <cell r="AJ171" t="str">
            <v>IDFailed - VerAnalysisFailedTooClose</v>
          </cell>
          <cell r="AK171">
            <v>0</v>
          </cell>
          <cell r="AY171" t="str">
            <v>IDFailed - ProfileFailed</v>
          </cell>
          <cell r="AZ171">
            <v>0</v>
          </cell>
          <cell r="BN171" t="str">
            <v>IDFailed - NoseHeightFailed</v>
          </cell>
          <cell r="BO171">
            <v>3</v>
          </cell>
          <cell r="CC171" t="str">
            <v>IDFailed - IdLostTrackCloseToStop</v>
          </cell>
          <cell r="CD171">
            <v>22</v>
          </cell>
        </row>
        <row r="172">
          <cell r="AJ172" t="str">
            <v>ViewBlocked</v>
          </cell>
          <cell r="AK172">
            <v>0</v>
          </cell>
          <cell r="AY172" t="str">
            <v>IDFailed - VerAnalysisFailedTooClose</v>
          </cell>
          <cell r="AZ172">
            <v>8</v>
          </cell>
          <cell r="BN172" t="str">
            <v>IDFailed - ProfileFailed</v>
          </cell>
          <cell r="BO172">
            <v>0</v>
          </cell>
          <cell r="CC172" t="str">
            <v>IDFailed - NoseHeightFailed</v>
          </cell>
          <cell r="CD172">
            <v>1</v>
          </cell>
        </row>
        <row r="173">
          <cell r="AY173" t="str">
            <v>ViewBlocked</v>
          </cell>
          <cell r="AZ173">
            <v>1</v>
          </cell>
          <cell r="BN173" t="str">
            <v>IDFailed - VerAnalysisFailedTooClose</v>
          </cell>
          <cell r="BO173">
            <v>0</v>
          </cell>
          <cell r="CC173" t="str">
            <v>IDFailed - ProfileFailed</v>
          </cell>
          <cell r="CD173">
            <v>0</v>
          </cell>
        </row>
        <row r="174">
          <cell r="BN174" t="str">
            <v>ViewBlocked</v>
          </cell>
          <cell r="BO174">
            <v>0</v>
          </cell>
          <cell r="CC174" t="str">
            <v>IDFailed - VerAnalysisFailedTooClose</v>
          </cell>
          <cell r="CD174">
            <v>0</v>
          </cell>
        </row>
        <row r="175">
          <cell r="CC175" t="str">
            <v>ViewBlocked</v>
          </cell>
          <cell r="CD175">
            <v>0</v>
          </cell>
        </row>
        <row r="180">
          <cell r="L180" t="str">
            <v>AutoCalibrationError</v>
          </cell>
          <cell r="M180">
            <v>147</v>
          </cell>
        </row>
        <row r="181">
          <cell r="L181" t="str">
            <v>ConfigurationError - SystemIntegrity</v>
          </cell>
          <cell r="M181">
            <v>1</v>
          </cell>
        </row>
        <row r="182">
          <cell r="L182" t="str">
            <v>Major display error - faulty LED board detected</v>
          </cell>
          <cell r="M182">
            <v>34</v>
          </cell>
        </row>
        <row r="183">
          <cell r="F183" t="str">
            <v>ApronBlocked</v>
          </cell>
          <cell r="G183">
            <v>1777</v>
          </cell>
          <cell r="L183" t="str">
            <v>Minor display error - faulty LEDs detected</v>
          </cell>
          <cell r="M183">
            <v>71</v>
          </cell>
        </row>
        <row r="184">
          <cell r="F184" t="str">
            <v>BridgeNotIn</v>
          </cell>
          <cell r="G184">
            <v>179</v>
          </cell>
          <cell r="L184" t="str">
            <v>SBUStop - AzimuthStop</v>
          </cell>
          <cell r="M184">
            <v>7</v>
          </cell>
        </row>
        <row r="185">
          <cell r="F185" t="str">
            <v>GateBlocked</v>
          </cell>
          <cell r="G185">
            <v>540</v>
          </cell>
          <cell r="L185" t="str">
            <v>SBUStop - ScanFailed</v>
          </cell>
          <cell r="M185">
            <v>18</v>
          </cell>
        </row>
        <row r="186">
          <cell r="F186" t="str">
            <v>IDFailed - EngineCheckFailed</v>
          </cell>
          <cell r="G186">
            <v>17</v>
          </cell>
          <cell r="L186" t="str">
            <v/>
          </cell>
          <cell r="M186" t="str">
            <v/>
          </cell>
        </row>
        <row r="187">
          <cell r="F187" t="str">
            <v>IDFailed - IdLostTrackCloseToStop</v>
          </cell>
          <cell r="G187">
            <v>66</v>
          </cell>
        </row>
        <row r="188">
          <cell r="F188" t="str">
            <v>IDFailed - NoseHeightFailed</v>
          </cell>
          <cell r="G188">
            <v>59</v>
          </cell>
        </row>
        <row r="189">
          <cell r="F189" t="str">
            <v>IDFailed - ProfileFailed</v>
          </cell>
          <cell r="G189">
            <v>1</v>
          </cell>
        </row>
        <row r="190">
          <cell r="F190" t="str">
            <v>IDFailed - VerAnalysisFailedTooClose</v>
          </cell>
          <cell r="G190">
            <v>23</v>
          </cell>
        </row>
        <row r="191">
          <cell r="F191" t="str">
            <v>ViewBlocked</v>
          </cell>
          <cell r="G191">
            <v>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jasekhar Jamithireddy" refreshedDate="44779.581000810183" createdVersion="8" refreshedVersion="8" minRefreshableVersion="3" recordCount="3482" xr:uid="{6E07422C-C1B3-4991-84CD-B54F011489F2}">
  <cacheSource type="worksheet">
    <worksheetSource name="table_pivot_helper"/>
  </cacheSource>
  <cacheFields count="18">
    <cacheField name="ID" numFmtId="0">
      <sharedItems containsSemiMixedTypes="0" containsString="0" containsNumber="1" containsInteger="1" minValue="27802424" maxValue="27847495"/>
    </cacheField>
    <cacheField name="Type" numFmtId="0">
      <sharedItems count="2">
        <s v="Stage Changes"/>
        <s v="alarms"/>
      </sharedItems>
    </cacheField>
    <cacheField name="Time" numFmtId="164">
      <sharedItems containsSemiMixedTypes="0" containsNonDate="0" containsDate="1" containsString="0" minDate="2022-07-29T00:00:09" maxDate="2022-07-29T23:59:59" count="3144">
        <d v="2022-07-29T05:59:23"/>
        <d v="2022-07-29T02:01:06"/>
        <d v="2022-07-29T02:02:54"/>
        <d v="2022-07-29T07:04:53"/>
        <d v="2022-07-29T02:03:05"/>
        <d v="2022-07-29T02:03:15"/>
        <d v="2022-07-29T07:04:56"/>
        <d v="2022-07-29T07:04:57"/>
        <d v="2022-07-29T02:03:36"/>
        <d v="2022-07-29T02:03:41"/>
        <d v="2022-07-29T07:05:04"/>
        <d v="2022-07-29T07:05:15"/>
        <d v="2022-07-29T07:05:18"/>
        <d v="2022-07-29T02:03:49"/>
        <d v="2022-07-29T02:03:51"/>
        <d v="2022-07-29T07:05:22"/>
        <d v="2022-07-29T07:05:52"/>
        <d v="2022-07-29T02:04:23"/>
        <d v="2022-07-29T07:06:39"/>
        <d v="2022-07-29T07:07:00"/>
        <d v="2022-07-29T07:08:53"/>
        <d v="2022-07-29T07:09:01"/>
        <d v="2022-07-29T07:09:05"/>
        <d v="2022-07-29T02:04:26"/>
        <d v="2022-07-29T02:04:51"/>
        <d v="2022-07-29T07:09:38"/>
        <d v="2022-07-29T02:04:58"/>
        <d v="2022-07-29T07:11:45"/>
        <d v="2022-07-29T07:12:41"/>
        <d v="2022-07-29T07:12:45"/>
        <d v="2022-07-29T07:12:46"/>
        <d v="2022-07-29T02:05:36"/>
        <d v="2022-07-29T02:05:42"/>
        <d v="2022-07-29T02:06:20"/>
        <d v="2022-07-29T07:13:24"/>
        <d v="2022-07-29T07:13:29"/>
        <d v="2022-07-29T07:13:30"/>
        <d v="2022-07-29T07:13:44"/>
        <d v="2022-07-29T07:13:57"/>
        <d v="2022-07-29T07:14:00"/>
        <d v="2022-07-29T07:14:06"/>
        <d v="2022-07-29T02:06:51"/>
        <d v="2022-07-29T07:14:44"/>
        <d v="2022-07-29T07:27:21"/>
        <d v="2022-07-29T07:15:09"/>
        <d v="2022-07-29T02:07:31"/>
        <d v="2022-07-29T07:15:36"/>
        <d v="2022-07-29T07:15:46"/>
        <d v="2022-07-29T07:16:04"/>
        <d v="2022-07-29T02:08:07"/>
        <d v="2022-07-29T07:17:03"/>
        <d v="2022-07-29T07:17:14"/>
        <d v="2022-07-29T02:08:27"/>
        <d v="2022-07-29T07:17:43"/>
        <d v="2022-07-29T02:08:51"/>
        <d v="2022-07-29T07:17:48"/>
        <d v="2022-07-29T02:09:02"/>
        <d v="2022-07-29T07:19:06"/>
        <d v="2022-07-29T07:19:46"/>
        <d v="2022-07-29T07:20:43"/>
        <d v="2022-07-29T07:20:46"/>
        <d v="2022-07-29T07:21:05"/>
        <d v="2022-07-29T07:21:10"/>
        <d v="2022-07-29T06:00:13"/>
        <d v="2022-07-29T06:00:15"/>
        <d v="2022-07-29T06:00:25"/>
        <d v="2022-07-29T06:00:27"/>
        <d v="2022-07-29T06:00:33"/>
        <d v="2022-07-29T06:00:35"/>
        <d v="2022-07-29T06:00:50"/>
        <d v="2022-07-29T06:01:38"/>
        <d v="2022-07-29T06:02:14"/>
        <d v="2022-07-29T06:02:16"/>
        <d v="2022-07-29T02:10:26"/>
        <d v="2022-07-29T06:03:10"/>
        <d v="2022-07-29T02:11:06"/>
        <d v="2022-07-29T06:03:22"/>
        <d v="2022-07-29T02:14:08"/>
        <d v="2022-07-29T02:14:35"/>
        <d v="2022-07-29T02:14:40"/>
        <d v="2022-07-29T06:05:31"/>
        <d v="2022-07-29T02:14:45"/>
        <d v="2022-07-29T02:15:06"/>
        <d v="2022-07-29T06:07:13"/>
        <d v="2022-07-29T06:07:48"/>
        <d v="2022-07-29T02:15:13"/>
        <d v="2022-07-29T02:15:27"/>
        <d v="2022-07-29T06:07:51"/>
        <d v="2022-07-29T06:08:17"/>
        <d v="2022-07-29T02:16:02"/>
        <d v="2022-07-29T06:08:45"/>
        <d v="2022-07-29T06:08:52"/>
        <d v="2022-07-29T06:09:06"/>
        <d v="2022-07-29T06:09:11"/>
        <d v="2022-07-29T02:16:23"/>
        <d v="2022-07-29T02:16:29"/>
        <d v="2022-07-29T02:16:51"/>
        <d v="2022-07-29T06:09:16"/>
        <d v="2022-07-29T06:09:22"/>
        <d v="2022-07-29T06:09:31"/>
        <d v="2022-07-29T06:09:37"/>
        <d v="2022-07-29T06:09:41"/>
        <d v="2022-07-29T06:09:52"/>
        <d v="2022-07-29T06:10:16"/>
        <d v="2022-07-29T06:10:46"/>
        <d v="2022-07-29T02:17:06"/>
        <d v="2022-07-29T02:17:21"/>
        <d v="2022-07-29T02:18:41"/>
        <d v="2022-07-29T06:11:09"/>
        <d v="2022-07-29T02:19:16"/>
        <d v="2022-07-29T06:11:30"/>
        <d v="2022-07-29T02:20:06"/>
        <d v="2022-07-29T06:11:36"/>
        <d v="2022-07-29T06:11:41"/>
        <d v="2022-07-29T06:12:31"/>
        <d v="2022-07-29T06:12:47"/>
        <d v="2022-07-29T06:13:13"/>
        <d v="2022-07-29T06:13:14"/>
        <d v="2022-07-29T06:13:47"/>
        <d v="2022-07-29T02:21:32"/>
        <d v="2022-07-29T02:21:58"/>
        <d v="2022-07-29T02:22:03"/>
        <d v="2022-07-29T07:22:46"/>
        <d v="2022-07-29T02:22:16"/>
        <d v="2022-07-29T02:22:25"/>
        <d v="2022-07-29T06:15:27"/>
        <d v="2022-07-29T06:15:59"/>
        <d v="2022-07-29T02:22:38"/>
        <d v="2022-07-29T06:16:02"/>
        <d v="2022-07-29T06:16:16"/>
        <d v="2022-07-29T06:16:33"/>
        <d v="2022-07-29T06:18:25"/>
        <d v="2022-07-29T06:18:42"/>
        <d v="2022-07-29T06:18:51"/>
        <d v="2022-07-29T06:19:51"/>
        <d v="2022-07-29T06:20:26"/>
        <d v="2022-07-29T02:23:51"/>
        <d v="2022-07-29T06:20:52"/>
        <d v="2022-07-29T06:21:16"/>
        <d v="2022-07-29T06:21:45"/>
        <d v="2022-07-29T06:21:46"/>
        <d v="2022-07-29T06:21:53"/>
        <d v="2022-07-29T02:24:00"/>
        <d v="2022-07-29T02:24:34"/>
        <d v="2022-07-29T02:24:43"/>
        <d v="2022-07-29T06:22:03"/>
        <d v="2022-07-29T06:22:08"/>
        <d v="2022-07-29T06:22:26"/>
        <d v="2022-07-29T06:23:18"/>
        <d v="2022-07-29T06:23:31"/>
        <d v="2022-07-29T06:23:40"/>
        <d v="2022-07-29T06:23:46"/>
        <d v="2022-07-29T06:23:55"/>
        <d v="2022-07-29T06:23:59"/>
        <d v="2022-07-29T06:24:32"/>
        <d v="2022-07-29T06:25:00"/>
        <d v="2022-07-29T02:26:21"/>
        <d v="2022-07-29T06:25:04"/>
        <d v="2022-07-29T06:25:19"/>
        <d v="2022-07-29T06:25:21"/>
        <d v="2022-07-29T02:27:21"/>
        <d v="2022-07-29T06:25:27"/>
        <d v="2022-07-29T06:25:29"/>
        <d v="2022-07-29T06:25:31"/>
        <d v="2022-07-29T06:25:41"/>
        <d v="2022-07-29T06:25:44"/>
        <d v="2022-07-29T06:25:46"/>
        <d v="2022-07-29T02:28:20"/>
        <d v="2022-07-29T02:28:51"/>
        <d v="2022-07-29T02:28:56"/>
        <d v="2022-07-29T06:28:48"/>
        <d v="2022-07-29T02:29:41"/>
        <d v="2022-07-29T02:29:48"/>
        <d v="2022-07-29T06:29:04"/>
        <d v="2022-07-29T06:29:20"/>
        <d v="2022-07-29T07:23:40"/>
        <d v="2022-07-29T06:30:08"/>
        <d v="2022-07-29T06:30:10"/>
        <d v="2022-07-29T06:30:25"/>
        <d v="2022-07-29T06:30:26"/>
        <d v="2022-07-29T06:30:40"/>
        <d v="2022-07-29T06:30:43"/>
        <d v="2022-07-29T02:30:22"/>
        <d v="2022-07-29T06:30:50"/>
        <d v="2022-07-29T06:31:12"/>
        <d v="2022-07-29T06:31:32"/>
        <d v="2022-07-29T06:31:50"/>
        <d v="2022-07-29T06:32:37"/>
        <d v="2022-07-29T06:32:54"/>
        <d v="2022-07-29T06:33:28"/>
        <d v="2022-07-29T06:33:32"/>
        <d v="2022-07-29T06:34:06"/>
        <d v="2022-07-29T06:34:33"/>
        <d v="2022-07-29T06:34:46"/>
        <d v="2022-07-29T06:34:59"/>
        <d v="2022-07-29T06:35:03"/>
        <d v="2022-07-29T07:27:25"/>
        <d v="2022-07-29T07:27:37"/>
        <d v="2022-07-29T06:35:18"/>
        <d v="2022-07-29T06:35:26"/>
        <d v="2022-07-29T02:30:52"/>
        <d v="2022-07-29T02:33:46"/>
        <d v="2022-07-29T02:34:07"/>
        <d v="2022-07-29T02:34:21"/>
        <d v="2022-07-29T02:34:33"/>
        <d v="2022-07-29T02:34:44"/>
        <d v="2022-07-29T02:35:01"/>
        <d v="2022-07-29T06:36:16"/>
        <d v="2022-07-29T06:36:26"/>
        <d v="2022-07-29T06:36:35"/>
        <d v="2022-07-29T02:35:11"/>
        <d v="2022-07-29T02:35:15"/>
        <d v="2022-07-29T06:37:06"/>
        <d v="2022-07-29T06:37:22"/>
        <d v="2022-07-29T06:37:29"/>
        <d v="2022-07-29T06:37:36"/>
        <d v="2022-07-29T02:35:41"/>
        <d v="2022-07-29T02:36:04"/>
        <d v="2022-07-29T02:36:43"/>
        <d v="2022-07-29T02:36:45"/>
        <d v="2022-07-29T02:37:10"/>
        <d v="2022-07-29T02:37:32"/>
        <d v="2022-07-29T06:37:44"/>
        <d v="2022-07-29T06:38:22"/>
        <d v="2022-07-29T02:37:49"/>
        <d v="2022-07-29T06:39:00"/>
        <d v="2022-07-29T06:39:37"/>
        <d v="2022-07-29T06:39:57"/>
        <d v="2022-07-29T02:37:51"/>
        <d v="2022-07-29T02:37:52"/>
        <d v="2022-07-29T06:40:23"/>
        <d v="2022-07-29T06:40:28"/>
        <d v="2022-07-29T07:24:02"/>
        <d v="2022-07-29T06:41:30"/>
        <d v="2022-07-29T06:41:36"/>
        <d v="2022-07-29T06:41:41"/>
        <d v="2022-07-29T06:42:02"/>
        <d v="2022-07-29T06:42:16"/>
        <d v="2022-07-29T06:42:21"/>
        <d v="2022-07-29T06:42:31"/>
        <d v="2022-07-29T06:42:56"/>
        <d v="2022-07-29T06:43:01"/>
        <d v="2022-07-29T02:37:55"/>
        <d v="2022-07-29T06:44:49"/>
        <d v="2022-07-29T02:37:58"/>
        <d v="2022-07-29T06:46:17"/>
        <d v="2022-07-29T02:39:06"/>
        <d v="2022-07-29T06:46:27"/>
        <d v="2022-07-29T06:46:56"/>
        <d v="2022-07-29T06:47:46"/>
        <d v="2022-07-29T07:24:11"/>
        <d v="2022-07-29T06:47:56"/>
        <d v="2022-07-29T06:48:04"/>
        <d v="2022-07-29T02:39:16"/>
        <d v="2022-07-29T06:48:11"/>
        <d v="2022-07-29T06:48:21"/>
        <d v="2022-07-29T06:49:03"/>
        <d v="2022-07-29T06:49:11"/>
        <d v="2022-07-29T06:49:18"/>
        <d v="2022-07-29T06:49:33"/>
        <d v="2022-07-29T02:40:26"/>
        <d v="2022-07-29T06:49:46"/>
        <d v="2022-07-29T06:50:00"/>
        <d v="2022-07-29T02:40:35"/>
        <d v="2022-07-29T02:41:07"/>
        <d v="2022-07-29T06:50:01"/>
        <d v="2022-07-29T00:00:09"/>
        <d v="2022-07-29T00:00:30"/>
        <d v="2022-07-29T00:00:31"/>
        <d v="2022-07-29T00:00:45"/>
        <d v="2022-07-29T06:50:06"/>
        <d v="2022-07-29T00:00:51"/>
        <d v="2022-07-29T00:01:56"/>
        <d v="2022-07-29T00:02:16"/>
        <d v="2022-07-29T00:02:58"/>
        <d v="2022-07-29T00:03:03"/>
        <d v="2022-07-29T00:03:07"/>
        <d v="2022-07-29T06:50:11"/>
        <d v="2022-07-29T00:03:31"/>
        <d v="2022-07-29T00:04:31"/>
        <d v="2022-07-29T00:05:05"/>
        <d v="2022-07-29T00:05:12"/>
        <d v="2022-07-29T00:05:48"/>
        <d v="2022-07-29T00:06:06"/>
        <d v="2022-07-29T00:07:34"/>
        <d v="2022-07-29T02:41:16"/>
        <d v="2022-07-29T00:08:08"/>
        <d v="2022-07-29T00:08:42"/>
        <d v="2022-07-29T06:50:15"/>
        <d v="2022-07-29T00:09:47"/>
        <d v="2022-07-29T00:09:58"/>
        <d v="2022-07-29T00:10:18"/>
        <d v="2022-07-29T00:10:23"/>
        <d v="2022-07-29T00:11:23"/>
        <d v="2022-07-29T00:11:39"/>
        <d v="2022-07-29T00:11:48"/>
        <d v="2022-07-29T00:12:01"/>
        <d v="2022-07-29T00:12:08"/>
        <d v="2022-07-29T00:12:14"/>
        <d v="2022-07-29T06:50:18"/>
        <d v="2022-07-29T00:12:24"/>
        <d v="2022-07-29T00:12:35"/>
        <d v="2022-07-29T00:12:38"/>
        <d v="2022-07-29T00:12:43"/>
        <d v="2022-07-29T00:12:50"/>
        <d v="2022-07-29T00:13:02"/>
        <d v="2022-07-29T00:13:26"/>
        <d v="2022-07-29T02:41:32"/>
        <d v="2022-07-29T00:14:44"/>
        <d v="2022-07-29T00:14:45"/>
        <d v="2022-07-29T00:14:56"/>
        <d v="2022-07-29T00:15:37"/>
        <d v="2022-07-29T00:16:21"/>
        <d v="2022-07-29T00:16:47"/>
        <d v="2022-07-29T00:17:12"/>
        <d v="2022-07-29T00:17:31"/>
        <d v="2022-07-29T00:18:06"/>
        <d v="2022-07-29T00:18:16"/>
        <d v="2022-07-29T00:18:36"/>
        <d v="2022-07-29T00:18:37"/>
        <d v="2022-07-29T00:18:44"/>
        <d v="2022-07-29T00:19:29"/>
        <d v="2022-07-29T00:20:10"/>
        <d v="2022-07-29T00:20:11"/>
        <d v="2022-07-29T00:20:15"/>
        <d v="2022-07-29T00:20:24"/>
        <d v="2022-07-29T00:20:36"/>
        <d v="2022-07-29T00:21:14"/>
        <d v="2022-07-29T00:21:34"/>
        <d v="2022-07-29T00:21:53"/>
        <d v="2022-07-29T00:21:59"/>
        <d v="2022-07-29T00:22:22"/>
        <d v="2022-07-29T00:22:39"/>
        <d v="2022-07-29T00:23:30"/>
        <d v="2022-07-29T00:23:41"/>
        <d v="2022-07-29T00:23:56"/>
        <d v="2022-07-29T02:42:56"/>
        <d v="2022-07-29T00:24:06"/>
        <d v="2022-07-29T00:25:49"/>
        <d v="2022-07-29T00:26:04"/>
        <d v="2022-07-29T00:26:16"/>
        <d v="2022-07-29T00:26:28"/>
        <d v="2022-07-29T00:26:32"/>
        <d v="2022-07-29T06:50:41"/>
        <d v="2022-07-29T00:26:56"/>
        <d v="2022-07-29T00:27:18"/>
        <d v="2022-07-29T00:27:39"/>
        <d v="2022-07-29T00:28:31"/>
        <d v="2022-07-29T00:28:46"/>
        <d v="2022-07-29T00:30:27"/>
        <d v="2022-07-29T00:31:02"/>
        <d v="2022-07-29T00:31:24"/>
        <d v="2022-07-29T00:31:47"/>
        <d v="2022-07-29T00:31:55"/>
        <d v="2022-07-29T00:32:06"/>
        <d v="2022-07-29T00:32:39"/>
        <d v="2022-07-29T00:32:41"/>
        <d v="2022-07-29T00:32:43"/>
        <d v="2022-07-29T00:33:29"/>
        <d v="2022-07-29T00:33:33"/>
        <d v="2022-07-29T00:33:36"/>
        <d v="2022-07-29T00:34:06"/>
        <d v="2022-07-29T00:35:19"/>
        <d v="2022-07-29T02:43:19"/>
        <d v="2022-07-29T00:36:06"/>
        <d v="2022-07-29T00:36:18"/>
        <d v="2022-07-29T00:37:05"/>
        <d v="2022-07-29T00:37:16"/>
        <d v="2022-07-29T00:39:01"/>
        <d v="2022-07-29T00:39:22"/>
        <d v="2022-07-29T00:39:38"/>
        <d v="2022-07-29T00:39:46"/>
        <d v="2022-07-29T02:44:09"/>
        <d v="2022-07-29T00:40:28"/>
        <d v="2022-07-29T00:41:43"/>
        <d v="2022-07-29T00:42:28"/>
        <d v="2022-07-29T02:44:27"/>
        <d v="2022-07-29T00:44:10"/>
        <d v="2022-07-29T00:44:25"/>
        <d v="2022-07-29T00:44:31"/>
        <d v="2022-07-29T00:44:42"/>
        <d v="2022-07-29T00:44:52"/>
        <d v="2022-07-29T00:44:59"/>
        <d v="2022-07-29T02:44:37"/>
        <d v="2022-07-29T00:45:47"/>
        <d v="2022-07-29T00:46:43"/>
        <d v="2022-07-29T00:47:34"/>
        <d v="2022-07-29T00:48:55"/>
        <d v="2022-07-29T00:49:16"/>
        <d v="2022-07-29T00:49:22"/>
        <d v="2022-07-29T00:50:33"/>
        <d v="2022-07-29T00:50:42"/>
        <d v="2022-07-29T00:50:46"/>
        <d v="2022-07-29T00:52:26"/>
        <d v="2022-07-29T00:52:33"/>
        <d v="2022-07-29T00:53:32"/>
        <d v="2022-07-29T00:54:01"/>
        <d v="2022-07-29T00:54:02"/>
        <d v="2022-07-29T00:54:38"/>
        <d v="2022-07-29T00:54:44"/>
        <d v="2022-07-29T06:51:17"/>
        <d v="2022-07-29T00:55:16"/>
        <d v="2022-07-29T00:55:36"/>
        <d v="2022-07-29T07:28:06"/>
        <d v="2022-07-29T00:55:50"/>
        <d v="2022-07-29T00:56:08"/>
        <d v="2022-07-29T00:57:06"/>
        <d v="2022-07-29T00:57:51"/>
        <d v="2022-07-29T00:58:30"/>
        <d v="2022-07-29T01:00:00"/>
        <d v="2022-07-29T02:45:06"/>
        <d v="2022-07-29T01:00:54"/>
        <d v="2022-07-29T01:01:11"/>
        <d v="2022-07-29T01:02:51"/>
        <d v="2022-07-29T01:03:02"/>
        <d v="2022-07-29T01:03:30"/>
        <d v="2022-07-29T01:03:31"/>
        <d v="2022-07-29T06:51:20"/>
        <d v="2022-07-29T01:03:35"/>
        <d v="2022-07-29T01:03:40"/>
        <d v="2022-07-29T01:03:46"/>
        <d v="2022-07-29T06:51:21"/>
        <d v="2022-07-29T01:05:26"/>
        <d v="2022-07-29T02:45:07"/>
        <d v="2022-07-29T01:05:42"/>
        <d v="2022-07-29T01:07:18"/>
        <d v="2022-07-29T01:07:56"/>
        <d v="2022-07-29T01:08:08"/>
        <d v="2022-07-29T06:51:25"/>
        <d v="2022-07-29T01:08:58"/>
        <d v="2022-07-29T01:09:04"/>
        <d v="2022-07-29T01:09:43"/>
        <d v="2022-07-29T01:09:46"/>
        <d v="2022-07-29T01:09:47"/>
        <d v="2022-07-29T01:10:00"/>
        <d v="2022-07-29T01:10:13"/>
        <d v="2022-07-29T01:10:43"/>
        <d v="2022-07-29T01:11:11"/>
        <d v="2022-07-29T01:11:41"/>
        <d v="2022-07-29T01:11:55"/>
        <d v="2022-07-29T01:12:22"/>
        <d v="2022-07-29T01:12:56"/>
        <d v="2022-07-29T01:13:26"/>
        <d v="2022-07-29T01:13:39"/>
        <d v="2022-07-29T01:13:55"/>
        <d v="2022-07-29T01:14:24"/>
        <d v="2022-07-29T01:14:26"/>
        <d v="2022-07-29T01:14:36"/>
        <d v="2022-07-29T01:14:41"/>
        <d v="2022-07-29T01:15:35"/>
        <d v="2022-07-29T01:15:54"/>
        <d v="2022-07-29T01:16:28"/>
        <d v="2022-07-29T01:16:40"/>
        <d v="2022-07-29T01:16:53"/>
        <d v="2022-07-29T01:16:58"/>
        <d v="2022-07-29T01:17:09"/>
        <d v="2022-07-29T01:17:11"/>
        <d v="2022-07-29T01:17:43"/>
        <d v="2022-07-29T01:19:28"/>
        <d v="2022-07-29T01:20:31"/>
        <d v="2022-07-29T01:21:04"/>
        <d v="2022-07-29T01:21:51"/>
        <d v="2022-07-29T01:23:36"/>
        <d v="2022-07-29T01:23:54"/>
        <d v="2022-07-29T01:24:21"/>
        <d v="2022-07-29T01:24:44"/>
        <d v="2022-07-29T01:24:55"/>
        <d v="2022-07-29T01:25:04"/>
        <d v="2022-07-29T01:25:43"/>
        <d v="2022-07-29T07:24:40"/>
        <d v="2022-07-29T01:26:16"/>
        <d v="2022-07-29T01:26:37"/>
        <d v="2022-07-29T01:27:11"/>
        <d v="2022-07-29T01:27:33"/>
        <d v="2022-07-29T01:27:51"/>
        <d v="2022-07-29T01:27:56"/>
        <d v="2022-07-29T01:28:01"/>
        <d v="2022-07-29T01:28:21"/>
        <d v="2022-07-29T01:28:35"/>
        <d v="2022-07-29T06:51:27"/>
        <d v="2022-07-29T01:28:44"/>
        <d v="2022-07-29T01:29:15"/>
        <d v="2022-07-29T01:30:21"/>
        <d v="2022-07-29T01:31:00"/>
        <d v="2022-07-29T06:51:38"/>
        <d v="2022-07-29T01:31:47"/>
        <d v="2022-07-29T01:31:48"/>
        <d v="2022-07-29T01:32:21"/>
        <d v="2022-07-29T01:32:22"/>
        <d v="2022-07-29T01:32:26"/>
        <d v="2022-07-29T01:32:42"/>
        <d v="2022-07-29T01:33:07"/>
        <d v="2022-07-29T06:52:04"/>
        <d v="2022-07-29T01:33:49"/>
        <d v="2022-07-29T01:35:21"/>
        <d v="2022-07-29T01:35:22"/>
        <d v="2022-07-29T01:35:27"/>
        <d v="2022-07-29T01:35:31"/>
        <d v="2022-07-29T06:52:15"/>
        <d v="2022-07-29T01:36:00"/>
        <d v="2022-07-29T01:36:35"/>
        <d v="2022-07-29T06:52:20"/>
        <d v="2022-07-29T01:37:11"/>
        <d v="2022-07-29T01:37:15"/>
        <d v="2022-07-29T01:37:54"/>
        <d v="2022-07-29T06:52:26"/>
        <d v="2022-07-29T01:38:02"/>
        <d v="2022-07-29T01:38:59"/>
        <d v="2022-07-29T01:39:11"/>
        <d v="2022-07-29T01:39:39"/>
        <d v="2022-07-29T01:39:51"/>
        <d v="2022-07-29T01:39:56"/>
        <d v="2022-07-29T01:40:09"/>
        <d v="2022-07-29T01:40:26"/>
        <d v="2022-07-29T01:40:29"/>
        <d v="2022-07-29T01:40:46"/>
        <d v="2022-07-29T01:41:35"/>
        <d v="2022-07-29T01:41:45"/>
        <d v="2022-07-29T01:41:54"/>
        <d v="2022-07-29T01:42:55"/>
        <d v="2022-07-29T01:43:42"/>
        <d v="2022-07-29T01:44:03"/>
        <d v="2022-07-29T01:44:06"/>
        <d v="2022-07-29T01:44:23"/>
        <d v="2022-07-29T01:44:34"/>
        <d v="2022-07-29T01:44:45"/>
        <d v="2022-07-29T01:45:48"/>
        <d v="2022-07-29T01:46:58"/>
        <d v="2022-07-29T01:47:04"/>
        <d v="2022-07-29T01:47:11"/>
        <d v="2022-07-29T01:47:52"/>
        <d v="2022-07-29T01:48:07"/>
        <d v="2022-07-29T01:48:09"/>
        <d v="2022-07-29T01:48:11"/>
        <d v="2022-07-29T01:49:01"/>
        <d v="2022-07-29T06:52:31"/>
        <d v="2022-07-29T02:47:18"/>
        <d v="2022-07-29T02:47:23"/>
        <d v="2022-07-29T01:49:51"/>
        <d v="2022-07-29T02:47:42"/>
        <d v="2022-07-29T01:50:39"/>
        <d v="2022-07-29T01:50:48"/>
        <d v="2022-07-29T01:51:39"/>
        <d v="2022-07-29T01:51:41"/>
        <d v="2022-07-29T01:52:25"/>
        <d v="2022-07-29T02:47:48"/>
        <d v="2022-07-29T01:52:31"/>
        <d v="2022-07-29T01:52:51"/>
        <d v="2022-07-29T01:53:05"/>
        <d v="2022-07-29T01:53:18"/>
        <d v="2022-07-29T01:53:26"/>
        <d v="2022-07-29T01:53:47"/>
        <d v="2022-07-29T01:54:00"/>
        <d v="2022-07-29T01:54:26"/>
        <d v="2022-07-29T01:54:55"/>
        <d v="2022-07-29T06:52:32"/>
        <d v="2022-07-29T01:55:17"/>
        <d v="2022-07-29T01:55:31"/>
        <d v="2022-07-29T01:55:32"/>
        <d v="2022-07-29T01:55:46"/>
        <d v="2022-07-29T01:56:00"/>
        <d v="2022-07-29T06:52:34"/>
        <d v="2022-07-29T01:56:02"/>
        <d v="2022-07-29T01:56:06"/>
        <d v="2022-07-29T02:48:07"/>
        <d v="2022-07-29T01:57:18"/>
        <d v="2022-07-29T01:57:24"/>
        <d v="2022-07-29T01:58:22"/>
        <d v="2022-07-29T01:59:28"/>
        <d v="2022-07-29T02:00:07"/>
        <d v="2022-07-29T02:48:17"/>
        <d v="2022-07-29T02:00:14"/>
        <d v="2022-07-29T02:00:39"/>
        <d v="2022-07-29T02:48:56"/>
        <d v="2022-07-29T06:52:36"/>
        <d v="2022-07-29T02:50:07"/>
        <d v="2022-07-29T02:50:43"/>
        <d v="2022-07-29T02:50:49"/>
        <d v="2022-07-29T02:51:15"/>
        <d v="2022-07-29T06:52:37"/>
        <d v="2022-07-29T02:51:52"/>
        <d v="2022-07-29T02:52:38"/>
        <d v="2022-07-29T06:52:39"/>
        <d v="2022-07-29T02:53:21"/>
        <d v="2022-07-29T02:53:40"/>
        <d v="2022-07-29T02:53:44"/>
        <d v="2022-07-29T02:53:51"/>
        <d v="2022-07-29T02:54:01"/>
        <d v="2022-07-29T02:54:04"/>
        <d v="2022-07-29T02:54:06"/>
        <d v="2022-07-29T02:55:26"/>
        <d v="2022-07-29T02:55:28"/>
        <d v="2022-07-29T02:55:32"/>
        <d v="2022-07-29T02:56:37"/>
        <d v="2022-07-29T02:56:49"/>
        <d v="2022-07-29T02:57:04"/>
        <d v="2022-07-29T02:57:17"/>
        <d v="2022-07-29T06:52:41"/>
        <d v="2022-07-29T07:25:18"/>
        <d v="2022-07-29T02:58:29"/>
        <d v="2022-07-29T02:59:13"/>
        <d v="2022-07-29T02:59:51"/>
        <d v="2022-07-29T03:00:15"/>
        <d v="2022-07-29T03:00:38"/>
        <d v="2022-07-29T03:00:53"/>
        <d v="2022-07-29T03:01:36"/>
        <d v="2022-07-29T03:02:11"/>
        <d v="2022-07-29T03:03:22"/>
        <d v="2022-07-29T03:03:59"/>
        <d v="2022-07-29T03:05:21"/>
        <d v="2022-07-29T03:05:46"/>
        <d v="2022-07-29T03:05:56"/>
        <d v="2022-07-29T06:53:00"/>
        <d v="2022-07-29T03:08:08"/>
        <d v="2022-07-29T03:08:09"/>
        <d v="2022-07-29T03:08:26"/>
        <d v="2022-07-29T03:08:30"/>
        <d v="2022-07-29T03:08:51"/>
        <d v="2022-07-29T03:09:30"/>
        <d v="2022-07-29T03:10:52"/>
        <d v="2022-07-29T03:10:53"/>
        <d v="2022-07-29T06:53:02"/>
        <d v="2022-07-29T03:11:28"/>
        <d v="2022-07-29T03:11:51"/>
        <d v="2022-07-29T06:53:09"/>
        <d v="2022-07-29T03:14:55"/>
        <d v="2022-07-29T03:15:03"/>
        <d v="2022-07-29T03:15:44"/>
        <d v="2022-07-29T03:16:03"/>
        <d v="2022-07-29T03:16:16"/>
        <d v="2022-07-29T03:16:17"/>
        <d v="2022-07-29T03:16:53"/>
        <d v="2022-07-29T03:16:58"/>
        <d v="2022-07-29T03:17:04"/>
        <d v="2022-07-29T03:17:27"/>
        <d v="2022-07-29T03:17:41"/>
        <d v="2022-07-29T06:53:20"/>
        <d v="2022-07-29T03:18:48"/>
        <d v="2022-07-29T03:18:55"/>
        <d v="2022-07-29T03:19:10"/>
        <d v="2022-07-29T03:19:13"/>
        <d v="2022-07-29T03:19:15"/>
        <d v="2022-07-29T03:19:20"/>
        <d v="2022-07-29T03:19:39"/>
        <d v="2022-07-29T03:20:08"/>
        <d v="2022-07-29T03:20:11"/>
        <d v="2022-07-29T03:20:26"/>
        <d v="2022-07-29T03:20:47"/>
        <d v="2022-07-29T03:21:24"/>
        <d v="2022-07-29T03:24:05"/>
        <d v="2022-07-29T03:25:05"/>
        <d v="2022-07-29T03:25:58"/>
        <d v="2022-07-29T03:27:25"/>
        <d v="2022-07-29T03:27:26"/>
        <d v="2022-07-29T03:27:34"/>
        <d v="2022-07-29T03:27:50"/>
        <d v="2022-07-29T03:27:51"/>
        <d v="2022-07-29T03:27:52"/>
        <d v="2022-07-29T03:28:13"/>
        <d v="2022-07-29T03:28:20"/>
        <d v="2022-07-29T03:29:13"/>
        <d v="2022-07-29T03:29:16"/>
        <d v="2022-07-29T06:54:23"/>
        <d v="2022-07-29T03:29:21"/>
        <d v="2022-07-29T03:29:45"/>
        <d v="2022-07-29T03:29:52"/>
        <d v="2022-07-29T03:30:36"/>
        <d v="2022-07-29T03:31:17"/>
        <d v="2022-07-29T03:31:50"/>
        <d v="2022-07-29T03:31:55"/>
        <d v="2022-07-29T03:33:31"/>
        <d v="2022-07-29T03:34:21"/>
        <d v="2022-07-29T03:34:53"/>
        <d v="2022-07-29T06:54:47"/>
        <d v="2022-07-29T03:36:11"/>
        <d v="2022-07-29T03:36:14"/>
        <d v="2022-07-29T03:36:22"/>
        <d v="2022-07-29T03:37:51"/>
        <d v="2022-07-29T03:38:05"/>
        <d v="2022-07-29T03:39:31"/>
        <d v="2022-07-29T03:39:58"/>
        <d v="2022-07-29T03:40:14"/>
        <d v="2022-07-29T03:41:08"/>
        <d v="2022-07-29T06:55:09"/>
        <d v="2022-07-29T06:55:16"/>
        <d v="2022-07-29T03:44:39"/>
        <d v="2022-07-29T03:45:02"/>
        <d v="2022-07-29T03:45:43"/>
        <d v="2022-07-29T03:46:21"/>
        <d v="2022-07-29T03:46:31"/>
        <d v="2022-07-29T03:47:07"/>
        <d v="2022-07-29T03:48:07"/>
        <d v="2022-07-29T03:48:11"/>
        <d v="2022-07-29T03:48:48"/>
        <d v="2022-07-29T03:48:53"/>
        <d v="2022-07-29T03:48:58"/>
        <d v="2022-07-29T03:49:03"/>
        <d v="2022-07-29T03:49:12"/>
        <d v="2022-07-29T03:49:16"/>
        <d v="2022-07-29T03:49:27"/>
        <d v="2022-07-29T03:49:41"/>
        <d v="2022-07-29T03:49:42"/>
        <d v="2022-07-29T03:49:45"/>
        <d v="2022-07-29T03:49:51"/>
        <d v="2022-07-29T03:50:20"/>
        <d v="2022-07-29T03:50:26"/>
        <d v="2022-07-29T03:50:39"/>
        <d v="2022-07-29T03:50:40"/>
        <d v="2022-07-29T03:50:51"/>
        <d v="2022-07-29T03:50:59"/>
        <d v="2022-07-29T03:51:03"/>
        <d v="2022-07-29T06:55:43"/>
        <d v="2022-07-29T03:51:12"/>
        <d v="2022-07-29T03:51:19"/>
        <d v="2022-07-29T03:51:21"/>
        <d v="2022-07-29T03:51:25"/>
        <d v="2022-07-29T03:51:45"/>
        <d v="2022-07-29T03:51:50"/>
        <d v="2022-07-29T03:51:51"/>
        <d v="2022-07-29T03:52:34"/>
        <d v="2022-07-29T03:53:16"/>
        <d v="2022-07-29T03:53:17"/>
        <d v="2022-07-29T03:53:37"/>
        <d v="2022-07-29T03:53:42"/>
        <d v="2022-07-29T03:53:46"/>
        <d v="2022-07-29T03:54:45"/>
        <d v="2022-07-29T03:54:46"/>
        <d v="2022-07-29T03:55:19"/>
        <d v="2022-07-29T06:55:54"/>
        <d v="2022-07-29T03:56:03"/>
        <d v="2022-07-29T03:56:08"/>
        <d v="2022-07-29T03:56:23"/>
        <d v="2022-07-29T03:56:33"/>
        <d v="2022-07-29T03:56:41"/>
        <d v="2022-07-29T03:56:43"/>
        <d v="2022-07-29T03:56:46"/>
        <d v="2022-07-29T07:25:34"/>
        <d v="2022-07-29T03:57:01"/>
        <d v="2022-07-29T03:57:06"/>
        <d v="2022-07-29T03:57:10"/>
        <d v="2022-07-29T03:57:11"/>
        <d v="2022-07-29T03:57:41"/>
        <d v="2022-07-29T03:57:44"/>
        <d v="2022-07-29T03:58:02"/>
        <d v="2022-07-29T03:58:07"/>
        <d v="2022-07-29T03:58:11"/>
        <d v="2022-07-29T03:58:20"/>
        <d v="2022-07-29T03:58:38"/>
        <d v="2022-07-29T03:58:42"/>
        <d v="2022-07-29T03:59:11"/>
        <d v="2022-07-29T03:59:21"/>
        <d v="2022-07-29T03:59:41"/>
        <d v="2022-07-29T03:59:46"/>
        <d v="2022-07-29T04:00:20"/>
        <d v="2022-07-29T04:00:30"/>
        <d v="2022-07-29T04:00:43"/>
        <d v="2022-07-29T04:01:03"/>
        <d v="2022-07-29T04:01:16"/>
        <d v="2022-07-29T04:01:36"/>
        <d v="2022-07-29T04:01:41"/>
        <d v="2022-07-29T04:01:46"/>
        <d v="2022-07-29T06:57:02"/>
        <d v="2022-07-29T04:01:48"/>
        <d v="2022-07-29T04:02:02"/>
        <d v="2022-07-29T04:02:06"/>
        <d v="2022-07-29T04:02:13"/>
        <d v="2022-07-29T04:02:14"/>
        <d v="2022-07-29T04:02:23"/>
        <d v="2022-07-29T04:02:37"/>
        <d v="2022-07-29T04:02:42"/>
        <d v="2022-07-29T04:02:46"/>
        <d v="2022-07-29T04:02:56"/>
        <d v="2022-07-29T04:02:58"/>
        <d v="2022-07-29T04:03:27"/>
        <d v="2022-07-29T04:03:29"/>
        <d v="2022-07-29T04:03:36"/>
        <d v="2022-07-29T04:04:33"/>
        <d v="2022-07-29T06:57:13"/>
        <d v="2022-07-29T04:05:33"/>
        <d v="2022-07-29T04:05:43"/>
        <d v="2022-07-29T04:05:46"/>
        <d v="2022-07-29T04:06:09"/>
        <d v="2022-07-29T04:06:51"/>
        <d v="2022-07-29T04:08:08"/>
        <d v="2022-07-29T04:08:36"/>
        <d v="2022-07-29T06:57:16"/>
        <d v="2022-07-29T04:08:56"/>
        <d v="2022-07-29T06:57:17"/>
        <d v="2022-07-29T04:09:09"/>
        <d v="2022-07-29T04:10:05"/>
        <d v="2022-07-29T04:10:12"/>
        <d v="2022-07-29T04:10:29"/>
        <d v="2022-07-29T04:10:41"/>
        <d v="2022-07-29T04:10:45"/>
        <d v="2022-07-29T06:57:24"/>
        <d v="2022-07-29T06:57:45"/>
        <d v="2022-07-29T04:10:46"/>
        <d v="2022-07-29T06:57:49"/>
        <d v="2022-07-29T04:11:15"/>
        <d v="2022-07-29T04:11:25"/>
        <d v="2022-07-29T04:11:47"/>
        <d v="2022-07-29T04:11:57"/>
        <d v="2022-07-29T04:12:09"/>
        <d v="2022-07-29T04:12:22"/>
        <d v="2022-07-29T04:13:50"/>
        <d v="2022-07-29T04:15:55"/>
        <d v="2022-07-29T04:16:25"/>
        <d v="2022-07-29T04:16:58"/>
        <d v="2022-07-29T04:17:02"/>
        <d v="2022-07-29T04:17:07"/>
        <d v="2022-07-29T06:58:09"/>
        <d v="2022-07-29T04:17:50"/>
        <d v="2022-07-29T04:17:55"/>
        <d v="2022-07-29T04:20:09"/>
        <d v="2022-07-29T06:58:13"/>
        <d v="2022-07-29T04:20:26"/>
        <d v="2022-07-29T04:20:27"/>
        <d v="2022-07-29T04:20:32"/>
        <d v="2022-07-29T04:20:36"/>
        <d v="2022-07-29T04:20:40"/>
        <d v="2022-07-29T04:21:04"/>
        <d v="2022-07-29T04:21:24"/>
        <d v="2022-07-29T04:21:31"/>
        <d v="2022-07-29T04:21:41"/>
        <d v="2022-07-29T04:21:59"/>
        <d v="2022-07-29T04:22:24"/>
        <d v="2022-07-29T04:22:26"/>
        <d v="2022-07-29T04:22:43"/>
        <d v="2022-07-29T04:22:58"/>
        <d v="2022-07-29T04:23:10"/>
        <d v="2022-07-29T06:58:38"/>
        <d v="2022-07-29T04:24:43"/>
        <d v="2022-07-29T04:24:58"/>
        <d v="2022-07-29T04:25:26"/>
        <d v="2022-07-29T04:25:29"/>
        <d v="2022-07-29T04:25:44"/>
        <d v="2022-07-29T04:25:51"/>
        <d v="2022-07-29T06:58:57"/>
        <d v="2022-07-29T04:28:27"/>
        <d v="2022-07-29T04:29:00"/>
        <d v="2022-07-29T04:29:59"/>
        <d v="2022-07-29T04:30:12"/>
        <d v="2022-07-29T04:30:51"/>
        <d v="2022-07-29T04:31:37"/>
        <d v="2022-07-29T04:33:00"/>
        <d v="2022-07-29T06:59:18"/>
        <d v="2022-07-29T04:34:06"/>
        <d v="2022-07-29T04:35:04"/>
        <d v="2022-07-29T04:35:09"/>
        <d v="2022-07-29T04:35:14"/>
        <d v="2022-07-29T04:35:22"/>
        <d v="2022-07-29T04:36:05"/>
        <d v="2022-07-29T06:59:24"/>
        <d v="2022-07-29T04:36:41"/>
        <d v="2022-07-29T04:37:26"/>
        <d v="2022-07-29T04:38:19"/>
        <d v="2022-07-29T04:38:50"/>
        <d v="2022-07-29T04:39:05"/>
        <d v="2022-07-29T04:39:17"/>
        <d v="2022-07-29T04:39:18"/>
        <d v="2022-07-29T04:40:42"/>
        <d v="2022-07-29T04:41:54"/>
        <d v="2022-07-29T04:42:16"/>
        <d v="2022-07-29T04:43:11"/>
        <d v="2022-07-29T04:43:36"/>
        <d v="2022-07-29T04:44:34"/>
        <d v="2022-07-29T04:45:05"/>
        <d v="2022-07-29T06:59:59"/>
        <d v="2022-07-29T04:45:11"/>
        <d v="2022-07-29T04:45:13"/>
        <d v="2022-07-29T04:46:05"/>
        <d v="2022-07-29T04:46:17"/>
        <d v="2022-07-29T04:48:43"/>
        <d v="2022-07-29T04:49:34"/>
        <d v="2022-07-29T04:50:25"/>
        <d v="2022-07-29T04:50:57"/>
        <d v="2022-07-29T04:52:09"/>
        <d v="2022-07-29T04:52:45"/>
        <d v="2022-07-29T04:53:33"/>
        <d v="2022-07-29T04:53:58"/>
        <d v="2022-07-29T04:55:31"/>
        <d v="2022-07-29T04:57:00"/>
        <d v="2022-07-29T04:57:23"/>
        <d v="2022-07-29T04:57:48"/>
        <d v="2022-07-29T04:58:57"/>
        <d v="2022-07-29T04:59:02"/>
        <d v="2022-07-29T04:59:03"/>
        <d v="2022-07-29T04:59:26"/>
        <d v="2022-07-29T04:59:36"/>
        <d v="2022-07-29T04:59:43"/>
        <d v="2022-07-29T04:59:46"/>
        <d v="2022-07-29T04:59:47"/>
        <d v="2022-07-29T04:59:58"/>
        <d v="2022-07-29T05:01:05"/>
        <d v="2022-07-29T07:01:20"/>
        <d v="2022-07-29T05:01:06"/>
        <d v="2022-07-29T05:02:51"/>
        <d v="2022-07-29T05:03:34"/>
        <d v="2022-07-29T05:03:36"/>
        <d v="2022-07-29T05:04:29"/>
        <d v="2022-07-29T05:05:12"/>
        <d v="2022-07-29T05:05:16"/>
        <d v="2022-07-29T05:05:25"/>
        <d v="2022-07-29T05:05:33"/>
        <d v="2022-07-29T05:05:52"/>
        <d v="2022-07-29T05:05:57"/>
        <d v="2022-07-29T05:05:59"/>
        <d v="2022-07-29T05:06:31"/>
        <d v="2022-07-29T05:06:32"/>
        <d v="2022-07-29T05:06:52"/>
        <d v="2022-07-29T05:07:02"/>
        <d v="2022-07-29T05:07:30"/>
        <d v="2022-07-29T05:08:30"/>
        <d v="2022-07-29T05:09:33"/>
        <d v="2022-07-29T05:09:39"/>
        <d v="2022-07-29T05:10:03"/>
        <d v="2022-07-29T05:10:08"/>
        <d v="2022-07-29T07:02:17"/>
        <d v="2022-07-29T05:10:44"/>
        <d v="2022-07-29T05:12:03"/>
        <d v="2022-07-29T05:12:13"/>
        <d v="2022-07-29T05:12:36"/>
        <d v="2022-07-29T05:12:46"/>
        <d v="2022-07-29T05:12:57"/>
        <d v="2022-07-29T07:02:41"/>
        <d v="2022-07-29T05:13:09"/>
        <d v="2022-07-29T05:13:21"/>
        <d v="2022-07-29T05:15:16"/>
        <d v="2022-07-29T05:15:26"/>
        <d v="2022-07-29T05:15:32"/>
        <d v="2022-07-29T05:16:29"/>
        <d v="2022-07-29T07:02:46"/>
        <d v="2022-07-29T05:16:42"/>
        <d v="2022-07-29T05:16:53"/>
        <d v="2022-07-29T05:17:04"/>
        <d v="2022-07-29T05:17:37"/>
        <d v="2022-07-29T05:17:53"/>
        <d v="2022-07-29T05:18:04"/>
        <d v="2022-07-29T05:18:23"/>
        <d v="2022-07-29T05:19:05"/>
        <d v="2022-07-29T05:19:25"/>
        <d v="2022-07-29T07:02:54"/>
        <d v="2022-07-29T05:20:26"/>
        <d v="2022-07-29T05:20:31"/>
        <d v="2022-07-29T05:20:36"/>
        <d v="2022-07-29T05:20:37"/>
        <d v="2022-07-29T05:21:20"/>
        <d v="2022-07-29T05:21:36"/>
        <d v="2022-07-29T05:21:59"/>
        <d v="2022-07-29T05:22:18"/>
        <d v="2022-07-29T05:23:09"/>
        <d v="2022-07-29T05:23:17"/>
        <d v="2022-07-29T05:23:34"/>
        <d v="2022-07-29T05:24:02"/>
        <d v="2022-07-29T05:24:16"/>
        <d v="2022-07-29T05:24:40"/>
        <d v="2022-07-29T05:24:58"/>
        <d v="2022-07-29T05:25:05"/>
        <d v="2022-07-29T05:25:10"/>
        <d v="2022-07-29T05:25:17"/>
        <d v="2022-07-29T05:25:32"/>
        <d v="2022-07-29T05:25:48"/>
        <d v="2022-07-29T05:26:15"/>
        <d v="2022-07-29T05:26:34"/>
        <d v="2022-07-29T05:28:05"/>
        <d v="2022-07-29T05:28:45"/>
        <d v="2022-07-29T05:29:26"/>
        <d v="2022-07-29T05:31:13"/>
        <d v="2022-07-29T05:31:53"/>
        <d v="2022-07-29T05:32:02"/>
        <d v="2022-07-29T05:32:33"/>
        <d v="2022-07-29T05:32:38"/>
        <d v="2022-07-29T05:33:17"/>
        <d v="2022-07-29T05:33:21"/>
        <d v="2022-07-29T05:33:26"/>
        <d v="2022-07-29T05:35:41"/>
        <d v="2022-07-29T05:37:00"/>
        <d v="2022-07-29T05:38:24"/>
        <d v="2022-07-29T05:38:41"/>
        <d v="2022-07-29T05:38:42"/>
        <d v="2022-07-29T05:40:03"/>
        <d v="2022-07-29T07:03:59"/>
        <d v="2022-07-29T05:40:56"/>
        <d v="2022-07-29T07:04:11"/>
        <d v="2022-07-29T05:42:35"/>
        <d v="2022-07-29T05:43:09"/>
        <d v="2022-07-29T07:04:12"/>
        <d v="2022-07-29T05:46:25"/>
        <d v="2022-07-29T05:48:24"/>
        <d v="2022-07-29T05:48:42"/>
        <d v="2022-07-29T05:48:46"/>
        <d v="2022-07-29T05:48:54"/>
        <d v="2022-07-29T05:49:15"/>
        <d v="2022-07-29T07:04:21"/>
        <d v="2022-07-29T05:51:10"/>
        <d v="2022-07-29T05:51:19"/>
        <d v="2022-07-29T05:52:20"/>
        <d v="2022-07-29T05:52:56"/>
        <d v="2022-07-29T05:53:31"/>
        <d v="2022-07-29T05:53:33"/>
        <d v="2022-07-29T05:54:45"/>
        <d v="2022-07-29T05:55:31"/>
        <d v="2022-07-29T05:57:52"/>
        <d v="2022-07-29T05:58:36"/>
        <d v="2022-07-29T05:58:43"/>
        <d v="2022-07-29T07:28:16"/>
        <d v="2022-07-29T07:29:19"/>
        <d v="2022-07-29T07:29:20"/>
        <d v="2022-07-29T07:30:12"/>
        <d v="2022-07-29T07:30:19"/>
        <d v="2022-07-29T07:30:22"/>
        <d v="2022-07-29T07:31:07"/>
        <d v="2022-07-29T07:31:21"/>
        <d v="2022-07-29T07:31:38"/>
        <d v="2022-07-29T07:31:57"/>
        <d v="2022-07-29T07:32:03"/>
        <d v="2022-07-29T07:32:15"/>
        <d v="2022-07-29T07:32:29"/>
        <d v="2022-07-29T07:32:42"/>
        <d v="2022-07-29T07:32:46"/>
        <d v="2022-07-29T07:35:02"/>
        <d v="2022-07-29T07:35:29"/>
        <d v="2022-07-29T07:36:19"/>
        <d v="2022-07-29T07:36:52"/>
        <d v="2022-07-29T07:37:11"/>
        <d v="2022-07-29T07:38:02"/>
        <d v="2022-07-29T07:38:06"/>
        <d v="2022-07-29T07:38:08"/>
        <d v="2022-07-29T07:38:14"/>
        <d v="2022-07-29T07:38:16"/>
        <d v="2022-07-29T07:38:19"/>
        <d v="2022-07-29T07:38:55"/>
        <d v="2022-07-29T07:39:40"/>
        <d v="2022-07-29T07:39:51"/>
        <d v="2022-07-29T07:40:02"/>
        <d v="2022-07-29T07:40:03"/>
        <d v="2022-07-29T07:40:05"/>
        <d v="2022-07-29T07:40:06"/>
        <d v="2022-07-29T07:40:42"/>
        <d v="2022-07-29T07:40:47"/>
        <d v="2022-07-29T07:41:25"/>
        <d v="2022-07-29T07:41:29"/>
        <d v="2022-07-29T07:42:22"/>
        <d v="2022-07-29T07:42:31"/>
        <d v="2022-07-29T07:43:24"/>
        <d v="2022-07-29T07:43:26"/>
        <d v="2022-07-29T07:43:40"/>
        <d v="2022-07-29T07:43:46"/>
        <d v="2022-07-29T07:45:11"/>
        <d v="2022-07-29T07:45:16"/>
        <d v="2022-07-29T07:45:22"/>
        <d v="2022-07-29T07:45:39"/>
        <d v="2022-07-29T07:45:40"/>
        <d v="2022-07-29T07:45:54"/>
        <d v="2022-07-29T07:46:22"/>
        <d v="2022-07-29T07:47:12"/>
        <d v="2022-07-29T07:47:52"/>
        <d v="2022-07-29T07:49:04"/>
        <d v="2022-07-29T07:50:10"/>
        <d v="2022-07-29T07:51:58"/>
        <d v="2022-07-29T07:52:31"/>
        <d v="2022-07-29T07:52:49"/>
        <d v="2022-07-29T07:52:51"/>
        <d v="2022-07-29T07:52:55"/>
        <d v="2022-07-29T07:53:20"/>
        <d v="2022-07-29T07:53:29"/>
        <d v="2022-07-29T07:53:36"/>
        <d v="2022-07-29T07:53:38"/>
        <d v="2022-07-29T07:54:08"/>
        <d v="2022-07-29T07:54:14"/>
        <d v="2022-07-29T07:54:21"/>
        <d v="2022-07-29T07:54:24"/>
        <d v="2022-07-29T07:54:26"/>
        <d v="2022-07-29T07:55:09"/>
        <d v="2022-07-29T07:55:20"/>
        <d v="2022-07-29T07:55:36"/>
        <d v="2022-07-29T07:56:21"/>
        <d v="2022-07-29T07:56:32"/>
        <d v="2022-07-29T07:56:56"/>
        <d v="2022-07-29T07:57:07"/>
        <d v="2022-07-29T07:57:18"/>
        <d v="2022-07-29T07:59:11"/>
        <d v="2022-07-29T07:59:36"/>
        <d v="2022-07-29T07:59:44"/>
        <d v="2022-07-29T07:59:54"/>
        <d v="2022-07-29T07:59:59"/>
        <d v="2022-07-29T08:00:00"/>
        <d v="2022-07-29T08:00:26"/>
        <d v="2022-07-29T08:01:35"/>
        <d v="2022-07-29T08:01:55"/>
        <d v="2022-07-29T08:02:41"/>
        <d v="2022-07-29T08:02:45"/>
        <d v="2022-07-29T08:04:38"/>
        <d v="2022-07-29T08:04:39"/>
        <d v="2022-07-29T08:04:41"/>
        <d v="2022-07-29T08:05:15"/>
        <d v="2022-07-29T08:06:05"/>
        <d v="2022-07-29T08:06:26"/>
        <d v="2022-07-29T08:08:12"/>
        <d v="2022-07-29T08:08:55"/>
        <d v="2022-07-29T08:09:31"/>
        <d v="2022-07-29T08:10:13"/>
        <d v="2022-07-29T08:10:46"/>
        <d v="2022-07-29T08:11:10"/>
        <d v="2022-07-29T08:11:50"/>
        <d v="2022-07-29T08:11:59"/>
        <d v="2022-07-29T08:12:01"/>
        <d v="2022-07-29T08:12:43"/>
        <d v="2022-07-29T08:12:47"/>
        <d v="2022-07-29T08:12:51"/>
        <d v="2022-07-29T08:14:31"/>
        <d v="2022-07-29T08:15:10"/>
        <d v="2022-07-29T08:15:57"/>
        <d v="2022-07-29T08:17:12"/>
        <d v="2022-07-29T08:17:53"/>
        <d v="2022-07-29T08:18:15"/>
        <d v="2022-07-29T08:18:21"/>
        <d v="2022-07-29T08:18:54"/>
        <d v="2022-07-29T08:19:05"/>
        <d v="2022-07-29T08:19:24"/>
        <d v="2022-07-29T08:19:46"/>
        <d v="2022-07-29T08:19:51"/>
        <d v="2022-07-29T08:20:35"/>
        <d v="2022-07-29T08:20:37"/>
        <d v="2022-07-29T08:21:17"/>
        <d v="2022-07-29T08:21:21"/>
        <d v="2022-07-29T08:21:27"/>
        <d v="2022-07-29T08:22:06"/>
        <d v="2022-07-29T08:23:11"/>
        <d v="2022-07-29T08:23:15"/>
        <d v="2022-07-29T08:24:06"/>
        <d v="2022-07-29T08:24:13"/>
        <d v="2022-07-29T08:24:39"/>
        <d v="2022-07-29T08:24:56"/>
        <d v="2022-07-29T08:25:22"/>
        <d v="2022-07-29T08:26:08"/>
        <d v="2022-07-29T08:26:20"/>
        <d v="2022-07-29T08:26:24"/>
        <d v="2022-07-29T08:26:30"/>
        <d v="2022-07-29T08:26:34"/>
        <d v="2022-07-29T08:26:46"/>
        <d v="2022-07-29T08:27:38"/>
        <d v="2022-07-29T08:28:10"/>
        <d v="2022-07-29T08:28:11"/>
        <d v="2022-07-29T08:28:18"/>
        <d v="2022-07-29T08:28:22"/>
        <d v="2022-07-29T08:28:44"/>
        <d v="2022-07-29T08:29:06"/>
        <d v="2022-07-29T08:29:22"/>
        <d v="2022-07-29T08:30:12"/>
        <d v="2022-07-29T08:30:17"/>
        <d v="2022-07-29T08:30:31"/>
        <d v="2022-07-29T08:30:40"/>
        <d v="2022-07-29T08:30:53"/>
        <d v="2022-07-29T08:31:00"/>
        <d v="2022-07-29T08:31:11"/>
        <d v="2022-07-29T08:31:27"/>
        <d v="2022-07-29T08:31:31"/>
        <d v="2022-07-29T08:33:22"/>
        <d v="2022-07-29T08:33:27"/>
        <d v="2022-07-29T08:33:49"/>
        <d v="2022-07-29T08:33:56"/>
        <d v="2022-07-29T08:33:57"/>
        <d v="2022-07-29T08:34:21"/>
        <d v="2022-07-29T08:34:35"/>
        <d v="2022-07-29T08:34:53"/>
        <d v="2022-07-29T08:35:10"/>
        <d v="2022-07-29T08:35:16"/>
        <d v="2022-07-29T08:36:02"/>
        <d v="2022-07-29T08:36:03"/>
        <d v="2022-07-29T08:36:06"/>
        <d v="2022-07-29T08:36:22"/>
        <d v="2022-07-29T08:36:31"/>
        <d v="2022-07-29T08:36:39"/>
        <d v="2022-07-29T08:37:02"/>
        <d v="2022-07-29T08:37:03"/>
        <d v="2022-07-29T08:37:06"/>
        <d v="2022-07-29T08:37:11"/>
        <d v="2022-07-29T08:37:22"/>
        <d v="2022-07-29T08:37:24"/>
        <d v="2022-07-29T08:37:33"/>
        <d v="2022-07-29T08:37:52"/>
        <d v="2022-07-29T08:37:58"/>
        <d v="2022-07-29T08:38:02"/>
        <d v="2022-07-29T08:38:06"/>
        <d v="2022-07-29T08:39:19"/>
        <d v="2022-07-29T08:40:11"/>
        <d v="2022-07-29T08:40:23"/>
        <d v="2022-07-29T08:40:49"/>
        <d v="2022-07-29T08:41:02"/>
        <d v="2022-07-29T08:41:25"/>
        <d v="2022-07-29T08:41:26"/>
        <d v="2022-07-29T08:41:37"/>
        <d v="2022-07-29T08:41:50"/>
        <d v="2022-07-29T08:42:10"/>
        <d v="2022-07-29T08:42:25"/>
        <d v="2022-07-29T08:42:56"/>
        <d v="2022-07-29T08:43:03"/>
        <d v="2022-07-29T08:43:07"/>
        <d v="2022-07-29T08:43:22"/>
        <d v="2022-07-29T08:43:53"/>
        <d v="2022-07-29T08:44:02"/>
        <d v="2022-07-29T08:44:21"/>
        <d v="2022-07-29T08:44:57"/>
        <d v="2022-07-29T08:46:47"/>
        <d v="2022-07-29T08:46:53"/>
        <d v="2022-07-29T08:47:03"/>
        <d v="2022-07-29T08:47:41"/>
        <d v="2022-07-29T08:47:47"/>
        <d v="2022-07-29T08:48:03"/>
        <d v="2022-07-29T08:48:26"/>
        <d v="2022-07-29T08:48:31"/>
        <d v="2022-07-29T08:48:44"/>
        <d v="2022-07-29T08:50:04"/>
        <d v="2022-07-29T08:50:40"/>
        <d v="2022-07-29T08:50:46"/>
        <d v="2022-07-29T08:51:21"/>
        <d v="2022-07-29T08:51:37"/>
        <d v="2022-07-29T08:51:49"/>
        <d v="2022-07-29T08:52:32"/>
        <d v="2022-07-29T08:53:04"/>
        <d v="2022-07-29T08:53:17"/>
        <d v="2022-07-29T08:53:36"/>
        <d v="2022-07-29T08:53:53"/>
        <d v="2022-07-29T08:54:33"/>
        <d v="2022-07-29T08:55:00"/>
        <d v="2022-07-29T08:55:31"/>
        <d v="2022-07-29T08:56:11"/>
        <d v="2022-07-29T08:56:35"/>
        <d v="2022-07-29T08:57:33"/>
        <d v="2022-07-29T08:57:52"/>
        <d v="2022-07-29T08:57:57"/>
        <d v="2022-07-29T08:58:23"/>
        <d v="2022-07-29T08:59:35"/>
        <d v="2022-07-29T09:00:17"/>
        <d v="2022-07-29T09:00:41"/>
        <d v="2022-07-29T09:01:19"/>
        <d v="2022-07-29T09:02:22"/>
        <d v="2022-07-29T09:02:47"/>
        <d v="2022-07-29T09:02:51"/>
        <d v="2022-07-29T09:02:59"/>
        <d v="2022-07-29T09:03:42"/>
        <d v="2022-07-29T09:03:50"/>
        <d v="2022-07-29T09:04:28"/>
        <d v="2022-07-29T09:05:12"/>
        <d v="2022-07-29T09:05:36"/>
        <d v="2022-07-29T09:06:12"/>
        <d v="2022-07-29T09:06:27"/>
        <d v="2022-07-29T09:06:30"/>
        <d v="2022-07-29T09:06:43"/>
        <d v="2022-07-29T09:07:09"/>
        <d v="2022-07-29T09:07:24"/>
        <d v="2022-07-29T09:08:05"/>
        <d v="2022-07-29T09:08:18"/>
        <d v="2022-07-29T09:08:39"/>
        <d v="2022-07-29T09:08:42"/>
        <d v="2022-07-29T09:08:45"/>
        <d v="2022-07-29T09:08:51"/>
        <d v="2022-07-29T09:08:55"/>
        <d v="2022-07-29T09:09:14"/>
        <d v="2022-07-29T09:09:22"/>
        <d v="2022-07-29T09:09:33"/>
        <d v="2022-07-29T09:10:56"/>
        <d v="2022-07-29T09:11:27"/>
        <d v="2022-07-29T09:11:32"/>
        <d v="2022-07-29T09:12:06"/>
        <d v="2022-07-29T09:14:05"/>
        <d v="2022-07-29T09:14:44"/>
        <d v="2022-07-29T09:14:51"/>
        <d v="2022-07-29T09:15:25"/>
        <d v="2022-07-29T09:16:28"/>
        <d v="2022-07-29T09:16:49"/>
        <d v="2022-07-29T09:16:53"/>
        <d v="2022-07-29T09:17:12"/>
        <d v="2022-07-29T09:18:47"/>
        <d v="2022-07-29T09:18:56"/>
        <d v="2022-07-29T09:19:49"/>
        <d v="2022-07-29T09:20:27"/>
        <d v="2022-07-29T09:21:10"/>
        <d v="2022-07-29T09:21:39"/>
        <d v="2022-07-29T09:22:42"/>
        <d v="2022-07-29T09:23:54"/>
        <d v="2022-07-29T09:25:22"/>
        <d v="2022-07-29T09:25:29"/>
        <d v="2022-07-29T09:26:20"/>
        <d v="2022-07-29T09:26:48"/>
        <d v="2022-07-29T09:27:27"/>
        <d v="2022-07-29T09:29:01"/>
        <d v="2022-07-29T09:29:40"/>
        <d v="2022-07-29T09:30:12"/>
        <d v="2022-07-29T09:30:31"/>
        <d v="2022-07-29T09:30:55"/>
        <d v="2022-07-29T09:31:12"/>
        <d v="2022-07-29T09:31:40"/>
        <d v="2022-07-29T09:31:41"/>
        <d v="2022-07-29T09:32:38"/>
        <d v="2022-07-29T09:32:43"/>
        <d v="2022-07-29T09:32:56"/>
        <d v="2022-07-29T09:33:37"/>
        <d v="2022-07-29T09:33:43"/>
        <d v="2022-07-29T09:33:57"/>
        <d v="2022-07-29T09:34:08"/>
        <d v="2022-07-29T09:34:46"/>
        <d v="2022-07-29T09:37:33"/>
        <d v="2022-07-29T09:38:03"/>
        <d v="2022-07-29T09:39:02"/>
        <d v="2022-07-29T09:41:11"/>
        <d v="2022-07-29T09:41:30"/>
        <d v="2022-07-29T09:41:33"/>
        <d v="2022-07-29T09:41:35"/>
        <d v="2022-07-29T09:41:39"/>
        <d v="2022-07-29T09:42:27"/>
        <d v="2022-07-29T09:43:38"/>
        <d v="2022-07-29T09:44:21"/>
        <d v="2022-07-29T09:44:37"/>
        <d v="2022-07-29T09:44:54"/>
        <d v="2022-07-29T09:46:44"/>
        <d v="2022-07-29T09:48:02"/>
        <d v="2022-07-29T09:48:17"/>
        <d v="2022-07-29T09:48:55"/>
        <d v="2022-07-29T09:50:06"/>
        <d v="2022-07-29T09:51:12"/>
        <d v="2022-07-29T09:51:13"/>
        <d v="2022-07-29T09:51:30"/>
        <d v="2022-07-29T09:53:32"/>
        <d v="2022-07-29T09:54:38"/>
        <d v="2022-07-29T09:55:00"/>
        <d v="2022-07-29T09:56:35"/>
        <d v="2022-07-29T09:57:05"/>
        <d v="2022-07-29T09:57:33"/>
        <d v="2022-07-29T09:57:42"/>
        <d v="2022-07-29T09:58:42"/>
        <d v="2022-07-29T09:59:37"/>
        <d v="2022-07-29T10:00:31"/>
        <d v="2022-07-29T10:01:24"/>
        <d v="2022-07-29T10:01:36"/>
        <d v="2022-07-29T10:01:51"/>
        <d v="2022-07-29T10:02:30"/>
        <d v="2022-07-29T10:03:19"/>
        <d v="2022-07-29T10:03:45"/>
        <d v="2022-07-29T10:04:27"/>
        <d v="2022-07-29T10:04:30"/>
        <d v="2022-07-29T10:04:37"/>
        <d v="2022-07-29T10:04:50"/>
        <d v="2022-07-29T10:04:52"/>
        <d v="2022-07-29T10:04:58"/>
        <d v="2022-07-29T10:05:00"/>
        <d v="2022-07-29T10:05:03"/>
        <d v="2022-07-29T10:05:31"/>
        <d v="2022-07-29T10:05:37"/>
        <d v="2022-07-29T10:08:08"/>
        <d v="2022-07-29T10:09:42"/>
        <d v="2022-07-29T10:10:22"/>
        <d v="2022-07-29T10:10:26"/>
        <d v="2022-07-29T10:12:05"/>
        <d v="2022-07-29T10:12:32"/>
        <d v="2022-07-29T10:12:45"/>
        <d v="2022-07-29T10:13:01"/>
        <d v="2022-07-29T10:13:19"/>
        <d v="2022-07-29T10:13:51"/>
        <d v="2022-07-29T10:14:20"/>
        <d v="2022-07-29T10:15:00"/>
        <d v="2022-07-29T10:15:14"/>
        <d v="2022-07-29T10:17:48"/>
        <d v="2022-07-29T10:18:23"/>
        <d v="2022-07-29T10:19:07"/>
        <d v="2022-07-29T10:21:45"/>
        <d v="2022-07-29T10:22:22"/>
        <d v="2022-07-29T10:22:30"/>
        <d v="2022-07-29T10:23:02"/>
        <d v="2022-07-29T10:23:37"/>
        <d v="2022-07-29T10:23:42"/>
        <d v="2022-07-29T10:23:57"/>
        <d v="2022-07-29T10:24:02"/>
        <d v="2022-07-29T10:24:23"/>
        <d v="2022-07-29T10:24:41"/>
        <d v="2022-07-29T10:25:07"/>
        <d v="2022-07-29T10:26:16"/>
        <d v="2022-07-29T10:27:47"/>
        <d v="2022-07-29T10:28:23"/>
        <d v="2022-07-29T10:28:53"/>
        <d v="2022-07-29T10:30:53"/>
        <d v="2022-07-29T10:31:04"/>
        <d v="2022-07-29T10:31:33"/>
        <d v="2022-07-29T10:31:37"/>
        <d v="2022-07-29T10:31:45"/>
        <d v="2022-07-29T10:31:47"/>
        <d v="2022-07-29T10:31:52"/>
        <d v="2022-07-29T10:31:55"/>
        <d v="2022-07-29T10:32:06"/>
        <d v="2022-07-29T10:32:26"/>
        <d v="2022-07-29T10:32:30"/>
        <d v="2022-07-29T10:32:44"/>
        <d v="2022-07-29T10:33:15"/>
        <d v="2022-07-29T10:33:22"/>
        <d v="2022-07-29T10:33:31"/>
        <d v="2022-07-29T10:33:54"/>
        <d v="2022-07-29T10:34:52"/>
        <d v="2022-07-29T10:34:56"/>
        <d v="2022-07-29T10:35:01"/>
        <d v="2022-07-29T10:36:03"/>
        <d v="2022-07-29T10:38:19"/>
        <d v="2022-07-29T10:38:23"/>
        <d v="2022-07-29T10:38:46"/>
        <d v="2022-07-29T10:39:10"/>
        <d v="2022-07-29T10:39:40"/>
        <d v="2022-07-29T10:40:04"/>
        <d v="2022-07-29T10:40:07"/>
        <d v="2022-07-29T10:40:12"/>
        <d v="2022-07-29T10:40:20"/>
        <d v="2022-07-29T10:40:21"/>
        <d v="2022-07-29T10:40:29"/>
        <d v="2022-07-29T10:40:31"/>
        <d v="2022-07-29T10:40:34"/>
        <d v="2022-07-29T10:40:35"/>
        <d v="2022-07-29T10:40:47"/>
        <d v="2022-07-29T10:41:16"/>
        <d v="2022-07-29T10:42:06"/>
        <d v="2022-07-29T10:42:28"/>
        <d v="2022-07-29T10:42:38"/>
        <d v="2022-07-29T10:42:53"/>
        <d v="2022-07-29T10:45:32"/>
        <d v="2022-07-29T10:46:04"/>
        <d v="2022-07-29T10:49:15"/>
        <d v="2022-07-29T10:50:03"/>
        <d v="2022-07-29T10:50:29"/>
        <d v="2022-07-29T10:50:42"/>
        <d v="2022-07-29T10:50:48"/>
        <d v="2022-07-29T10:51:29"/>
        <d v="2022-07-29T10:53:16"/>
        <d v="2022-07-29T10:53:48"/>
        <d v="2022-07-29T10:54:07"/>
        <d v="2022-07-29T10:54:31"/>
        <d v="2022-07-29T10:54:53"/>
        <d v="2022-07-29T10:56:21"/>
        <d v="2022-07-29T10:57:24"/>
        <d v="2022-07-29T10:57:32"/>
        <d v="2022-07-29T10:57:49"/>
        <d v="2022-07-29T10:58:21"/>
        <d v="2022-07-29T10:58:47"/>
        <d v="2022-07-29T10:59:02"/>
        <d v="2022-07-29T10:59:07"/>
        <d v="2022-07-29T10:59:19"/>
        <d v="2022-07-29T10:59:41"/>
        <d v="2022-07-29T10:59:47"/>
        <d v="2022-07-29T11:01:16"/>
        <d v="2022-07-29T11:01:21"/>
        <d v="2022-07-29T11:01:54"/>
        <d v="2022-07-29T11:02:06"/>
        <d v="2022-07-29T11:02:14"/>
        <d v="2022-07-29T11:02:21"/>
        <d v="2022-07-29T11:02:46"/>
        <d v="2022-07-29T11:03:05"/>
        <d v="2022-07-29T11:03:33"/>
        <d v="2022-07-29T11:03:51"/>
        <d v="2022-07-29T11:04:04"/>
        <d v="2022-07-29T11:04:07"/>
        <d v="2022-07-29T11:04:34"/>
        <d v="2022-07-29T11:04:35"/>
        <d v="2022-07-29T11:04:47"/>
        <d v="2022-07-29T11:04:56"/>
        <d v="2022-07-29T11:05:28"/>
        <d v="2022-07-29T11:05:30"/>
        <d v="2022-07-29T11:06:03"/>
        <d v="2022-07-29T11:06:15"/>
        <d v="2022-07-29T11:06:47"/>
        <d v="2022-07-29T11:07:31"/>
        <d v="2022-07-29T11:07:42"/>
        <d v="2022-07-29T11:07:46"/>
        <d v="2022-07-29T11:08:00"/>
        <d v="2022-07-29T11:08:09"/>
        <d v="2022-07-29T11:10:34"/>
        <d v="2022-07-29T11:11:17"/>
        <d v="2022-07-29T11:12:47"/>
        <d v="2022-07-29T11:12:58"/>
        <d v="2022-07-29T11:13:31"/>
        <d v="2022-07-29T11:14:04"/>
        <d v="2022-07-29T11:14:17"/>
        <d v="2022-07-29T11:14:21"/>
        <d v="2022-07-29T11:14:32"/>
        <d v="2022-07-29T11:14:37"/>
        <d v="2022-07-29T11:14:42"/>
        <d v="2022-07-29T11:15:16"/>
        <d v="2022-07-29T11:16:19"/>
        <d v="2022-07-29T11:16:52"/>
        <d v="2022-07-29T11:17:18"/>
        <d v="2022-07-29T11:18:02"/>
        <d v="2022-07-29T11:18:37"/>
        <d v="2022-07-29T11:18:48"/>
        <d v="2022-07-29T11:19:07"/>
        <d v="2022-07-29T11:19:32"/>
        <d v="2022-07-29T11:19:49"/>
        <d v="2022-07-29T11:20:44"/>
        <d v="2022-07-29T11:21:01"/>
        <d v="2022-07-29T11:21:10"/>
        <d v="2022-07-29T11:21:12"/>
        <d v="2022-07-29T11:21:15"/>
        <d v="2022-07-29T11:22:03"/>
        <d v="2022-07-29T11:22:14"/>
        <d v="2022-07-29T11:22:27"/>
        <d v="2022-07-29T11:23:11"/>
        <d v="2022-07-29T11:23:51"/>
        <d v="2022-07-29T11:23:52"/>
        <d v="2022-07-29T11:23:57"/>
        <d v="2022-07-29T11:24:10"/>
        <d v="2022-07-29T11:24:12"/>
        <d v="2022-07-29T11:24:13"/>
        <d v="2022-07-29T11:24:42"/>
        <d v="2022-07-29T11:24:45"/>
        <d v="2022-07-29T11:25:01"/>
        <d v="2022-07-29T11:28:17"/>
        <d v="2022-07-29T11:29:03"/>
        <d v="2022-07-29T11:29:13"/>
        <d v="2022-07-29T11:30:03"/>
        <d v="2022-07-29T11:30:22"/>
        <d v="2022-07-29T11:30:26"/>
        <d v="2022-07-29T11:30:49"/>
        <d v="2022-07-29T11:31:22"/>
        <d v="2022-07-29T11:31:50"/>
        <d v="2022-07-29T11:32:59"/>
        <d v="2022-07-29T11:33:25"/>
        <d v="2022-07-29T11:33:37"/>
        <d v="2022-07-29T11:33:47"/>
        <d v="2022-07-29T11:33:54"/>
        <d v="2022-07-29T11:33:57"/>
        <d v="2022-07-29T11:34:15"/>
        <d v="2022-07-29T11:34:21"/>
        <d v="2022-07-29T11:34:22"/>
        <d v="2022-07-29T11:34:31"/>
        <d v="2022-07-29T11:36:01"/>
        <d v="2022-07-29T11:37:01"/>
        <d v="2022-07-29T11:37:11"/>
        <d v="2022-07-29T11:37:25"/>
        <d v="2022-07-29T11:38:12"/>
        <d v="2022-07-29T11:38:37"/>
        <d v="2022-07-29T11:38:52"/>
        <d v="2022-07-29T11:38:53"/>
        <d v="2022-07-29T11:39:00"/>
        <d v="2022-07-29T11:39:01"/>
        <d v="2022-07-29T11:40:22"/>
        <d v="2022-07-29T11:40:47"/>
        <d v="2022-07-29T11:40:55"/>
        <d v="2022-07-29T11:40:56"/>
        <d v="2022-07-29T11:41:08"/>
        <d v="2022-07-29T11:41:10"/>
        <d v="2022-07-29T11:42:03"/>
        <d v="2022-07-29T11:42:48"/>
        <d v="2022-07-29T11:43:17"/>
        <d v="2022-07-29T11:43:28"/>
        <d v="2022-07-29T11:43:36"/>
        <d v="2022-07-29T11:44:52"/>
        <d v="2022-07-29T11:45:03"/>
        <d v="2022-07-29T11:45:29"/>
        <d v="2022-07-29T11:45:37"/>
        <d v="2022-07-29T11:45:44"/>
        <d v="2022-07-29T11:45:52"/>
        <d v="2022-07-29T11:46:04"/>
        <d v="2022-07-29T11:46:05"/>
        <d v="2022-07-29T11:46:48"/>
        <d v="2022-07-29T11:46:49"/>
        <d v="2022-07-29T11:46:52"/>
        <d v="2022-07-29T11:46:58"/>
        <d v="2022-07-29T11:48:02"/>
        <d v="2022-07-29T11:48:07"/>
        <d v="2022-07-29T11:48:15"/>
        <d v="2022-07-29T11:48:24"/>
        <d v="2022-07-29T11:48:45"/>
        <d v="2022-07-29T11:48:51"/>
        <d v="2022-07-29T11:49:29"/>
        <d v="2022-07-29T11:49:52"/>
        <d v="2022-07-29T11:50:28"/>
        <d v="2022-07-29T11:50:33"/>
        <d v="2022-07-29T11:51:17"/>
        <d v="2022-07-29T11:52:14"/>
        <d v="2022-07-29T11:53:58"/>
        <d v="2022-07-29T11:54:05"/>
        <d v="2022-07-29T11:54:30"/>
        <d v="2022-07-29T11:54:32"/>
        <d v="2022-07-29T11:55:14"/>
        <d v="2022-07-29T11:55:15"/>
        <d v="2022-07-29T11:55:17"/>
        <d v="2022-07-29T11:55:19"/>
        <d v="2022-07-29T11:55:22"/>
        <d v="2022-07-29T11:55:23"/>
        <d v="2022-07-29T11:55:28"/>
        <d v="2022-07-29T11:55:31"/>
        <d v="2022-07-29T11:55:37"/>
        <d v="2022-07-29T11:55:38"/>
        <d v="2022-07-29T11:56:37"/>
        <d v="2022-07-29T11:56:43"/>
        <d v="2022-07-29T11:56:47"/>
        <d v="2022-07-29T11:57:04"/>
        <d v="2022-07-29T11:57:06"/>
        <d v="2022-07-29T11:57:27"/>
        <d v="2022-07-29T11:57:43"/>
        <d v="2022-07-29T11:57:45"/>
        <d v="2022-07-29T11:57:47"/>
        <d v="2022-07-29T11:57:52"/>
        <d v="2022-07-29T11:58:17"/>
        <d v="2022-07-29T11:58:42"/>
        <d v="2022-07-29T11:59:07"/>
        <d v="2022-07-29T11:59:16"/>
        <d v="2022-07-29T11:59:26"/>
        <d v="2022-07-29T12:00:08"/>
        <d v="2022-07-29T12:01:00"/>
        <d v="2022-07-29T12:01:19"/>
        <d v="2022-07-29T12:01:52"/>
        <d v="2022-07-29T12:02:21"/>
        <d v="2022-07-29T12:02:23"/>
        <d v="2022-07-29T12:03:21"/>
        <d v="2022-07-29T12:04:29"/>
        <d v="2022-07-29T12:04:37"/>
        <d v="2022-07-29T12:05:06"/>
        <d v="2022-07-29T12:05:43"/>
        <d v="2022-07-29T12:05:50"/>
        <d v="2022-07-29T12:06:26"/>
        <d v="2022-07-29T12:06:31"/>
        <d v="2022-07-29T12:06:57"/>
        <d v="2022-07-29T12:07:03"/>
        <d v="2022-07-29T12:07:24"/>
        <d v="2022-07-29T12:08:02"/>
        <d v="2022-07-29T12:09:55"/>
        <d v="2022-07-29T12:10:00"/>
        <d v="2022-07-29T12:10:15"/>
        <d v="2022-07-29T12:10:17"/>
        <d v="2022-07-29T12:10:41"/>
        <d v="2022-07-29T12:10:51"/>
        <d v="2022-07-29T12:11:01"/>
        <d v="2022-07-29T12:11:07"/>
        <d v="2022-07-29T12:11:13"/>
        <d v="2022-07-29T12:11:24"/>
        <d v="2022-07-29T12:11:29"/>
        <d v="2022-07-29T12:11:47"/>
        <d v="2022-07-29T12:11:53"/>
        <d v="2022-07-29T12:12:37"/>
        <d v="2022-07-29T12:13:10"/>
        <d v="2022-07-29T12:13:37"/>
        <d v="2022-07-29T12:15:04"/>
        <d v="2022-07-29T12:15:29"/>
        <d v="2022-07-29T12:15:38"/>
        <d v="2022-07-29T12:15:47"/>
        <d v="2022-07-29T12:16:57"/>
        <d v="2022-07-29T12:17:01"/>
        <d v="2022-07-29T12:19:07"/>
        <d v="2022-07-29T12:19:45"/>
        <d v="2022-07-29T12:19:51"/>
        <d v="2022-07-29T12:20:54"/>
        <d v="2022-07-29T12:20:57"/>
        <d v="2022-07-29T12:21:00"/>
        <d v="2022-07-29T12:21:26"/>
        <d v="2022-07-29T12:21:35"/>
        <d v="2022-07-29T12:21:40"/>
        <d v="2022-07-29T12:21:46"/>
        <d v="2022-07-29T12:22:29"/>
        <d v="2022-07-29T12:24:19"/>
        <d v="2022-07-29T12:26:32"/>
        <d v="2022-07-29T12:27:04"/>
        <d v="2022-07-29T12:27:38"/>
        <d v="2022-07-29T12:28:15"/>
        <d v="2022-07-29T12:30:37"/>
        <d v="2022-07-29T12:31:07"/>
        <d v="2022-07-29T12:31:16"/>
        <d v="2022-07-29T12:31:22"/>
        <d v="2022-07-29T12:31:53"/>
        <d v="2022-07-29T12:31:57"/>
        <d v="2022-07-29T12:33:22"/>
        <d v="2022-07-29T12:33:32"/>
        <d v="2022-07-29T12:34:45"/>
        <d v="2022-07-29T12:34:46"/>
        <d v="2022-07-29T12:36:27"/>
        <d v="2022-07-29T12:36:35"/>
        <d v="2022-07-29T12:37:07"/>
        <d v="2022-07-29T12:37:38"/>
        <d v="2022-07-29T12:38:32"/>
        <d v="2022-07-29T12:39:03"/>
        <d v="2022-07-29T12:39:46"/>
        <d v="2022-07-29T12:40:18"/>
        <d v="2022-07-29T12:40:57"/>
        <d v="2022-07-29T12:40:59"/>
        <d v="2022-07-29T12:41:19"/>
        <d v="2022-07-29T12:42:17"/>
        <d v="2022-07-29T12:42:32"/>
        <d v="2022-07-29T12:43:10"/>
        <d v="2022-07-29T12:43:59"/>
        <d v="2022-07-29T12:44:40"/>
        <d v="2022-07-29T12:44:41"/>
        <d v="2022-07-29T12:45:04"/>
        <d v="2022-07-29T12:45:29"/>
        <d v="2022-07-29T12:46:05"/>
        <d v="2022-07-29T12:46:09"/>
        <d v="2022-07-29T12:46:48"/>
        <d v="2022-07-29T12:46:56"/>
        <d v="2022-07-29T12:47:18"/>
        <d v="2022-07-29T12:47:29"/>
        <d v="2022-07-29T12:47:42"/>
        <d v="2022-07-29T12:48:08"/>
        <d v="2022-07-29T12:48:47"/>
        <d v="2022-07-29T12:49:42"/>
        <d v="2022-07-29T12:50:15"/>
        <d v="2022-07-29T12:50:25"/>
        <d v="2022-07-29T12:51:44"/>
        <d v="2022-07-29T12:52:12"/>
        <d v="2022-07-29T12:52:13"/>
        <d v="2022-07-29T12:53:01"/>
        <d v="2022-07-29T12:53:52"/>
        <d v="2022-07-29T12:54:17"/>
        <d v="2022-07-29T12:54:50"/>
        <d v="2022-07-29T12:55:09"/>
        <d v="2022-07-29T12:55:16"/>
        <d v="2022-07-29T13:01:09"/>
        <d v="2022-07-29T13:02:01"/>
        <d v="2022-07-29T13:02:07"/>
        <d v="2022-07-29T13:02:24"/>
        <d v="2022-07-29T13:03:09"/>
        <d v="2022-07-29T13:03:14"/>
        <d v="2022-07-29T13:03:37"/>
        <d v="2022-07-29T13:03:41"/>
        <d v="2022-07-29T13:03:42"/>
        <d v="2022-07-29T13:03:43"/>
        <d v="2022-07-29T13:05:26"/>
        <d v="2022-07-29T13:06:07"/>
        <d v="2022-07-29T13:09:16"/>
        <d v="2022-07-29T13:10:03"/>
        <d v="2022-07-29T13:11:52"/>
        <d v="2022-07-29T13:12:17"/>
        <d v="2022-07-29T13:12:44"/>
        <d v="2022-07-29T13:13:48"/>
        <d v="2022-07-29T13:14:18"/>
        <d v="2022-07-29T13:17:59"/>
        <d v="2022-07-29T13:21:07"/>
        <d v="2022-07-29T13:21:51"/>
        <d v="2022-07-29T13:22:22"/>
        <d v="2022-07-29T13:23:04"/>
        <d v="2022-07-29T13:23:10"/>
        <d v="2022-07-29T13:23:28"/>
        <d v="2022-07-29T13:23:41"/>
        <d v="2022-07-29T13:26:05"/>
        <d v="2022-07-29T13:26:44"/>
        <d v="2022-07-29T13:26:45"/>
        <d v="2022-07-29T13:27:35"/>
        <d v="2022-07-29T13:27:48"/>
        <d v="2022-07-29T13:28:27"/>
        <d v="2022-07-29T13:28:54"/>
        <d v="2022-07-29T13:29:01"/>
        <d v="2022-07-29T13:31:07"/>
        <d v="2022-07-29T13:31:12"/>
        <d v="2022-07-29T13:32:42"/>
        <d v="2022-07-29T13:34:32"/>
        <d v="2022-07-29T13:34:36"/>
        <d v="2022-07-29T13:34:37"/>
        <d v="2022-07-29T13:34:41"/>
        <d v="2022-07-29T13:35:01"/>
        <d v="2022-07-29T13:35:13"/>
        <d v="2022-07-29T13:35:22"/>
        <d v="2022-07-29T13:37:25"/>
        <d v="2022-07-29T13:37:57"/>
        <d v="2022-07-29T13:38:04"/>
        <d v="2022-07-29T13:38:17"/>
        <d v="2022-07-29T13:38:59"/>
        <d v="2022-07-29T13:41:33"/>
        <d v="2022-07-29T13:41:53"/>
        <d v="2022-07-29T13:42:07"/>
        <d v="2022-07-29T13:42:09"/>
        <d v="2022-07-29T13:42:34"/>
        <d v="2022-07-29T13:42:44"/>
        <d v="2022-07-29T13:42:59"/>
        <d v="2022-07-29T13:43:07"/>
        <d v="2022-07-29T13:45:19"/>
        <d v="2022-07-29T13:45:41"/>
        <d v="2022-07-29T13:46:04"/>
        <d v="2022-07-29T13:47:17"/>
        <d v="2022-07-29T13:47:22"/>
        <d v="2022-07-29T13:47:49"/>
        <d v="2022-07-29T13:49:20"/>
        <d v="2022-07-29T13:49:42"/>
        <d v="2022-07-29T13:49:46"/>
        <d v="2022-07-29T13:49:57"/>
        <d v="2022-07-29T13:50:05"/>
        <d v="2022-07-29T13:50:07"/>
        <d v="2022-07-29T13:50:10"/>
        <d v="2022-07-29T13:50:11"/>
        <d v="2022-07-29T13:50:54"/>
        <d v="2022-07-29T13:52:42"/>
        <d v="2022-07-29T13:53:02"/>
        <d v="2022-07-29T13:53:10"/>
        <d v="2022-07-29T13:55:15"/>
        <d v="2022-07-29T13:55:49"/>
        <d v="2022-07-29T13:55:57"/>
        <d v="2022-07-29T13:56:09"/>
        <d v="2022-07-29T13:56:24"/>
        <d v="2022-07-29T13:56:39"/>
        <d v="2022-07-29T13:56:50"/>
        <d v="2022-07-29T13:57:28"/>
        <d v="2022-07-29T13:57:44"/>
        <d v="2022-07-29T13:57:59"/>
        <d v="2022-07-29T13:58:15"/>
        <d v="2022-07-29T13:59:22"/>
        <d v="2022-07-29T13:59:35"/>
        <d v="2022-07-29T13:59:37"/>
        <d v="2022-07-29T13:59:42"/>
        <d v="2022-07-29T14:00:08"/>
        <d v="2022-07-29T14:00:32"/>
        <d v="2022-07-29T14:00:42"/>
        <d v="2022-07-29T14:01:29"/>
        <d v="2022-07-29T14:01:37"/>
        <d v="2022-07-29T14:03:27"/>
        <d v="2022-07-29T14:03:42"/>
        <d v="2022-07-29T14:04:14"/>
        <d v="2022-07-29T14:04:21"/>
        <d v="2022-07-29T14:04:27"/>
        <d v="2022-07-29T14:04:41"/>
        <d v="2022-07-29T14:05:03"/>
        <d v="2022-07-29T14:05:11"/>
        <d v="2022-07-29T14:05:14"/>
        <d v="2022-07-29T14:05:41"/>
        <d v="2022-07-29T14:05:52"/>
        <d v="2022-07-29T14:06:32"/>
        <d v="2022-07-29T14:06:49"/>
        <d v="2022-07-29T14:08:13"/>
        <d v="2022-07-29T14:08:21"/>
        <d v="2022-07-29T14:08:52"/>
        <d v="2022-07-29T14:09:14"/>
        <d v="2022-07-29T14:09:32"/>
        <d v="2022-07-29T14:10:27"/>
        <d v="2022-07-29T14:10:31"/>
        <d v="2022-07-29T14:10:34"/>
        <d v="2022-07-29T14:10:54"/>
        <d v="2022-07-29T14:11:24"/>
        <d v="2022-07-29T14:11:55"/>
        <d v="2022-07-29T14:12:32"/>
        <d v="2022-07-29T14:14:10"/>
        <d v="2022-07-29T14:14:57"/>
        <d v="2022-07-29T14:15:01"/>
        <d v="2022-07-29T14:15:02"/>
        <d v="2022-07-29T14:15:27"/>
        <d v="2022-07-29T14:16:17"/>
        <d v="2022-07-29T14:16:18"/>
        <d v="2022-07-29T14:16:22"/>
        <d v="2022-07-29T14:16:37"/>
        <d v="2022-07-29T14:16:42"/>
        <d v="2022-07-29T14:16:47"/>
        <d v="2022-07-29T14:16:48"/>
        <d v="2022-07-29T14:16:55"/>
        <d v="2022-07-29T14:17:11"/>
        <d v="2022-07-29T14:17:45"/>
        <d v="2022-07-29T14:17:47"/>
        <d v="2022-07-29T14:17:56"/>
        <d v="2022-07-29T14:18:25"/>
        <d v="2022-07-29T14:18:48"/>
        <d v="2022-07-29T14:19:08"/>
        <d v="2022-07-29T14:20:03"/>
        <d v="2022-07-29T14:20:06"/>
        <d v="2022-07-29T14:20:15"/>
        <d v="2022-07-29T14:20:44"/>
        <d v="2022-07-29T14:21:08"/>
        <d v="2022-07-29T14:21:42"/>
        <d v="2022-07-29T14:22:15"/>
        <d v="2022-07-29T14:22:16"/>
        <d v="2022-07-29T14:22:31"/>
        <d v="2022-07-29T14:22:36"/>
        <d v="2022-07-29T14:22:57"/>
        <d v="2022-07-29T14:22:59"/>
        <d v="2022-07-29T14:24:20"/>
        <d v="2022-07-29T14:24:38"/>
        <d v="2022-07-29T14:25:42"/>
        <d v="2022-07-29T14:25:52"/>
        <d v="2022-07-29T14:26:56"/>
        <d v="2022-07-29T14:27:24"/>
        <d v="2022-07-29T14:27:44"/>
        <d v="2022-07-29T14:27:49"/>
        <d v="2022-07-29T14:28:36"/>
        <d v="2022-07-29T14:29:12"/>
        <d v="2022-07-29T14:29:20"/>
        <d v="2022-07-29T14:31:00"/>
        <d v="2022-07-29T14:31:29"/>
        <d v="2022-07-29T14:32:12"/>
        <d v="2022-07-29T14:32:59"/>
        <d v="2022-07-29T14:33:32"/>
        <d v="2022-07-29T14:33:43"/>
        <d v="2022-07-29T14:35:19"/>
        <d v="2022-07-29T14:35:35"/>
        <d v="2022-07-29T14:36:47"/>
        <d v="2022-07-29T14:36:52"/>
        <d v="2022-07-29T14:36:55"/>
        <d v="2022-07-29T14:37:15"/>
        <d v="2022-07-29T14:37:43"/>
        <d v="2022-07-29T14:37:49"/>
        <d v="2022-07-29T14:38:38"/>
        <d v="2022-07-29T14:38:42"/>
        <d v="2022-07-29T14:38:52"/>
        <d v="2022-07-29T14:39:28"/>
        <d v="2022-07-29T14:39:48"/>
        <d v="2022-07-29T14:39:50"/>
        <d v="2022-07-29T14:40:39"/>
        <d v="2022-07-29T14:43:52"/>
        <d v="2022-07-29T14:44:07"/>
        <d v="2022-07-29T14:45:14"/>
        <d v="2022-07-29T14:45:37"/>
        <d v="2022-07-29T14:46:09"/>
        <d v="2022-07-29T14:46:22"/>
        <d v="2022-07-29T14:46:23"/>
        <d v="2022-07-29T14:46:54"/>
        <d v="2022-07-29T14:48:12"/>
        <d v="2022-07-29T14:48:15"/>
        <d v="2022-07-29T14:48:20"/>
        <d v="2022-07-29T14:49:06"/>
        <d v="2022-07-29T14:49:09"/>
        <d v="2022-07-29T14:50:50"/>
        <d v="2022-07-29T14:51:12"/>
        <d v="2022-07-29T14:51:21"/>
        <d v="2022-07-29T14:52:15"/>
        <d v="2022-07-29T14:52:53"/>
        <d v="2022-07-29T14:53:26"/>
        <d v="2022-07-29T14:53:29"/>
        <d v="2022-07-29T14:53:30"/>
        <d v="2022-07-29T14:53:31"/>
        <d v="2022-07-29T14:53:59"/>
        <d v="2022-07-29T14:54:03"/>
        <d v="2022-07-29T14:54:09"/>
        <d v="2022-07-29T14:54:42"/>
        <d v="2022-07-29T14:55:00"/>
        <d v="2022-07-29T14:55:50"/>
        <d v="2022-07-29T14:56:20"/>
        <d v="2022-07-29T14:56:23"/>
        <d v="2022-07-29T14:56:47"/>
        <d v="2022-07-29T14:56:57"/>
        <d v="2022-07-29T14:57:07"/>
        <d v="2022-07-29T14:57:20"/>
        <d v="2022-07-29T14:57:30"/>
        <d v="2022-07-29T14:58:03"/>
        <d v="2022-07-29T14:58:15"/>
        <d v="2022-07-29T14:58:33"/>
        <d v="2022-07-29T14:59:19"/>
        <d v="2022-07-29T14:59:57"/>
        <d v="2022-07-29T15:00:05"/>
        <d v="2022-07-29T15:00:07"/>
        <d v="2022-07-29T15:01:08"/>
        <d v="2022-07-29T15:01:11"/>
        <d v="2022-07-29T15:01:28"/>
        <d v="2022-07-29T15:02:09"/>
        <d v="2022-07-29T15:02:21"/>
        <d v="2022-07-29T15:03:14"/>
        <d v="2022-07-29T15:04:23"/>
        <d v="2022-07-29T15:05:12"/>
        <d v="2022-07-29T15:05:27"/>
        <d v="2022-07-29T15:06:17"/>
        <d v="2022-07-29T15:07:22"/>
        <d v="2022-07-29T15:07:45"/>
        <d v="2022-07-29T15:07:46"/>
        <d v="2022-07-29T15:08:26"/>
        <d v="2022-07-29T15:08:27"/>
        <d v="2022-07-29T15:08:30"/>
        <d v="2022-07-29T15:08:52"/>
        <d v="2022-07-29T15:09:03"/>
        <d v="2022-07-29T15:09:21"/>
        <d v="2022-07-29T15:09:58"/>
        <d v="2022-07-29T15:10:17"/>
        <d v="2022-07-29T15:10:27"/>
        <d v="2022-07-29T15:10:47"/>
        <d v="2022-07-29T15:11:54"/>
        <d v="2022-07-29T15:12:14"/>
        <d v="2022-07-29T15:12:41"/>
        <d v="2022-07-29T15:13:02"/>
        <d v="2022-07-29T15:13:21"/>
        <d v="2022-07-29T15:13:50"/>
        <d v="2022-07-29T15:13:52"/>
        <d v="2022-07-29T15:14:21"/>
        <d v="2022-07-29T15:14:28"/>
        <d v="2022-07-29T15:14:57"/>
        <d v="2022-07-29T15:15:14"/>
        <d v="2022-07-29T15:15:17"/>
        <d v="2022-07-29T15:16:46"/>
        <d v="2022-07-29T15:17:06"/>
        <d v="2022-07-29T15:17:38"/>
        <d v="2022-07-29T15:18:45"/>
        <d v="2022-07-29T15:19:12"/>
        <d v="2022-07-29T15:19:32"/>
        <d v="2022-07-29T15:19:33"/>
        <d v="2022-07-29T15:19:45"/>
        <d v="2022-07-29T15:20:29"/>
        <d v="2022-07-29T15:20:37"/>
        <d v="2022-07-29T15:21:14"/>
        <d v="2022-07-29T15:21:24"/>
        <d v="2022-07-29T15:21:37"/>
        <d v="2022-07-29T15:23:03"/>
        <d v="2022-07-29T15:23:10"/>
        <d v="2022-07-29T15:23:37"/>
        <d v="2022-07-29T15:23:40"/>
        <d v="2022-07-29T15:25:32"/>
        <d v="2022-07-29T15:25:52"/>
        <d v="2022-07-29T15:26:30"/>
        <d v="2022-07-29T15:26:52"/>
        <d v="2022-07-29T15:27:19"/>
        <d v="2022-07-29T15:27:21"/>
        <d v="2022-07-29T15:27:25"/>
        <d v="2022-07-29T15:27:27"/>
        <d v="2022-07-29T15:27:31"/>
        <d v="2022-07-29T15:27:45"/>
        <d v="2022-07-29T15:28:01"/>
        <d v="2022-07-29T15:28:19"/>
        <d v="2022-07-29T15:29:05"/>
        <d v="2022-07-29T15:29:56"/>
        <d v="2022-07-29T15:30:03"/>
        <d v="2022-07-29T15:30:17"/>
        <d v="2022-07-29T15:30:47"/>
        <d v="2022-07-29T15:31:23"/>
        <d v="2022-07-29T15:31:37"/>
        <d v="2022-07-29T15:33:11"/>
        <d v="2022-07-29T15:33:49"/>
        <d v="2022-07-29T15:33:56"/>
        <d v="2022-07-29T15:34:38"/>
        <d v="2022-07-29T15:35:05"/>
        <d v="2022-07-29T15:35:59"/>
        <d v="2022-07-29T15:37:22"/>
        <d v="2022-07-29T15:38:27"/>
        <d v="2022-07-29T15:38:51"/>
        <d v="2022-07-29T15:39:32"/>
        <d v="2022-07-29T15:39:39"/>
        <d v="2022-07-29T15:39:47"/>
        <d v="2022-07-29T15:40:06"/>
        <d v="2022-07-29T15:40:07"/>
        <d v="2022-07-29T15:40:14"/>
        <d v="2022-07-29T15:40:17"/>
        <d v="2022-07-29T15:40:31"/>
        <d v="2022-07-29T15:40:56"/>
        <d v="2022-07-29T15:40:57"/>
        <d v="2022-07-29T15:41:13"/>
        <d v="2022-07-29T15:41:17"/>
        <d v="2022-07-29T15:41:38"/>
        <d v="2022-07-29T15:42:05"/>
        <d v="2022-07-29T15:42:36"/>
        <d v="2022-07-29T15:43:12"/>
        <d v="2022-07-29T15:43:21"/>
        <d v="2022-07-29T15:43:49"/>
        <d v="2022-07-29T15:43:54"/>
        <d v="2022-07-29T15:44:32"/>
        <d v="2022-07-29T15:44:47"/>
        <d v="2022-07-29T15:45:20"/>
        <d v="2022-07-29T15:45:30"/>
        <d v="2022-07-29T15:45:33"/>
        <d v="2022-07-29T15:45:37"/>
        <d v="2022-07-29T15:45:47"/>
        <d v="2022-07-29T15:46:17"/>
        <d v="2022-07-29T15:46:55"/>
        <d v="2022-07-29T15:47:21"/>
        <d v="2022-07-29T15:47:49"/>
        <d v="2022-07-29T15:48:03"/>
        <d v="2022-07-29T15:48:07"/>
        <d v="2022-07-29T15:48:41"/>
        <d v="2022-07-29T15:49:33"/>
        <d v="2022-07-29T15:49:47"/>
        <d v="2022-07-29T15:50:17"/>
        <d v="2022-07-29T15:51:04"/>
        <d v="2022-07-29T15:51:12"/>
        <d v="2022-07-29T15:51:15"/>
        <d v="2022-07-29T15:51:24"/>
        <d v="2022-07-29T15:51:30"/>
        <d v="2022-07-29T15:52:06"/>
        <d v="2022-07-29T15:52:18"/>
        <d v="2022-07-29T15:52:44"/>
        <d v="2022-07-29T15:54:01"/>
        <d v="2022-07-29T15:54:47"/>
        <d v="2022-07-29T15:55:11"/>
        <d v="2022-07-29T15:55:17"/>
        <d v="2022-07-29T15:55:39"/>
        <d v="2022-07-29T15:56:00"/>
        <d v="2022-07-29T15:56:09"/>
        <d v="2022-07-29T15:56:27"/>
        <d v="2022-07-29T15:56:31"/>
        <d v="2022-07-29T15:56:39"/>
        <d v="2022-07-29T15:57:22"/>
        <d v="2022-07-29T15:57:33"/>
        <d v="2022-07-29T15:57:41"/>
        <d v="2022-07-29T15:58:03"/>
        <d v="2022-07-29T15:58:09"/>
        <d v="2022-07-29T15:58:16"/>
        <d v="2022-07-29T15:59:15"/>
        <d v="2022-07-29T15:59:46"/>
        <d v="2022-07-29T15:59:52"/>
        <d v="2022-07-29T16:00:05"/>
        <d v="2022-07-29T16:00:35"/>
        <d v="2022-07-29T16:01:06"/>
        <d v="2022-07-29T16:01:37"/>
        <d v="2022-07-29T16:02:00"/>
        <d v="2022-07-29T16:02:03"/>
        <d v="2022-07-29T16:02:16"/>
        <d v="2022-07-29T16:02:43"/>
        <d v="2022-07-29T16:03:14"/>
        <d v="2022-07-29T16:03:53"/>
        <d v="2022-07-29T16:04:18"/>
        <d v="2022-07-29T16:04:46"/>
        <d v="2022-07-29T16:04:52"/>
        <d v="2022-07-29T16:05:24"/>
        <d v="2022-07-29T16:06:11"/>
        <d v="2022-07-29T16:06:42"/>
        <d v="2022-07-29T16:06:48"/>
        <d v="2022-07-29T16:06:50"/>
        <d v="2022-07-29T16:06:52"/>
        <d v="2022-07-29T16:07:37"/>
        <d v="2022-07-29T16:07:46"/>
        <d v="2022-07-29T16:07:59"/>
        <d v="2022-07-29T16:08:26"/>
        <d v="2022-07-29T16:08:27"/>
        <d v="2022-07-29T16:08:47"/>
        <d v="2022-07-29T16:09:02"/>
        <d v="2022-07-29T16:09:05"/>
        <d v="2022-07-29T16:10:11"/>
        <d v="2022-07-29T16:10:16"/>
        <d v="2022-07-29T16:11:22"/>
        <d v="2022-07-29T16:11:40"/>
        <d v="2022-07-29T16:12:28"/>
        <d v="2022-07-29T16:12:30"/>
        <d v="2022-07-29T16:13:35"/>
        <d v="2022-07-29T16:13:44"/>
        <d v="2022-07-29T16:14:32"/>
        <d v="2022-07-29T16:14:41"/>
        <d v="2022-07-29T16:14:52"/>
        <d v="2022-07-29T16:15:27"/>
        <d v="2022-07-29T16:15:29"/>
        <d v="2022-07-29T16:15:39"/>
        <d v="2022-07-29T16:15:49"/>
        <d v="2022-07-29T16:16:05"/>
        <d v="2022-07-29T16:16:21"/>
        <d v="2022-07-29T16:17:00"/>
        <d v="2022-07-29T16:17:36"/>
        <d v="2022-07-29T16:17:37"/>
        <d v="2022-07-29T16:17:42"/>
        <d v="2022-07-29T16:18:31"/>
        <d v="2022-07-29T16:18:36"/>
        <d v="2022-07-29T16:18:44"/>
        <d v="2022-07-29T16:19:17"/>
        <d v="2022-07-29T16:19:37"/>
        <d v="2022-07-29T16:19:44"/>
        <d v="2022-07-29T16:20:21"/>
        <d v="2022-07-29T16:21:06"/>
        <d v="2022-07-29T16:21:36"/>
        <d v="2022-07-29T16:21:38"/>
        <d v="2022-07-29T16:22:56"/>
        <d v="2022-07-29T16:23:22"/>
        <d v="2022-07-29T16:23:41"/>
        <d v="2022-07-29T16:23:50"/>
        <d v="2022-07-29T16:24:08"/>
        <d v="2022-07-29T16:24:18"/>
        <d v="2022-07-29T16:25:12"/>
        <d v="2022-07-29T16:25:35"/>
        <d v="2022-07-29T16:26:30"/>
        <d v="2022-07-29T16:26:32"/>
        <d v="2022-07-29T16:27:36"/>
        <d v="2022-07-29T16:27:37"/>
        <d v="2022-07-29T16:29:14"/>
        <d v="2022-07-29T16:29:15"/>
        <d v="2022-07-29T16:29:32"/>
        <d v="2022-07-29T16:30:38"/>
        <d v="2022-07-29T16:31:14"/>
        <d v="2022-07-29T16:32:03"/>
        <d v="2022-07-29T16:32:04"/>
        <d v="2022-07-29T16:32:13"/>
        <d v="2022-07-29T16:32:39"/>
        <d v="2022-07-29T16:33:52"/>
        <d v="2022-07-29T16:34:17"/>
        <d v="2022-07-29T16:34:22"/>
        <d v="2022-07-29T16:35:07"/>
        <d v="2022-07-29T16:35:08"/>
        <d v="2022-07-29T16:36:12"/>
        <d v="2022-07-29T16:36:33"/>
        <d v="2022-07-29T16:36:44"/>
        <d v="2022-07-29T16:37:00"/>
        <d v="2022-07-29T16:38:06"/>
        <d v="2022-07-29T16:38:41"/>
        <d v="2022-07-29T16:38:55"/>
        <d v="2022-07-29T16:39:37"/>
        <d v="2022-07-29T16:41:12"/>
        <d v="2022-07-29T16:41:43"/>
        <d v="2022-07-29T16:41:54"/>
        <d v="2022-07-29T16:42:03"/>
        <d v="2022-07-29T16:42:51"/>
        <d v="2022-07-29T16:43:40"/>
        <d v="2022-07-29T16:44:12"/>
        <d v="2022-07-29T16:44:32"/>
        <d v="2022-07-29T16:44:53"/>
        <d v="2022-07-29T16:44:55"/>
        <d v="2022-07-29T16:45:15"/>
        <d v="2022-07-29T16:45:16"/>
        <d v="2022-07-29T16:45:49"/>
        <d v="2022-07-29T16:46:28"/>
        <d v="2022-07-29T16:46:46"/>
        <d v="2022-07-29T16:46:49"/>
        <d v="2022-07-29T16:46:52"/>
        <d v="2022-07-29T16:47:22"/>
        <d v="2022-07-29T16:47:28"/>
        <d v="2022-07-29T16:47:35"/>
        <d v="2022-07-29T16:47:52"/>
        <d v="2022-07-29T16:48:12"/>
        <d v="2022-07-29T16:48:30"/>
        <d v="2022-07-29T16:48:37"/>
        <d v="2022-07-29T16:49:02"/>
        <d v="2022-07-29T16:49:41"/>
        <d v="2022-07-29T16:49:58"/>
        <d v="2022-07-29T16:50:16"/>
        <d v="2022-07-29T16:50:23"/>
        <d v="2022-07-29T16:51:13"/>
        <d v="2022-07-29T16:52:09"/>
        <d v="2022-07-29T16:53:09"/>
        <d v="2022-07-29T16:53:27"/>
        <d v="2022-07-29T16:53:32"/>
        <d v="2022-07-29T16:53:54"/>
        <d v="2022-07-29T16:55:21"/>
        <d v="2022-07-29T16:56:25"/>
        <d v="2022-07-29T16:59:05"/>
        <d v="2022-07-29T16:59:27"/>
        <d v="2022-07-29T16:59:34"/>
        <d v="2022-07-29T17:00:19"/>
        <d v="2022-07-29T17:00:25"/>
        <d v="2022-07-29T17:00:53"/>
        <d v="2022-07-29T17:00:59"/>
        <d v="2022-07-29T17:01:20"/>
        <d v="2022-07-29T17:02:05"/>
        <d v="2022-07-29T17:02:07"/>
        <d v="2022-07-29T17:02:18"/>
        <d v="2022-07-29T17:03:37"/>
        <d v="2022-07-29T17:03:38"/>
        <d v="2022-07-29T17:03:55"/>
        <d v="2022-07-29T17:04:07"/>
        <d v="2022-07-29T17:04:11"/>
        <d v="2022-07-29T17:05:07"/>
        <d v="2022-07-29T17:05:17"/>
        <d v="2022-07-29T17:05:21"/>
        <d v="2022-07-29T17:05:30"/>
        <d v="2022-07-29T17:05:55"/>
        <d v="2022-07-29T17:07:52"/>
        <d v="2022-07-29T17:08:01"/>
        <d v="2022-07-29T17:08:12"/>
        <d v="2022-07-29T17:08:38"/>
        <d v="2022-07-29T17:08:48"/>
        <d v="2022-07-29T17:08:51"/>
        <d v="2022-07-29T17:09:02"/>
        <d v="2022-07-29T17:09:15"/>
        <d v="2022-07-29T17:09:22"/>
        <d v="2022-07-29T17:10:08"/>
        <d v="2022-07-29T17:10:12"/>
        <d v="2022-07-29T17:10:49"/>
        <d v="2022-07-29T17:10:57"/>
        <d v="2022-07-29T17:11:27"/>
        <d v="2022-07-29T17:11:34"/>
        <d v="2022-07-29T17:11:57"/>
        <d v="2022-07-29T17:12:01"/>
        <d v="2022-07-29T17:13:22"/>
        <d v="2022-07-29T17:14:21"/>
        <d v="2022-07-29T17:14:35"/>
        <d v="2022-07-29T17:14:51"/>
        <d v="2022-07-29T17:15:07"/>
        <d v="2022-07-29T17:15:13"/>
        <d v="2022-07-29T17:15:17"/>
        <d v="2022-07-29T17:15:26"/>
        <d v="2022-07-29T17:15:33"/>
        <d v="2022-07-29T17:16:03"/>
        <d v="2022-07-29T17:16:07"/>
        <d v="2022-07-29T17:16:11"/>
        <d v="2022-07-29T17:16:46"/>
        <d v="2022-07-29T17:17:07"/>
        <d v="2022-07-29T17:17:27"/>
        <d v="2022-07-29T17:18:16"/>
        <d v="2022-07-29T17:18:55"/>
        <d v="2022-07-29T17:19:42"/>
        <d v="2022-07-29T17:20:41"/>
        <d v="2022-07-29T17:21:02"/>
        <d v="2022-07-29T17:21:03"/>
        <d v="2022-07-29T17:21:10"/>
        <d v="2022-07-29T17:21:17"/>
        <d v="2022-07-29T17:21:35"/>
        <d v="2022-07-29T17:21:52"/>
        <d v="2022-07-29T17:21:56"/>
        <d v="2022-07-29T17:21:57"/>
        <d v="2022-07-29T17:21:58"/>
        <d v="2022-07-29T17:22:11"/>
        <d v="2022-07-29T17:22:45"/>
        <d v="2022-07-29T17:23:49"/>
        <d v="2022-07-29T17:23:54"/>
        <d v="2022-07-29T17:24:42"/>
        <d v="2022-07-29T17:24:50"/>
        <d v="2022-07-29T17:25:01"/>
        <d v="2022-07-29T17:25:08"/>
        <d v="2022-07-29T17:25:58"/>
        <d v="2022-07-29T17:26:08"/>
        <d v="2022-07-29T17:26:22"/>
        <d v="2022-07-29T17:26:34"/>
        <d v="2022-07-29T17:26:49"/>
        <d v="2022-07-29T17:27:03"/>
        <d v="2022-07-29T17:27:05"/>
        <d v="2022-07-29T17:27:06"/>
        <d v="2022-07-29T17:27:40"/>
        <d v="2022-07-29T17:27:45"/>
        <d v="2022-07-29T17:27:53"/>
        <d v="2022-07-29T17:28:36"/>
        <d v="2022-07-29T17:29:52"/>
        <d v="2022-07-29T17:30:02"/>
        <d v="2022-07-29T17:30:17"/>
        <d v="2022-07-29T17:30:24"/>
        <d v="2022-07-29T17:30:40"/>
        <d v="2022-07-29T17:31:11"/>
        <d v="2022-07-29T17:31:21"/>
        <d v="2022-07-29T17:31:47"/>
        <d v="2022-07-29T17:31:53"/>
        <d v="2022-07-29T17:31:58"/>
        <d v="2022-07-29T17:32:03"/>
        <d v="2022-07-29T17:32:07"/>
        <d v="2022-07-29T17:32:17"/>
        <d v="2022-07-29T17:32:18"/>
        <d v="2022-07-29T17:33:03"/>
        <d v="2022-07-29T17:34:09"/>
        <d v="2022-07-29T17:34:27"/>
        <d v="2022-07-29T17:34:54"/>
        <d v="2022-07-29T17:35:14"/>
        <d v="2022-07-29T17:35:17"/>
        <d v="2022-07-29T17:35:25"/>
        <d v="2022-07-29T17:35:42"/>
        <d v="2022-07-29T17:35:55"/>
        <d v="2022-07-29T17:36:47"/>
        <d v="2022-07-29T17:36:48"/>
        <d v="2022-07-29T17:36:57"/>
        <d v="2022-07-29T17:37:32"/>
        <d v="2022-07-29T17:38:10"/>
        <d v="2022-07-29T17:38:43"/>
        <d v="2022-07-29T17:38:49"/>
        <d v="2022-07-29T17:39:09"/>
        <d v="2022-07-29T17:39:10"/>
        <d v="2022-07-29T17:39:12"/>
        <d v="2022-07-29T17:39:21"/>
        <d v="2022-07-29T17:39:27"/>
        <d v="2022-07-29T17:39:47"/>
        <d v="2022-07-29T17:40:05"/>
        <d v="2022-07-29T17:40:21"/>
        <d v="2022-07-29T17:40:37"/>
        <d v="2022-07-29T17:40:40"/>
        <d v="2022-07-29T17:41:53"/>
        <d v="2022-07-29T17:42:55"/>
        <d v="2022-07-29T17:43:01"/>
        <d v="2022-07-29T17:43:23"/>
        <d v="2022-07-29T17:43:27"/>
        <d v="2022-07-29T17:44:48"/>
        <d v="2022-07-29T17:44:49"/>
        <d v="2022-07-29T17:45:46"/>
        <d v="2022-07-29T17:46:12"/>
        <d v="2022-07-29T17:46:37"/>
        <d v="2022-07-29T17:47:28"/>
        <d v="2022-07-29T17:47:32"/>
        <d v="2022-07-29T17:47:56"/>
        <d v="2022-07-29T17:47:57"/>
        <d v="2022-07-29T17:48:07"/>
        <d v="2022-07-29T17:49:01"/>
        <d v="2022-07-29T17:50:27"/>
        <d v="2022-07-29T17:50:48"/>
        <d v="2022-07-29T17:50:51"/>
        <d v="2022-07-29T17:50:52"/>
        <d v="2022-07-29T17:51:31"/>
        <d v="2022-07-29T17:51:33"/>
        <d v="2022-07-29T17:52:00"/>
        <d v="2022-07-29T17:52:07"/>
        <d v="2022-07-29T17:53:28"/>
        <d v="2022-07-29T17:53:32"/>
        <d v="2022-07-29T17:53:44"/>
        <d v="2022-07-29T17:54:45"/>
        <d v="2022-07-29T17:55:23"/>
        <d v="2022-07-29T17:55:40"/>
        <d v="2022-07-29T17:55:57"/>
        <d v="2022-07-29T17:56:02"/>
        <d v="2022-07-29T17:56:03"/>
        <d v="2022-07-29T17:56:22"/>
        <d v="2022-07-29T17:56:33"/>
        <d v="2022-07-29T17:57:00"/>
        <d v="2022-07-29T17:57:28"/>
        <d v="2022-07-29T17:57:32"/>
        <d v="2022-07-29T17:57:48"/>
        <d v="2022-07-29T17:58:28"/>
        <d v="2022-07-29T17:58:52"/>
        <d v="2022-07-29T17:59:02"/>
        <d v="2022-07-29T17:59:24"/>
        <d v="2022-07-29T17:59:30"/>
        <d v="2022-07-29T17:59:34"/>
        <d v="2022-07-29T17:59:35"/>
        <d v="2022-07-29T17:59:42"/>
        <d v="2022-07-29T17:59:51"/>
        <d v="2022-07-29T18:00:31"/>
        <d v="2022-07-29T18:00:39"/>
        <d v="2022-07-29T18:01:35"/>
        <d v="2022-07-29T18:01:39"/>
        <d v="2022-07-29T18:01:40"/>
        <d v="2022-07-29T18:01:42"/>
        <d v="2022-07-29T18:01:58"/>
        <d v="2022-07-29T18:02:26"/>
        <d v="2022-07-29T18:03:08"/>
        <d v="2022-07-29T18:03:25"/>
        <d v="2022-07-29T18:03:42"/>
        <d v="2022-07-29T18:03:49"/>
        <d v="2022-07-29T18:03:53"/>
        <d v="2022-07-29T18:04:06"/>
        <d v="2022-07-29T18:04:16"/>
        <d v="2022-07-29T18:04:33"/>
        <d v="2022-07-29T18:04:45"/>
        <d v="2022-07-29T18:05:14"/>
        <d v="2022-07-29T18:05:27"/>
        <d v="2022-07-29T18:06:12"/>
        <d v="2022-07-29T18:06:22"/>
        <d v="2022-07-29T18:06:26"/>
        <d v="2022-07-29T18:06:51"/>
        <d v="2022-07-29T18:07:01"/>
        <d v="2022-07-29T18:07:20"/>
        <d v="2022-07-29T18:07:27"/>
        <d v="2022-07-29T18:07:54"/>
        <d v="2022-07-29T18:08:36"/>
        <d v="2022-07-29T18:09:18"/>
        <d v="2022-07-29T18:09:22"/>
        <d v="2022-07-29T18:09:42"/>
        <d v="2022-07-29T18:09:45"/>
        <d v="2022-07-29T18:10:03"/>
        <d v="2022-07-29T18:10:23"/>
        <d v="2022-07-29T18:11:02"/>
        <d v="2022-07-29T18:11:17"/>
        <d v="2022-07-29T18:11:25"/>
        <d v="2022-07-29T18:11:59"/>
        <d v="2022-07-29T18:12:09"/>
        <d v="2022-07-29T18:12:12"/>
        <d v="2022-07-29T18:13:06"/>
        <d v="2022-07-29T18:13:12"/>
        <d v="2022-07-29T18:13:17"/>
        <d v="2022-07-29T18:13:20"/>
        <d v="2022-07-29T18:16:36"/>
        <d v="2022-07-29T18:17:12"/>
        <d v="2022-07-29T18:17:14"/>
        <d v="2022-07-29T18:17:27"/>
        <d v="2022-07-29T18:18:08"/>
        <d v="2022-07-29T18:18:42"/>
        <d v="2022-07-29T18:18:46"/>
        <d v="2022-07-29T18:19:00"/>
        <d v="2022-07-29T18:19:26"/>
        <d v="2022-07-29T18:19:31"/>
        <d v="2022-07-29T18:19:42"/>
        <d v="2022-07-29T18:20:03"/>
        <d v="2022-07-29T18:20:18"/>
        <d v="2022-07-29T18:20:37"/>
        <d v="2022-07-29T18:21:03"/>
        <d v="2022-07-29T18:22:03"/>
        <d v="2022-07-29T18:22:24"/>
        <d v="2022-07-29T18:23:12"/>
        <d v="2022-07-29T18:23:47"/>
        <d v="2022-07-29T18:27:07"/>
        <d v="2022-07-29T18:27:29"/>
        <d v="2022-07-29T18:27:43"/>
        <d v="2022-07-29T18:27:59"/>
        <d v="2022-07-29T18:28:25"/>
        <d v="2022-07-29T18:28:38"/>
        <d v="2022-07-29T18:29:33"/>
        <d v="2022-07-29T18:29:47"/>
        <d v="2022-07-29T18:31:42"/>
        <d v="2022-07-29T18:31:49"/>
        <d v="2022-07-29T18:32:27"/>
        <d v="2022-07-29T18:32:32"/>
        <d v="2022-07-29T18:32:37"/>
        <d v="2022-07-29T18:32:53"/>
        <d v="2022-07-29T18:35:02"/>
        <d v="2022-07-29T18:35:07"/>
        <d v="2022-07-29T18:35:10"/>
        <d v="2022-07-29T18:35:21"/>
        <d v="2022-07-29T18:35:30"/>
        <d v="2022-07-29T18:35:47"/>
        <d v="2022-07-29T18:36:09"/>
        <d v="2022-07-29T18:36:16"/>
        <d v="2022-07-29T18:36:48"/>
        <d v="2022-07-29T18:36:53"/>
        <d v="2022-07-29T18:36:56"/>
        <d v="2022-07-29T18:37:39"/>
        <d v="2022-07-29T18:38:07"/>
        <d v="2022-07-29T18:38:37"/>
        <d v="2022-07-29T18:38:38"/>
        <d v="2022-07-29T18:39:07"/>
        <d v="2022-07-29T18:39:31"/>
        <d v="2022-07-29T18:39:56"/>
        <d v="2022-07-29T18:40:00"/>
        <d v="2022-07-29T18:40:13"/>
        <d v="2022-07-29T18:40:32"/>
        <d v="2022-07-29T18:40:53"/>
        <d v="2022-07-29T18:41:17"/>
        <d v="2022-07-29T18:43:57"/>
        <d v="2022-07-29T18:44:51"/>
        <d v="2022-07-29T18:45:53"/>
        <d v="2022-07-29T18:46:13"/>
        <d v="2022-07-29T18:46:30"/>
        <d v="2022-07-29T18:47:11"/>
        <d v="2022-07-29T18:47:18"/>
        <d v="2022-07-29T18:47:27"/>
        <d v="2022-07-29T18:47:32"/>
        <d v="2022-07-29T18:47:50"/>
        <d v="2022-07-29T18:48:12"/>
        <d v="2022-07-29T18:48:35"/>
        <d v="2022-07-29T18:48:44"/>
        <d v="2022-07-29T18:48:49"/>
        <d v="2022-07-29T18:48:54"/>
        <d v="2022-07-29T18:49:06"/>
        <d v="2022-07-29T18:49:07"/>
        <d v="2022-07-29T18:49:08"/>
        <d v="2022-07-29T18:49:19"/>
        <d v="2022-07-29T18:49:26"/>
        <d v="2022-07-29T18:49:31"/>
        <d v="2022-07-29T18:49:32"/>
        <d v="2022-07-29T18:49:33"/>
        <d v="2022-07-29T18:49:38"/>
        <d v="2022-07-29T18:50:51"/>
        <d v="2022-07-29T18:50:53"/>
        <d v="2022-07-29T18:51:12"/>
        <d v="2022-07-29T18:51:30"/>
        <d v="2022-07-29T18:51:42"/>
        <d v="2022-07-29T18:52:05"/>
        <d v="2022-07-29T18:52:37"/>
        <d v="2022-07-29T18:53:16"/>
        <d v="2022-07-29T18:53:35"/>
        <d v="2022-07-29T18:53:54"/>
        <d v="2022-07-29T18:54:26"/>
        <d v="2022-07-29T18:55:15"/>
        <d v="2022-07-29T18:55:16"/>
        <d v="2022-07-29T18:55:52"/>
        <d v="2022-07-29T18:56:00"/>
        <d v="2022-07-29T18:56:33"/>
        <d v="2022-07-29T18:56:34"/>
        <d v="2022-07-29T18:57:12"/>
        <d v="2022-07-29T18:57:57"/>
        <d v="2022-07-29T18:58:01"/>
        <d v="2022-07-29T18:58:55"/>
        <d v="2022-07-29T18:59:08"/>
        <d v="2022-07-29T18:59:22"/>
        <d v="2022-07-29T18:59:27"/>
        <d v="2022-07-29T18:59:34"/>
        <d v="2022-07-29T19:00:29"/>
        <d v="2022-07-29T19:00:53"/>
        <d v="2022-07-29T19:01:05"/>
        <d v="2022-07-29T19:01:24"/>
        <d v="2022-07-29T19:01:28"/>
        <d v="2022-07-29T19:01:37"/>
        <d v="2022-07-29T19:01:41"/>
        <d v="2022-07-29T19:01:53"/>
        <d v="2022-07-29T19:02:11"/>
        <d v="2022-07-29T19:02:32"/>
        <d v="2022-07-29T19:02:33"/>
        <d v="2022-07-29T19:02:35"/>
        <d v="2022-07-29T19:02:37"/>
        <d v="2022-07-29T19:03:18"/>
        <d v="2022-07-29T19:03:42"/>
        <d v="2022-07-29T19:03:55"/>
        <d v="2022-07-29T19:04:14"/>
        <d v="2022-07-29T19:04:19"/>
        <d v="2022-07-29T19:04:25"/>
        <d v="2022-07-29T19:04:39"/>
        <d v="2022-07-29T19:05:07"/>
        <d v="2022-07-29T19:06:16"/>
        <d v="2022-07-29T19:07:05"/>
        <d v="2022-07-29T19:07:10"/>
        <d v="2022-07-29T19:07:30"/>
        <d v="2022-07-29T19:09:42"/>
        <d v="2022-07-29T19:09:57"/>
        <d v="2022-07-29T19:10:05"/>
        <d v="2022-07-29T19:10:06"/>
        <d v="2022-07-29T19:10:08"/>
        <d v="2022-07-29T19:10:14"/>
        <d v="2022-07-29T19:10:58"/>
        <d v="2022-07-29T19:11:03"/>
        <d v="2022-07-29T19:11:14"/>
        <d v="2022-07-29T19:11:24"/>
        <d v="2022-07-29T19:11:45"/>
        <d v="2022-07-29T19:11:47"/>
        <d v="2022-07-29T19:12:09"/>
        <d v="2022-07-29T19:12:41"/>
        <d v="2022-07-29T19:13:22"/>
        <d v="2022-07-29T19:13:27"/>
        <d v="2022-07-29T19:14:44"/>
        <d v="2022-07-29T19:15:24"/>
        <d v="2022-07-29T19:16:12"/>
        <d v="2022-07-29T19:18:00"/>
        <d v="2022-07-29T19:18:28"/>
        <d v="2022-07-29T19:18:57"/>
        <d v="2022-07-29T19:19:50"/>
        <d v="2022-07-29T19:20:41"/>
        <d v="2022-07-29T19:20:49"/>
        <d v="2022-07-29T19:21:35"/>
        <d v="2022-07-29T19:22:01"/>
        <d v="2022-07-29T19:23:22"/>
        <d v="2022-07-29T19:23:34"/>
        <d v="2022-07-29T19:23:41"/>
        <d v="2022-07-29T19:23:44"/>
        <d v="2022-07-29T19:23:47"/>
        <d v="2022-07-29T19:23:55"/>
        <d v="2022-07-29T19:24:04"/>
        <d v="2022-07-29T19:24:22"/>
        <d v="2022-07-29T19:24:46"/>
        <d v="2022-07-29T19:24:54"/>
        <d v="2022-07-29T19:25:22"/>
        <d v="2022-07-29T19:25:25"/>
        <d v="2022-07-29T19:25:37"/>
        <d v="2022-07-29T19:25:39"/>
        <d v="2022-07-29T19:25:47"/>
        <d v="2022-07-29T19:26:22"/>
        <d v="2022-07-29T19:27:03"/>
        <d v="2022-07-29T19:28:07"/>
        <d v="2022-07-29T19:28:45"/>
        <d v="2022-07-29T19:29:26"/>
        <d v="2022-07-29T19:29:52"/>
        <d v="2022-07-29T19:30:09"/>
        <d v="2022-07-29T19:31:09"/>
        <d v="2022-07-29T19:31:18"/>
        <d v="2022-07-29T19:31:49"/>
        <d v="2022-07-29T19:32:09"/>
        <d v="2022-07-29T19:32:17"/>
        <d v="2022-07-29T19:32:24"/>
        <d v="2022-07-29T19:33:04"/>
        <d v="2022-07-29T19:33:31"/>
        <d v="2022-07-29T19:34:06"/>
        <d v="2022-07-29T19:34:16"/>
        <d v="2022-07-29T19:34:21"/>
        <d v="2022-07-29T19:34:26"/>
        <d v="2022-07-29T19:34:54"/>
        <d v="2022-07-29T19:34:59"/>
        <d v="2022-07-29T19:35:12"/>
        <d v="2022-07-29T19:37:44"/>
        <d v="2022-07-29T19:38:09"/>
        <d v="2022-07-29T19:38:23"/>
        <d v="2022-07-29T19:38:58"/>
        <d v="2022-07-29T19:39:39"/>
        <d v="2022-07-29T19:39:47"/>
        <d v="2022-07-29T19:40:42"/>
        <d v="2022-07-29T19:40:48"/>
        <d v="2022-07-29T19:40:53"/>
        <d v="2022-07-29T19:41:41"/>
        <d v="2022-07-29T19:42:57"/>
        <d v="2022-07-29T19:43:15"/>
        <d v="2022-07-29T19:43:31"/>
        <d v="2022-07-29T19:43:37"/>
        <d v="2022-07-29T19:43:39"/>
        <d v="2022-07-29T19:43:59"/>
        <d v="2022-07-29T19:44:19"/>
        <d v="2022-07-29T19:44:47"/>
        <d v="2022-07-29T19:45:13"/>
        <d v="2022-07-29T19:45:39"/>
        <d v="2022-07-29T19:45:42"/>
        <d v="2022-07-29T19:45:50"/>
        <d v="2022-07-29T19:46:07"/>
        <d v="2022-07-29T19:47:04"/>
        <d v="2022-07-29T19:48:07"/>
        <d v="2022-07-29T19:48:27"/>
        <d v="2022-07-29T19:48:54"/>
        <d v="2022-07-29T19:48:55"/>
        <d v="2022-07-29T19:49:02"/>
        <d v="2022-07-29T19:49:39"/>
        <d v="2022-07-29T19:49:59"/>
        <d v="2022-07-29T19:50:37"/>
        <d v="2022-07-29T19:51:21"/>
        <d v="2022-07-29T19:51:35"/>
        <d v="2022-07-29T19:51:55"/>
        <d v="2022-07-29T19:52:02"/>
        <d v="2022-07-29T19:52:03"/>
        <d v="2022-07-29T19:52:27"/>
        <d v="2022-07-29T19:53:33"/>
        <d v="2022-07-29T19:54:13"/>
        <d v="2022-07-29T19:54:16"/>
        <d v="2022-07-29T19:55:03"/>
        <d v="2022-07-29T19:55:51"/>
        <d v="2022-07-29T19:56:09"/>
        <d v="2022-07-29T19:56:12"/>
        <d v="2022-07-29T19:56:30"/>
        <d v="2022-07-29T19:56:44"/>
        <d v="2022-07-29T19:57:00"/>
        <d v="2022-07-29T19:57:33"/>
        <d v="2022-07-29T19:57:47"/>
        <d v="2022-07-29T19:58:05"/>
        <d v="2022-07-29T19:58:12"/>
        <d v="2022-07-29T19:59:30"/>
        <d v="2022-07-29T20:00:21"/>
        <d v="2022-07-29T20:01:03"/>
        <d v="2022-07-29T20:01:19"/>
        <d v="2022-07-29T20:01:54"/>
        <d v="2022-07-29T20:02:06"/>
        <d v="2022-07-29T20:02:07"/>
        <d v="2022-07-29T20:02:18"/>
        <d v="2022-07-29T20:02:24"/>
        <d v="2022-07-29T20:02:50"/>
        <d v="2022-07-29T20:04:38"/>
        <d v="2022-07-29T20:04:44"/>
        <d v="2022-07-29T20:05:07"/>
        <d v="2022-07-29T20:05:22"/>
        <d v="2022-07-29T20:05:52"/>
        <d v="2022-07-29T20:06:00"/>
        <d v="2022-07-29T20:06:03"/>
        <d v="2022-07-29T20:06:37"/>
        <d v="2022-07-29T20:06:43"/>
        <d v="2022-07-29T20:07:17"/>
        <d v="2022-07-29T20:08:18"/>
        <d v="2022-07-29T20:08:25"/>
        <d v="2022-07-29T20:08:42"/>
        <d v="2022-07-29T20:08:52"/>
        <d v="2022-07-29T20:08:53"/>
        <d v="2022-07-29T20:09:03"/>
        <d v="2022-07-29T20:09:34"/>
        <d v="2022-07-29T20:09:38"/>
        <d v="2022-07-29T20:09:57"/>
        <d v="2022-07-29T20:10:22"/>
        <d v="2022-07-29T20:11:18"/>
        <d v="2022-07-29T20:11:28"/>
        <d v="2022-07-29T20:12:03"/>
        <d v="2022-07-29T20:12:07"/>
        <d v="2022-07-29T20:12:14"/>
        <d v="2022-07-29T20:12:48"/>
        <d v="2022-07-29T20:12:49"/>
        <d v="2022-07-29T20:13:07"/>
        <d v="2022-07-29T20:13:52"/>
        <d v="2022-07-29T20:13:53"/>
        <d v="2022-07-29T20:14:17"/>
        <d v="2022-07-29T20:14:37"/>
        <d v="2022-07-29T20:14:42"/>
        <d v="2022-07-29T20:15:47"/>
        <d v="2022-07-29T20:15:53"/>
        <d v="2022-07-29T20:16:49"/>
        <d v="2022-07-29T20:17:12"/>
        <d v="2022-07-29T20:17:37"/>
        <d v="2022-07-29T20:18:20"/>
        <d v="2022-07-29T20:18:50"/>
        <d v="2022-07-29T20:18:54"/>
        <d v="2022-07-29T20:19:21"/>
        <d v="2022-07-29T20:19:27"/>
        <d v="2022-07-29T20:19:37"/>
        <d v="2022-07-29T20:20:05"/>
        <d v="2022-07-29T20:20:34"/>
        <d v="2022-07-29T20:20:35"/>
        <d v="2022-07-29T20:21:07"/>
        <d v="2022-07-29T20:21:40"/>
        <d v="2022-07-29T20:22:42"/>
        <d v="2022-07-29T20:23:15"/>
        <d v="2022-07-29T20:24:26"/>
        <d v="2022-07-29T20:24:47"/>
        <d v="2022-07-29T20:24:56"/>
        <d v="2022-07-29T20:25:03"/>
        <d v="2022-07-29T20:25:05"/>
        <d v="2022-07-29T20:25:15"/>
        <d v="2022-07-29T20:25:31"/>
        <d v="2022-07-29T20:25:52"/>
        <d v="2022-07-29T20:26:54"/>
        <d v="2022-07-29T20:26:56"/>
        <d v="2022-07-29T20:26:57"/>
        <d v="2022-07-29T20:27:00"/>
        <d v="2022-07-29T20:27:03"/>
        <d v="2022-07-29T20:27:12"/>
        <d v="2022-07-29T20:27:54"/>
        <d v="2022-07-29T20:28:08"/>
        <d v="2022-07-29T20:28:48"/>
        <d v="2022-07-29T20:28:56"/>
        <d v="2022-07-29T20:29:39"/>
        <d v="2022-07-29T20:30:07"/>
        <d v="2022-07-29T20:30:26"/>
        <d v="2022-07-29T20:30:32"/>
        <d v="2022-07-29T20:31:16"/>
        <d v="2022-07-29T20:31:30"/>
        <d v="2022-07-29T20:31:35"/>
        <d v="2022-07-29T20:31:38"/>
        <d v="2022-07-29T20:31:57"/>
        <d v="2022-07-29T20:33:49"/>
        <d v="2022-07-29T20:33:53"/>
        <d v="2022-07-29T20:34:03"/>
        <d v="2022-07-29T20:34:34"/>
        <d v="2022-07-29T20:34:37"/>
        <d v="2022-07-29T20:35:06"/>
        <d v="2022-07-29T20:35:16"/>
        <d v="2022-07-29T20:36:00"/>
        <d v="2022-07-29T20:36:06"/>
        <d v="2022-07-29T20:36:29"/>
        <d v="2022-07-29T20:37:24"/>
        <d v="2022-07-29T20:37:42"/>
        <d v="2022-07-29T20:38:31"/>
        <d v="2022-07-29T20:38:49"/>
        <d v="2022-07-29T20:38:51"/>
        <d v="2022-07-29T20:38:57"/>
        <d v="2022-07-29T20:39:03"/>
        <d v="2022-07-29T20:39:08"/>
        <d v="2022-07-29T20:39:46"/>
        <d v="2022-07-29T20:40:12"/>
        <d v="2022-07-29T20:40:17"/>
        <d v="2022-07-29T20:40:18"/>
        <d v="2022-07-29T20:40:19"/>
        <d v="2022-07-29T20:40:44"/>
        <d v="2022-07-29T20:41:14"/>
        <d v="2022-07-29T20:41:27"/>
        <d v="2022-07-29T20:41:47"/>
        <d v="2022-07-29T20:42:18"/>
        <d v="2022-07-29T20:42:28"/>
        <d v="2022-07-29T20:43:27"/>
        <d v="2022-07-29T20:43:40"/>
        <d v="2022-07-29T20:44:47"/>
        <d v="2022-07-29T20:45:01"/>
        <d v="2022-07-29T20:45:23"/>
        <d v="2022-07-29T20:45:25"/>
        <d v="2022-07-29T20:45:56"/>
        <d v="2022-07-29T20:46:05"/>
        <d v="2022-07-29T20:46:47"/>
        <d v="2022-07-29T20:46:54"/>
        <d v="2022-07-29T20:47:06"/>
        <d v="2022-07-29T20:47:58"/>
        <d v="2022-07-29T20:49:36"/>
        <d v="2022-07-29T20:49:39"/>
        <d v="2022-07-29T20:50:32"/>
        <d v="2022-07-29T20:50:36"/>
        <d v="2022-07-29T20:50:58"/>
        <d v="2022-07-29T20:50:59"/>
        <d v="2022-07-29T20:51:39"/>
        <d v="2022-07-29T20:52:09"/>
        <d v="2022-07-29T20:52:12"/>
        <d v="2022-07-29T20:53:27"/>
        <d v="2022-07-29T20:53:42"/>
        <d v="2022-07-29T20:53:43"/>
        <d v="2022-07-29T20:53:51"/>
        <d v="2022-07-29T20:54:45"/>
        <d v="2022-07-29T20:55:13"/>
        <d v="2022-07-29T20:55:15"/>
        <d v="2022-07-29T20:55:16"/>
        <d v="2022-07-29T20:55:18"/>
        <d v="2022-07-29T20:55:45"/>
        <d v="2022-07-29T20:55:54"/>
        <d v="2022-07-29T20:56:00"/>
        <d v="2022-07-29T20:56:08"/>
        <d v="2022-07-29T20:56:22"/>
        <d v="2022-07-29T20:57:16"/>
        <d v="2022-07-29T20:58:17"/>
        <d v="2022-07-29T20:58:22"/>
        <d v="2022-07-29T20:58:51"/>
        <d v="2022-07-29T20:59:01"/>
        <d v="2022-07-29T20:59:17"/>
        <d v="2022-07-29T20:59:33"/>
        <d v="2022-07-29T20:59:54"/>
        <d v="2022-07-29T20:59:58"/>
        <d v="2022-07-29T20:59:59"/>
        <d v="2022-07-29T21:00:07"/>
        <d v="2022-07-29T21:00:21"/>
        <d v="2022-07-29T21:00:37"/>
        <d v="2022-07-29T21:00:43"/>
        <d v="2022-07-29T21:01:08"/>
        <d v="2022-07-29T21:01:23"/>
        <d v="2022-07-29T21:01:28"/>
        <d v="2022-07-29T21:01:57"/>
        <d v="2022-07-29T21:02:02"/>
        <d v="2022-07-29T21:02:09"/>
        <d v="2022-07-29T21:02:21"/>
        <d v="2022-07-29T21:02:22"/>
        <d v="2022-07-29T21:02:57"/>
        <d v="2022-07-29T21:04:37"/>
        <d v="2022-07-29T21:06:25"/>
        <d v="2022-07-29T21:06:39"/>
        <d v="2022-07-29T21:06:46"/>
        <d v="2022-07-29T21:06:48"/>
        <d v="2022-07-29T21:07:49"/>
        <d v="2022-07-29T21:08:03"/>
        <d v="2022-07-29T21:08:05"/>
        <d v="2022-07-29T21:08:38"/>
        <d v="2022-07-29T21:08:45"/>
        <d v="2022-07-29T21:08:58"/>
        <d v="2022-07-29T21:09:01"/>
        <d v="2022-07-29T21:10:27"/>
        <d v="2022-07-29T21:10:38"/>
        <d v="2022-07-29T21:11:03"/>
        <d v="2022-07-29T21:11:32"/>
        <d v="2022-07-29T21:11:37"/>
        <d v="2022-07-29T21:12:15"/>
        <d v="2022-07-29T21:15:52"/>
        <d v="2022-07-29T21:16:41"/>
        <d v="2022-07-29T21:17:24"/>
        <d v="2022-07-29T21:17:57"/>
        <d v="2022-07-29T21:19:21"/>
        <d v="2022-07-29T21:19:54"/>
        <d v="2022-07-29T21:20:29"/>
        <d v="2022-07-29T21:21:26"/>
        <d v="2022-07-29T21:21:28"/>
        <d v="2022-07-29T21:22:10"/>
        <d v="2022-07-29T21:22:21"/>
        <d v="2022-07-29T21:22:38"/>
        <d v="2022-07-29T21:23:15"/>
        <d v="2022-07-29T21:24:00"/>
        <d v="2022-07-29T21:24:48"/>
        <d v="2022-07-29T21:25:05"/>
        <d v="2022-07-29T21:26:05"/>
        <d v="2022-07-29T21:26:07"/>
        <d v="2022-07-29T21:26:12"/>
        <d v="2022-07-29T21:26:47"/>
        <d v="2022-07-29T21:27:12"/>
        <d v="2022-07-29T21:28:18"/>
        <d v="2022-07-29T21:28:29"/>
        <d v="2022-07-29T21:29:11"/>
        <d v="2022-07-29T21:30:05"/>
        <d v="2022-07-29T21:30:11"/>
        <d v="2022-07-29T21:32:04"/>
        <d v="2022-07-29T21:32:40"/>
        <d v="2022-07-29T21:33:13"/>
        <d v="2022-07-29T21:33:21"/>
        <d v="2022-07-29T21:33:54"/>
        <d v="2022-07-29T21:34:17"/>
        <d v="2022-07-29T21:34:54"/>
        <d v="2022-07-29T21:36:49"/>
        <d v="2022-07-29T21:36:52"/>
        <d v="2022-07-29T21:37:08"/>
        <d v="2022-07-29T21:39:19"/>
        <d v="2022-07-29T21:40:32"/>
        <d v="2022-07-29T21:40:37"/>
        <d v="2022-07-29T21:41:15"/>
        <d v="2022-07-29T21:42:04"/>
        <d v="2022-07-29T21:44:10"/>
        <d v="2022-07-29T21:44:14"/>
        <d v="2022-07-29T21:45:20"/>
        <d v="2022-07-29T21:45:43"/>
        <d v="2022-07-29T21:46:12"/>
        <d v="2022-07-29T21:47:09"/>
        <d v="2022-07-29T21:47:12"/>
        <d v="2022-07-29T21:47:32"/>
        <d v="2022-07-29T21:47:34"/>
        <d v="2022-07-29T21:52:26"/>
        <d v="2022-07-29T21:52:53"/>
        <d v="2022-07-29T21:53:15"/>
        <d v="2022-07-29T21:54:20"/>
        <d v="2022-07-29T21:54:22"/>
        <d v="2022-07-29T21:54:23"/>
        <d v="2022-07-29T21:54:32"/>
        <d v="2022-07-29T21:54:52"/>
        <d v="2022-07-29T21:55:39"/>
        <d v="2022-07-29T21:56:27"/>
        <d v="2022-07-29T21:56:44"/>
        <d v="2022-07-29T21:58:03"/>
        <d v="2022-07-29T21:59:28"/>
        <d v="2022-07-29T22:02:37"/>
        <d v="2022-07-29T22:02:50"/>
        <d v="2022-07-29T22:03:01"/>
        <d v="2022-07-29T22:03:05"/>
        <d v="2022-07-29T22:06:43"/>
        <d v="2022-07-29T22:06:52"/>
        <d v="2022-07-29T22:10:12"/>
        <d v="2022-07-29T22:11:53"/>
        <d v="2022-07-29T22:12:50"/>
        <d v="2022-07-29T22:13:45"/>
        <d v="2022-07-29T22:14:04"/>
        <d v="2022-07-29T22:14:43"/>
        <d v="2022-07-29T22:15:27"/>
        <d v="2022-07-29T22:16:11"/>
        <d v="2022-07-29T22:16:38"/>
        <d v="2022-07-29T22:17:13"/>
        <d v="2022-07-29T22:17:48"/>
        <d v="2022-07-29T22:17:55"/>
        <d v="2022-07-29T22:17:56"/>
        <d v="2022-07-29T22:18:35"/>
        <d v="2022-07-29T22:20:10"/>
        <d v="2022-07-29T22:20:19"/>
        <d v="2022-07-29T22:21:48"/>
        <d v="2022-07-29T22:22:42"/>
        <d v="2022-07-29T22:22:56"/>
        <d v="2022-07-29T22:23:12"/>
        <d v="2022-07-29T22:23:37"/>
        <d v="2022-07-29T22:24:07"/>
        <d v="2022-07-29T22:24:40"/>
        <d v="2022-07-29T22:24:42"/>
        <d v="2022-07-29T22:24:52"/>
        <d v="2022-07-29T22:25:18"/>
        <d v="2022-07-29T22:25:58"/>
        <d v="2022-07-29T22:26:04"/>
        <d v="2022-07-29T22:26:05"/>
        <d v="2022-07-29T22:26:37"/>
        <d v="2022-07-29T22:26:58"/>
        <d v="2022-07-29T22:27:11"/>
        <d v="2022-07-29T22:27:58"/>
        <d v="2022-07-29T22:28:33"/>
        <d v="2022-07-29T22:29:08"/>
        <d v="2022-07-29T22:29:12"/>
        <d v="2022-07-29T22:29:13"/>
        <d v="2022-07-29T22:29:15"/>
        <d v="2022-07-29T22:30:16"/>
        <d v="2022-07-29T22:31:06"/>
        <d v="2022-07-29T22:31:49"/>
        <d v="2022-07-29T22:31:59"/>
        <d v="2022-07-29T22:32:08"/>
        <d v="2022-07-29T22:32:09"/>
        <d v="2022-07-29T22:33:59"/>
        <d v="2022-07-29T22:34:12"/>
        <d v="2022-07-29T22:34:24"/>
        <d v="2022-07-29T22:34:27"/>
        <d v="2022-07-29T22:34:32"/>
        <d v="2022-07-29T22:34:44"/>
        <d v="2022-07-29T22:35:04"/>
        <d v="2022-07-29T22:35:05"/>
        <d v="2022-07-29T22:36:02"/>
        <d v="2022-07-29T22:36:14"/>
        <d v="2022-07-29T22:36:48"/>
        <d v="2022-07-29T22:36:58"/>
        <d v="2022-07-29T22:38:32"/>
        <d v="2022-07-29T22:39:16"/>
        <d v="2022-07-29T22:40:13"/>
        <d v="2022-07-29T22:40:48"/>
        <d v="2022-07-29T22:41:28"/>
        <d v="2022-07-29T22:41:30"/>
        <d v="2022-07-29T22:42:01"/>
        <d v="2022-07-29T22:42:23"/>
        <d v="2022-07-29T22:42:24"/>
        <d v="2022-07-29T22:43:27"/>
        <d v="2022-07-29T22:43:30"/>
        <d v="2022-07-29T22:43:54"/>
        <d v="2022-07-29T22:44:35"/>
        <d v="2022-07-29T22:44:37"/>
        <d v="2022-07-29T22:45:03"/>
        <d v="2022-07-29T22:45:45"/>
        <d v="2022-07-29T22:45:47"/>
        <d v="2022-07-29T22:49:01"/>
        <d v="2022-07-29T22:49:52"/>
        <d v="2022-07-29T22:50:47"/>
        <d v="2022-07-29T22:51:21"/>
        <d v="2022-07-29T22:51:55"/>
        <d v="2022-07-29T22:51:57"/>
        <d v="2022-07-29T22:52:22"/>
        <d v="2022-07-29T22:53:10"/>
        <d v="2022-07-29T22:55:03"/>
        <d v="2022-07-29T22:55:07"/>
        <d v="2022-07-29T22:55:33"/>
        <d v="2022-07-29T22:56:12"/>
        <d v="2022-07-29T22:56:52"/>
        <d v="2022-07-29T22:57:08"/>
        <d v="2022-07-29T22:58:06"/>
        <d v="2022-07-29T23:00:46"/>
        <d v="2022-07-29T23:01:13"/>
        <d v="2022-07-29T23:01:42"/>
        <d v="2022-07-29T23:01:47"/>
        <d v="2022-07-29T23:02:22"/>
        <d v="2022-07-29T23:03:35"/>
        <d v="2022-07-29T23:04:22"/>
        <d v="2022-07-29T23:04:50"/>
        <d v="2022-07-29T23:07:07"/>
        <d v="2022-07-29T23:07:11"/>
        <d v="2022-07-29T23:08:20"/>
        <d v="2022-07-29T23:10:40"/>
        <d v="2022-07-29T23:11:17"/>
        <d v="2022-07-29T23:11:48"/>
        <d v="2022-07-29T23:12:59"/>
        <d v="2022-07-29T23:13:22"/>
        <d v="2022-07-29T23:14:57"/>
        <d v="2022-07-29T23:15:05"/>
        <d v="2022-07-29T23:15:14"/>
        <d v="2022-07-29T23:15:22"/>
        <d v="2022-07-29T23:16:37"/>
        <d v="2022-07-29T23:16:39"/>
        <d v="2022-07-29T23:17:11"/>
        <d v="2022-07-29T23:17:35"/>
        <d v="2022-07-29T23:17:37"/>
        <d v="2022-07-29T23:17:38"/>
        <d v="2022-07-29T23:18:22"/>
        <d v="2022-07-29T23:18:24"/>
        <d v="2022-07-29T23:18:45"/>
        <d v="2022-07-29T23:18:56"/>
        <d v="2022-07-29T23:19:05"/>
        <d v="2022-07-29T23:19:49"/>
        <d v="2022-07-29T23:20:01"/>
        <d v="2022-07-29T23:20:03"/>
        <d v="2022-07-29T23:21:03"/>
        <d v="2022-07-29T23:21:12"/>
        <d v="2022-07-29T23:22:03"/>
        <d v="2022-07-29T23:22:37"/>
        <d v="2022-07-29T23:23:57"/>
        <d v="2022-07-29T23:23:58"/>
        <d v="2022-07-29T23:25:46"/>
        <d v="2022-07-29T23:26:02"/>
        <d v="2022-07-29T23:26:45"/>
        <d v="2022-07-29T23:26:52"/>
        <d v="2022-07-29T23:27:00"/>
        <d v="2022-07-29T23:28:03"/>
        <d v="2022-07-29T23:28:07"/>
        <d v="2022-07-29T23:28:25"/>
        <d v="2022-07-29T23:28:47"/>
        <d v="2022-07-29T23:28:58"/>
        <d v="2022-07-29T23:29:34"/>
        <d v="2022-07-29T23:30:16"/>
        <d v="2022-07-29T23:30:17"/>
        <d v="2022-07-29T23:30:30"/>
        <d v="2022-07-29T23:30:37"/>
        <d v="2022-07-29T23:32:35"/>
        <d v="2022-07-29T23:33:18"/>
        <d v="2022-07-29T23:33:23"/>
        <d v="2022-07-29T23:33:32"/>
        <d v="2022-07-29T23:33:49"/>
        <d v="2022-07-29T23:33:57"/>
        <d v="2022-07-29T23:34:08"/>
        <d v="2022-07-29T23:35:01"/>
        <d v="2022-07-29T23:35:22"/>
        <d v="2022-07-29T23:36:16"/>
        <d v="2022-07-29T23:36:31"/>
        <d v="2022-07-29T23:36:36"/>
        <d v="2022-07-29T23:37:15"/>
        <d v="2022-07-29T23:37:17"/>
        <d v="2022-07-29T23:38:07"/>
        <d v="2022-07-29T23:38:16"/>
        <d v="2022-07-29T23:38:50"/>
        <d v="2022-07-29T23:40:08"/>
        <d v="2022-07-29T23:41:04"/>
        <d v="2022-07-29T23:41:24"/>
        <d v="2022-07-29T23:41:51"/>
        <d v="2022-07-29T23:43:08"/>
        <d v="2022-07-29T23:44:08"/>
        <d v="2022-07-29T23:44:30"/>
        <d v="2022-07-29T23:44:46"/>
        <d v="2022-07-29T23:46:16"/>
        <d v="2022-07-29T23:46:21"/>
        <d v="2022-07-29T23:46:39"/>
        <d v="2022-07-29T23:46:59"/>
        <d v="2022-07-29T23:48:21"/>
        <d v="2022-07-29T23:48:52"/>
        <d v="2022-07-29T23:49:39"/>
        <d v="2022-07-29T23:50:31"/>
        <d v="2022-07-29T23:53:44"/>
        <d v="2022-07-29T23:54:42"/>
        <d v="2022-07-29T23:55:12"/>
        <d v="2022-07-29T23:56:32"/>
        <d v="2022-07-29T23:56:33"/>
        <d v="2022-07-29T23:58:06"/>
        <d v="2022-07-29T23:58:11"/>
        <d v="2022-07-29T23:58:12"/>
        <d v="2022-07-29T23:59:47"/>
        <d v="2022-07-29T23:59:52"/>
        <d v="2022-07-29T23:59:59"/>
        <d v="2022-07-29T02:02:13"/>
        <d v="2022-07-29T06:23:58"/>
        <d v="2022-07-29T04:22:52"/>
        <d v="2022-07-29T05:00:11"/>
        <d v="2022-07-29T07:12:55"/>
        <d v="2022-07-29T07:15:47"/>
        <d v="2022-07-29T09:10:15"/>
        <d v="2022-07-29T09:41:36"/>
        <d v="2022-07-29T10:23:48"/>
        <d v="2022-07-29T10:35:02"/>
        <d v="2022-07-29T10:42:37"/>
        <d v="2022-07-29T10:49:32"/>
        <d v="2022-07-29T10:50:08"/>
        <d v="2022-07-29T13:11:51"/>
        <d v="2022-07-29T14:53:33"/>
        <d v="2022-07-29T16:19:34"/>
        <d v="2022-07-29T16:41:50"/>
        <d v="2022-07-29T19:25:08"/>
        <d v="2022-07-29T19:45:12"/>
        <d v="2022-07-29T20:12:09"/>
        <d v="2022-07-29T20:50:13"/>
        <d v="2022-07-29T21:30:10"/>
        <d v="2022-07-29T23:57:56"/>
      </sharedItems>
      <fieldGroup par="17" base="2">
        <rangePr groupBy="seconds" startDate="2022-07-29T00:00:09" endDate="2022-07-29T23:59:59"/>
        <groupItems count="62">
          <s v="&lt;29-07-2022"/>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29-07-2022"/>
        </groupItems>
      </fieldGroup>
    </cacheField>
    <cacheField name="IFPLID" numFmtId="0">
      <sharedItems containsBlank="1"/>
    </cacheField>
    <cacheField name="Aircraft_Type" numFmtId="0">
      <sharedItems containsBlank="1"/>
    </cacheField>
    <cacheField name="Apron_ID" numFmtId="0">
      <sharedItems containsBlank="1" count="10">
        <s v="Concourse D"/>
        <s v="Apron Echo"/>
        <s v="Concourse C"/>
        <s v="Concourse B"/>
        <s v="Concourse A"/>
        <s v="Apron Charlie"/>
        <s v="Apron Golf"/>
        <s v="Apron Sierra"/>
        <s v="Apron Quebec"/>
        <m/>
      </sharedItems>
    </cacheField>
    <cacheField name="Stand_ID" numFmtId="0">
      <sharedItems containsBlank="1" count="208">
        <s v="C57"/>
        <s v="E4"/>
        <s v="E29"/>
        <s v="C53"/>
        <s v="B6"/>
        <s v="B23"/>
        <s v="E7R"/>
        <s v="B2"/>
        <s v="B10"/>
        <s v="C54"/>
        <s v="B1"/>
        <s v="E12R"/>
        <s v="C50"/>
        <s v="D4"/>
        <s v="C62"/>
        <s v="E16"/>
        <s v="C28"/>
        <s v="C49"/>
        <s v="C44"/>
        <s v="B24"/>
        <s v="D8"/>
        <s v="F8"/>
        <s v="C63"/>
        <s v="C43"/>
        <s v="G12"/>
        <s v="D2"/>
        <s v="B14"/>
        <s v="F10"/>
        <s v="E22"/>
        <s v="C51"/>
        <s v="F19"/>
        <s v="E33"/>
        <s v="C27"/>
        <s v="C42"/>
        <s v="E3"/>
        <s v="E11R"/>
        <s v="F2"/>
        <s v="B27"/>
        <s v="S12"/>
        <s v="S13"/>
        <s v="C61"/>
        <s v="A2"/>
        <s v="B16"/>
        <s v="E10R"/>
        <s v="B15"/>
        <s v="F21"/>
        <s v="F22"/>
        <s v="G13"/>
        <s v="C38"/>
        <s v="A5"/>
        <s v="C58"/>
        <s v="F18"/>
        <s v="E9L"/>
        <s v="F7"/>
        <s v="B12"/>
        <s v="D6"/>
        <s v="B3"/>
        <s v="C48"/>
        <s v="F3"/>
        <s v="B22"/>
        <s v="G1"/>
        <s v="C59"/>
        <s v="C26"/>
        <s v="C55"/>
        <s v="D10"/>
        <s v="A6"/>
        <s v="A9"/>
        <s v="S10"/>
        <s v="A8"/>
        <s v="E13"/>
        <s v="A3"/>
        <s v="C33"/>
        <s v="E10L"/>
        <s v="A10"/>
        <s v="E18"/>
        <s v="G21"/>
        <s v="S14"/>
        <s v="C18"/>
        <s v="B20"/>
        <s v="F5"/>
        <s v="E23"/>
        <s v="B5"/>
        <s v="C36"/>
        <s v="E11L"/>
        <s v="F23"/>
        <s v="B18"/>
        <s v="A4"/>
        <s v="E12L"/>
        <s v="C56"/>
        <s v="C19"/>
        <s v="F6"/>
        <s v="C52"/>
        <s v="C64"/>
        <s v="E15"/>
        <s v="B25"/>
        <s v="C24"/>
        <s v="E8"/>
        <s v="D3"/>
        <s v="C47"/>
        <s v="G9"/>
        <s v="B4"/>
        <s v="E2"/>
        <s v="F16"/>
        <s v="A7"/>
        <s v="F27"/>
        <s v="B11"/>
        <s v="F26"/>
        <s v="C39"/>
        <s v="Q5"/>
        <s v="F4"/>
        <s v="E19"/>
        <s v="C41"/>
        <s v="B9"/>
        <s v="C60"/>
        <s v="C45"/>
        <s v="B8"/>
        <s v="E5"/>
        <s v="E17"/>
        <s v="F17"/>
        <s v="D1"/>
        <s v="C22"/>
        <s v="E6"/>
        <s v="C40"/>
        <s v="A1"/>
        <s v="F24"/>
        <s v="G19"/>
        <s v="D7"/>
        <s v="G4"/>
        <s v="S9"/>
        <s v="G2"/>
        <s v="Q6"/>
        <s v="B17"/>
        <s v="S11"/>
        <s v="Q3"/>
        <s v="F20"/>
        <s v="E7L"/>
        <s v="D9"/>
        <s v="E25"/>
        <s v="G10"/>
        <s v="C46"/>
        <s v="C23"/>
        <s v="D5"/>
        <s v="B21"/>
        <s v="C35"/>
        <s v="G11"/>
        <s v="C37"/>
        <s v="G15"/>
        <s v="C21"/>
        <s v="G3"/>
        <s v="Q7"/>
        <s v="E24"/>
        <s v="G8"/>
        <s v="E26"/>
        <s v="G6"/>
        <s v="C34"/>
        <s v="E36"/>
        <s v="G5"/>
        <s v="C20"/>
        <s v="C31"/>
        <s v="E21"/>
        <s v="G7"/>
        <s v="G14"/>
        <s v="G16"/>
        <s v="G18"/>
        <s v="E44"/>
        <s v="C29"/>
        <s v="E14"/>
        <s v="S5"/>
        <s v="Q4"/>
        <s v="G20"/>
        <s v="G22"/>
        <s v="Q8"/>
        <s v="E9R"/>
        <s v="S15"/>
        <s v="E20"/>
        <s v="C30"/>
        <s v="S8"/>
        <s v="E31"/>
        <s v="E37"/>
        <s v="E38"/>
        <s v="E34"/>
        <s v="E32"/>
        <m u="1"/>
        <s v="E30" u="1"/>
        <s v="G17" u="1"/>
        <s v="S2" u="1"/>
        <s v="Q10" u="1"/>
        <s v="F25" u="1"/>
        <s v="Q11" u="1"/>
        <s v="S4" u="1"/>
        <s v="S6" u="1"/>
        <s v="E35" u="1"/>
        <s v="F9" u="1"/>
        <s v="Q2" u="1"/>
        <s v="B26" u="1"/>
        <s v="F12" u="1"/>
        <s v="F13" u="1"/>
        <s v="S1" u="1"/>
        <s v="S3" u="1"/>
        <s v="E1" u="1"/>
        <s v="E43" u="1"/>
        <s v="S7" u="1"/>
        <s v="Q1" u="1"/>
        <s v="E45" u="1"/>
        <s v="E27" u="1"/>
        <s v="E28" u="1"/>
        <s v="C25" u="1"/>
        <s v="Q9" u="1"/>
      </sharedItems>
    </cacheField>
    <cacheField name="VDGS_State" numFmtId="0">
      <sharedItems containsBlank="1" count="42">
        <s v="Docking_To_Parked"/>
        <s v="Parked_To_Ready"/>
        <s v="Active_To_Docking"/>
        <s v="Ready_To_Scheduled"/>
        <s v="Scheduled_To_Active"/>
        <s v="EmergencyStop_To_Ready"/>
        <s v="Ready_To_Active"/>
        <s v="Ready_To_Parked"/>
        <s v="Ready_To_Unknown"/>
        <s v="Unknown_To_Ready"/>
        <s v="Scheduled_To_ReqInterlock"/>
        <s v="ReqInterlock_To_Active"/>
        <s v="Ready_To_EmergencyStop"/>
        <s v="Ready_To_Maintenance"/>
        <s v="Maintenance_To_Ready"/>
        <s v="Active_To_Error"/>
        <s v="Error_To_Ready"/>
        <s v="Error_To_Active"/>
        <s v="Active_To_Unknown"/>
        <s v="Parked_To_Unknown"/>
        <s v="Unknown_To_Active"/>
        <s v="Unknown_To_Parked"/>
        <s v="Active_To_EmergencyStop"/>
        <s v="Active_To_Ready"/>
        <s v="Parked_To_Maintenance"/>
        <s v="Maintenance_To_Parked"/>
        <s v="Scheduled_To_Parked"/>
        <s v="Scheduled_To_Ready"/>
        <s v="Scheduled_To_EmergencyStop"/>
        <s v="Docking_To_Active"/>
        <s v="Parked_To_EmergencyStop"/>
        <s v="EmergencyStop_To_Parked"/>
        <s v="Unknown_To_Unknown"/>
        <s v="EmergencyStop_To_Unknown"/>
        <s v="Unknown_To_EmergencyStop"/>
        <s v="Docking_To_Error"/>
        <m/>
        <s v="Docking_To_Unknown" u="1"/>
        <s v="Unknown_To_Scheduled" u="1"/>
        <s v="BlockedByUPS_To_Unknown" u="1"/>
        <s v="Ready_To_BlockedByUPS" u="1"/>
        <s v="Ready_To_ReqInterlock" u="1"/>
      </sharedItems>
    </cacheField>
    <cacheField name="Event_Classification" numFmtId="0">
      <sharedItems containsBlank="1"/>
    </cacheField>
    <cacheField name="Flight_ID" numFmtId="0">
      <sharedItems containsBlank="1"/>
    </cacheField>
    <cacheField name="site" numFmtId="0">
      <sharedItems containsBlank="1"/>
    </cacheField>
    <cacheField name="event_classification2" numFmtId="0">
      <sharedItems containsBlank="1"/>
    </cacheField>
    <cacheField name="Alarm_ID" numFmtId="0">
      <sharedItems containsString="0" containsBlank="1" containsNumber="1" containsInteger="1" minValue="-1" maxValue="390329"/>
    </cacheField>
    <cacheField name="Alarm_Code" numFmtId="0">
      <sharedItems containsBlank="1"/>
    </cacheField>
    <cacheField name="Alarm_Description" numFmtId="0">
      <sharedItems containsBlank="1" count="49">
        <m/>
        <s v="Conversion to Safedock Aircraft Type Failed: (JVT 206) (GLEX)"/>
        <s v="Safedock Connection Lost"/>
        <s v="ApronBlocked"/>
        <s v="Emergency Stop from OP Panel"/>
        <s v="GateBlocked"/>
        <s v="AutoCalibrationError"/>
        <s v="Minor display error - faulty LEDs detected"/>
        <s v="Conversion to Safedock Aircraft Type Failed: (JVT 272) (GLF2)"/>
        <s v="BridgeNotIn"/>
        <s v="Blocking Rules Unknown Aircraft Type: Configured aircraft type A350-800 for centerline C51 is unknown"/>
        <s v="Conversion to Safedock Aircraft Type Failed: (JVT 224) (GLF6)"/>
        <s v="IDFailed - VerAnalysisFailedTooClose"/>
        <s v="Blocking Rules Unknown Aircraft Type: Configured aircraft type BAE146 for centerline E44L is unknown"/>
        <s v="Blocking Rules Unknown Aircraft Type: Configured aircraft type ATR72/600 for centerline E44L is unknown"/>
        <s v="Blocking Rules Unknown Aircraft Type: Configured aircraft type E195/E2 for centerline E44L is unknown"/>
        <s v="Blocking Rules Unknown Aircraft Type: Configured aircraft type BAE146 for centerline E44R is unknown"/>
        <s v="Blocking Rules Unknown Aircraft Type: Configured aircraft type ATR72/600 for centerline E44R is unknown"/>
        <s v="Blocking Rules Unknown Aircraft Type: Configured aircraft type E195/E2 for centerline E44R is unknown"/>
        <s v="Conversion to Safedock Aircraft Type Failed: (EJF 121) (GLEX)"/>
        <s v="Walktest required for All"/>
        <s v="Conversion to Safedock Aircraft Type Failed: (EJF 120) (GLEX)"/>
        <s v="SBUStop - ScanFailed"/>
        <s v="Blocking Rules Unknown Aircraft Type: Configured aircraft type E195/E2 for centerline C54L is unknown"/>
        <s v="Blocking Rules Unknown Aircraft Type: Configured aircraft type E195/E2 for centerline C54R is unknown"/>
        <s v="SBUStop - AzimuthStop"/>
        <s v="Conversion to Safedock Aircraft Type Failed: (EJF 124) (GA5C)"/>
        <s v="Conversion to Safedock Aircraft Type Failed: (JVT 255) (GLF2)"/>
        <s v="Conversion to Safedock Aircraft Type Failed: (EJF 134) (GLF6)"/>
        <s v="IDFailed - IdLostTrackCloseToStop"/>
        <s v="Conversion to Safedock Aircraft Type Failed: (EJF 124) (GLEX)"/>
        <s v="Conversion to Safedock Aircraft Type Failed: (JVT 241) (E35L)" u="1"/>
        <s v="Interface Status Alarm: SRV2 Degraded" u="1"/>
        <s v="Interface Status Alarm: NTP NOK" u="1"/>
        <s v="Conversion to Safedock Aircraft Type Failed: (JVT 273) (GLF5)" u="1"/>
        <s v="Safedock Assignment Failed: (SG 006) (B737/8-MAX) (B38M)" u="1"/>
        <s v="Safedock Assignment Failed: (SG 011) (B737/8-MAX) (B38M)" u="1"/>
        <s v="Conversion to Safedock Aircraft Type Failed: (EJO 121) (GLEX)" u="1"/>
        <s v="IDFailed - NoseHeightFailed" u="1"/>
        <s v="Interface Status Alarm: SMR NOK" u="1"/>
        <s v="Safedock Assignment Failed: (EJO 112) (CL600) (CL60)" u="1"/>
        <s v="Safedock Assignment Failed: (EJO 180) (CL600) (CL60)" u="1"/>
        <s v="Docking system running on UPS" u="1"/>
        <s v="Blocking Rules Unknown Aircraft Type: Configured aircraft type E195/E2 for centerline C55L is unknown" u="1"/>
        <s v="Blocking Rules Unknown Aircraft Type: Configured aircraft type E195/E2 for centerline C55R is unknown" u="1"/>
        <s v="Interface Status Alarm: UFIS NOK" u="1"/>
        <s v="Conversion to Safedock Aircraft Type Failed: (EJO 177) (GA5C)" u="1"/>
        <s v="Interface Status Alarm: NTP Degraded" u="1"/>
        <s v="Interface Status Alarm: SMR Degraded" u="1"/>
      </sharedItems>
    </cacheField>
    <cacheField name="Error_Type" numFmtId="0">
      <sharedItems containsBlank="1" count="3">
        <m/>
        <s v="Operational"/>
        <s v="Technical"/>
      </sharedItems>
    </cacheField>
    <cacheField name="Minutes" numFmtId="0" databaseField="0">
      <fieldGroup base="2">
        <rangePr groupBy="minutes" startDate="2022-07-29T00:00:09" endDate="2022-07-29T23:59:59"/>
        <groupItems count="62">
          <s v="&lt;29-07-2022"/>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29-07-2022"/>
        </groupItems>
      </fieldGroup>
    </cacheField>
    <cacheField name="Hours" numFmtId="0" databaseField="0">
      <fieldGroup base="2">
        <rangePr groupBy="hours" startDate="2022-07-29T00:00:09" endDate="2022-07-29T23:59:59"/>
        <groupItems count="26">
          <s v="&lt;29-07-2022"/>
          <s v="00"/>
          <s v="01"/>
          <s v="02"/>
          <s v="03"/>
          <s v="04"/>
          <s v="05"/>
          <s v="06"/>
          <s v="07"/>
          <s v="08"/>
          <s v="09"/>
          <s v="10"/>
          <s v="11"/>
          <s v="12"/>
          <s v="13"/>
          <s v="14"/>
          <s v="15"/>
          <s v="16"/>
          <s v="17"/>
          <s v="18"/>
          <s v="19"/>
          <s v="20"/>
          <s v="21"/>
          <s v="22"/>
          <s v="23"/>
          <s v="&gt;29-07-2022"/>
        </groupItems>
      </fieldGroup>
    </cacheField>
  </cacheFields>
  <extLst>
    <ext xmlns:x14="http://schemas.microsoft.com/office/spreadsheetml/2009/9/main" uri="{725AE2AE-9491-48be-B2B4-4EB974FC3084}">
      <x14:pivotCacheDefinition pivotCacheId="3755858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82">
  <r>
    <n v="27814370"/>
    <x v="0"/>
    <x v="0"/>
    <s v="6E 065_2022-07-29T06x15x00"/>
    <s v="A320-NEO"/>
    <x v="0"/>
    <x v="0"/>
    <x v="0"/>
    <s v="Operational"/>
    <s v="6E 065"/>
    <m/>
    <m/>
    <m/>
    <m/>
    <x v="0"/>
    <x v="0"/>
  </r>
  <r>
    <n v="27805678"/>
    <x v="0"/>
    <x v="1"/>
    <s v="A4 684_2022-07-29T01x40x00"/>
    <s v="SSJ100/95"/>
    <x v="1"/>
    <x v="1"/>
    <x v="1"/>
    <s v="Operational"/>
    <s v="A4 684"/>
    <m/>
    <m/>
    <m/>
    <m/>
    <x v="0"/>
    <x v="0"/>
  </r>
  <r>
    <n v="27805709"/>
    <x v="0"/>
    <x v="2"/>
    <s v="FZ 619_2022-07-29T01x50x00"/>
    <s v="B737/8-MAX"/>
    <x v="1"/>
    <x v="2"/>
    <x v="1"/>
    <s v="Operational"/>
    <s v="FZ 619"/>
    <m/>
    <m/>
    <m/>
    <m/>
    <x v="0"/>
    <x v="0"/>
  </r>
  <r>
    <n v="27817282"/>
    <x v="0"/>
    <x v="3"/>
    <s v="SV 566_2022-07-29T06x45x00"/>
    <s v="A320"/>
    <x v="0"/>
    <x v="3"/>
    <x v="0"/>
    <s v="Operational"/>
    <s v="SV 566"/>
    <m/>
    <m/>
    <m/>
    <m/>
    <x v="0"/>
    <x v="0"/>
  </r>
  <r>
    <n v="27805721"/>
    <x v="0"/>
    <x v="4"/>
    <s v="EK 539_2022-07-29T01x55x00"/>
    <s v="B777/3-ER"/>
    <x v="2"/>
    <x v="4"/>
    <x v="2"/>
    <s v="Operational"/>
    <s v="EK 539"/>
    <m/>
    <m/>
    <m/>
    <m/>
    <x v="0"/>
    <x v="0"/>
  </r>
  <r>
    <n v="27805724"/>
    <x v="0"/>
    <x v="5"/>
    <s v="EK 623_2022-07-29T01x40x00"/>
    <s v="B777/3-ER"/>
    <x v="3"/>
    <x v="5"/>
    <x v="2"/>
    <s v="Operational"/>
    <s v="EK 623"/>
    <m/>
    <m/>
    <m/>
    <m/>
    <x v="0"/>
    <x v="0"/>
  </r>
  <r>
    <n v="27817293"/>
    <x v="0"/>
    <x v="6"/>
    <s v="IX 345_2022-07-29T07x50x00"/>
    <s v="B737/8"/>
    <x v="1"/>
    <x v="6"/>
    <x v="3"/>
    <s v="Operational"/>
    <s v="IX 345"/>
    <m/>
    <m/>
    <m/>
    <m/>
    <x v="0"/>
    <x v="0"/>
  </r>
  <r>
    <n v="27817295"/>
    <x v="0"/>
    <x v="7"/>
    <s v="WY 604_2022-07-29T07x05x00"/>
    <s v="B737/8-MAX"/>
    <x v="0"/>
    <x v="3"/>
    <x v="1"/>
    <s v="Operational"/>
    <s v="WY 604"/>
    <m/>
    <m/>
    <m/>
    <m/>
    <x v="0"/>
    <x v="0"/>
  </r>
  <r>
    <n v="27805733"/>
    <x v="0"/>
    <x v="8"/>
    <s v="EK 084_2022-07-29T02x10x00"/>
    <s v="B777/3-ER"/>
    <x v="2"/>
    <x v="7"/>
    <x v="2"/>
    <s v="Operational"/>
    <s v="EK 084"/>
    <m/>
    <m/>
    <m/>
    <m/>
    <x v="0"/>
    <x v="0"/>
  </r>
  <r>
    <n v="27805735"/>
    <x v="0"/>
    <x v="8"/>
    <s v="EK 906_2022-07-29T02x05x00"/>
    <s v="A380/8"/>
    <x v="2"/>
    <x v="8"/>
    <x v="3"/>
    <s v="Operational"/>
    <s v="EK 906"/>
    <m/>
    <m/>
    <m/>
    <m/>
    <x v="0"/>
    <x v="0"/>
  </r>
  <r>
    <n v="27805737"/>
    <x v="0"/>
    <x v="9"/>
    <s v="EK 539_2022-07-29T01x55x00"/>
    <s v="B777/3-ER"/>
    <x v="2"/>
    <x v="4"/>
    <x v="0"/>
    <s v="Operational"/>
    <s v="EK 539"/>
    <m/>
    <m/>
    <m/>
    <m/>
    <x v="0"/>
    <x v="0"/>
  </r>
  <r>
    <n v="27817315"/>
    <x v="0"/>
    <x v="10"/>
    <s v="HY 333_2022-07-29T07x00x00"/>
    <s v="A320-NEO"/>
    <x v="0"/>
    <x v="9"/>
    <x v="0"/>
    <s v="Operational"/>
    <s v="HY 333"/>
    <m/>
    <m/>
    <m/>
    <m/>
    <x v="0"/>
    <x v="0"/>
  </r>
  <r>
    <n v="27817331"/>
    <x v="0"/>
    <x v="11"/>
    <s v="IX 345_2022-07-29T07x50x00"/>
    <s v="B737/8"/>
    <x v="1"/>
    <x v="6"/>
    <x v="4"/>
    <s v="Operational"/>
    <s v="IX 345"/>
    <m/>
    <m/>
    <m/>
    <m/>
    <x v="0"/>
    <x v="0"/>
  </r>
  <r>
    <n v="27817338"/>
    <x v="0"/>
    <x v="12"/>
    <s v="FZ 866_2022-07-29T07x20x00"/>
    <s v="B737/8"/>
    <x v="1"/>
    <x v="1"/>
    <x v="4"/>
    <s v="Operational"/>
    <s v="FZ 866"/>
    <m/>
    <m/>
    <m/>
    <m/>
    <x v="0"/>
    <x v="0"/>
  </r>
  <r>
    <n v="27805752"/>
    <x v="0"/>
    <x v="13"/>
    <s v="EK 906_2022-07-29T02x05x00"/>
    <s v="A380/8"/>
    <x v="2"/>
    <x v="8"/>
    <x v="4"/>
    <s v="Operational"/>
    <s v="EK 906"/>
    <m/>
    <m/>
    <m/>
    <m/>
    <x v="0"/>
    <x v="0"/>
  </r>
  <r>
    <n v="27805754"/>
    <x v="0"/>
    <x v="14"/>
    <s v="EK 623_2022-07-29T01x40x00"/>
    <s v="B777/3-ER"/>
    <x v="3"/>
    <x v="5"/>
    <x v="0"/>
    <s v="Operational"/>
    <s v="EK 623"/>
    <m/>
    <m/>
    <m/>
    <m/>
    <x v="0"/>
    <x v="0"/>
  </r>
  <r>
    <n v="27817343"/>
    <x v="0"/>
    <x v="15"/>
    <s v="EK 502_2022-07-29T09x00x00"/>
    <s v="B777/2-LR"/>
    <x v="2"/>
    <x v="10"/>
    <x v="4"/>
    <s v="Operational"/>
    <s v="EK 533"/>
    <m/>
    <m/>
    <m/>
    <m/>
    <x v="0"/>
    <x v="0"/>
  </r>
  <r>
    <n v="27817355"/>
    <x v="0"/>
    <x v="16"/>
    <s v="IA 127_2022-07-29T07x40x00"/>
    <s v="B737/8"/>
    <x v="1"/>
    <x v="11"/>
    <x v="2"/>
    <s v="Operational"/>
    <s v="IA 127"/>
    <m/>
    <m/>
    <m/>
    <m/>
    <x v="0"/>
    <x v="0"/>
  </r>
  <r>
    <n v="27805779"/>
    <x v="0"/>
    <x v="17"/>
    <s v="EK 084_2022-07-29T02x10x00"/>
    <s v="B777/3-ER"/>
    <x v="2"/>
    <x v="7"/>
    <x v="0"/>
    <s v="Operational"/>
    <s v="EK 084"/>
    <m/>
    <m/>
    <m/>
    <m/>
    <x v="0"/>
    <x v="0"/>
  </r>
  <r>
    <n v="27817371"/>
    <x v="0"/>
    <x v="18"/>
    <s v="IA 127_2022-07-29T07x40x00"/>
    <s v="B737/8"/>
    <x v="1"/>
    <x v="11"/>
    <x v="0"/>
    <s v="Operational"/>
    <s v="IA 127"/>
    <m/>
    <m/>
    <m/>
    <m/>
    <x v="0"/>
    <x v="0"/>
  </r>
  <r>
    <n v="27817389"/>
    <x v="0"/>
    <x v="19"/>
    <s v="XY 501_2022-07-29T07x10x00"/>
    <s v="A320-NEO"/>
    <x v="0"/>
    <x v="12"/>
    <x v="4"/>
    <s v="Operational"/>
    <s v="XY 501"/>
    <m/>
    <m/>
    <m/>
    <m/>
    <x v="0"/>
    <x v="0"/>
  </r>
  <r>
    <n v="27817419"/>
    <x v="0"/>
    <x v="20"/>
    <s v="EK 613_2022-07-29T07x35x00"/>
    <s v="B777/3-ER"/>
    <x v="4"/>
    <x v="13"/>
    <x v="4"/>
    <s v="Operational"/>
    <s v="EK 613"/>
    <m/>
    <m/>
    <m/>
    <m/>
    <x v="0"/>
    <x v="0"/>
  </r>
  <r>
    <n v="27817424"/>
    <x v="0"/>
    <x v="21"/>
    <s v="TK 759_2022-07-29T07x00x00"/>
    <s v="A330/3"/>
    <x v="0"/>
    <x v="14"/>
    <x v="1"/>
    <s v="Operational"/>
    <s v="TK 759"/>
    <m/>
    <m/>
    <m/>
    <m/>
    <x v="0"/>
    <x v="0"/>
  </r>
  <r>
    <n v="27817435"/>
    <x v="0"/>
    <x v="22"/>
    <s v="FX 5279_2022-07-29T06x55x00"/>
    <s v="B777/2"/>
    <x v="1"/>
    <x v="15"/>
    <x v="2"/>
    <s v="Operational"/>
    <s v="FX 5279"/>
    <m/>
    <m/>
    <m/>
    <m/>
    <x v="0"/>
    <x v="0"/>
  </r>
  <r>
    <n v="27805791"/>
    <x v="0"/>
    <x v="23"/>
    <s v="EK 048_2022-07-29T02x40x00"/>
    <s v="B777/3-ER"/>
    <x v="5"/>
    <x v="16"/>
    <x v="3"/>
    <s v="Operational"/>
    <s v="EK 048"/>
    <m/>
    <m/>
    <m/>
    <m/>
    <x v="0"/>
    <x v="0"/>
  </r>
  <r>
    <n v="27805807"/>
    <x v="0"/>
    <x v="24"/>
    <s v="RJ 612_2022-07-29T02x15x00"/>
    <s v="A320"/>
    <x v="0"/>
    <x v="17"/>
    <x v="3"/>
    <s v="Operational"/>
    <s v="RJ 612"/>
    <m/>
    <m/>
    <m/>
    <m/>
    <x v="0"/>
    <x v="0"/>
  </r>
  <r>
    <n v="27817447"/>
    <x v="0"/>
    <x v="25"/>
    <s v="FX 5279_2022-07-29T06x55x00"/>
    <s v="B777/2"/>
    <x v="1"/>
    <x v="15"/>
    <x v="0"/>
    <s v="Operational"/>
    <s v="FX 5279"/>
    <m/>
    <m/>
    <m/>
    <m/>
    <x v="0"/>
    <x v="0"/>
  </r>
  <r>
    <n v="27805816"/>
    <x v="0"/>
    <x v="26"/>
    <s v="EK 048_2022-07-29T02x40x00"/>
    <s v="B777/3-ER"/>
    <x v="5"/>
    <x v="16"/>
    <x v="4"/>
    <s v="Operational"/>
    <s v="EK 048"/>
    <m/>
    <m/>
    <m/>
    <m/>
    <x v="0"/>
    <x v="0"/>
  </r>
  <r>
    <n v="27817503"/>
    <x v="0"/>
    <x v="27"/>
    <s v="FZ 1757_2022-07-29T06x45x00"/>
    <s v="B737/8-MAX"/>
    <x v="5"/>
    <x v="18"/>
    <x v="1"/>
    <s v="Operational"/>
    <s v="FZ 1757"/>
    <m/>
    <m/>
    <m/>
    <m/>
    <x v="0"/>
    <x v="0"/>
  </r>
  <r>
    <n v="27817526"/>
    <x v="0"/>
    <x v="28"/>
    <s v="EK 505_2022-07-29T07x40x00"/>
    <s v="B777/3-ER"/>
    <x v="3"/>
    <x v="19"/>
    <x v="3"/>
    <s v="Operational"/>
    <s v="EK 505"/>
    <m/>
    <m/>
    <m/>
    <m/>
    <x v="0"/>
    <x v="0"/>
  </r>
  <r>
    <n v="27817532"/>
    <x v="0"/>
    <x v="29"/>
    <s v="EK 413_2022-07-29T06x45x00"/>
    <s v="A380/8"/>
    <x v="4"/>
    <x v="20"/>
    <x v="2"/>
    <s v="Operational"/>
    <s v="EK 003"/>
    <m/>
    <m/>
    <m/>
    <m/>
    <x v="0"/>
    <x v="0"/>
  </r>
  <r>
    <n v="27817534"/>
    <x v="0"/>
    <x v="30"/>
    <s v="EK 828_2022-07-29T07x40x00"/>
    <s v="B777/3-ER"/>
    <x v="2"/>
    <x v="21"/>
    <x v="3"/>
    <s v="Operational"/>
    <s v="EK 828"/>
    <m/>
    <m/>
    <m/>
    <m/>
    <x v="0"/>
    <x v="0"/>
  </r>
  <r>
    <n v="27805842"/>
    <x v="0"/>
    <x v="31"/>
    <s v="TK 762_2022-07-29T01x55x00"/>
    <s v="A350/9"/>
    <x v="0"/>
    <x v="22"/>
    <x v="3"/>
    <s v="Operational"/>
    <s v="TK 762"/>
    <m/>
    <m/>
    <m/>
    <m/>
    <x v="0"/>
    <x v="0"/>
  </r>
  <r>
    <n v="27805845"/>
    <x v="0"/>
    <x v="32"/>
    <s v="FZ 1408_2022-07-29T01x45x00"/>
    <s v="B737/8-MAX"/>
    <x v="5"/>
    <x v="23"/>
    <x v="2"/>
    <s v="Operational"/>
    <s v="FZ 1408"/>
    <m/>
    <m/>
    <m/>
    <m/>
    <x v="0"/>
    <x v="0"/>
  </r>
  <r>
    <n v="27805862"/>
    <x v="0"/>
    <x v="33"/>
    <s v="FZ 1408_2022-07-29T01x45x00"/>
    <s v="B737/8-MAX"/>
    <x v="5"/>
    <x v="23"/>
    <x v="0"/>
    <s v="Operational"/>
    <s v="FZ 1408"/>
    <m/>
    <m/>
    <m/>
    <m/>
    <x v="0"/>
    <x v="0"/>
  </r>
  <r>
    <n v="27817548"/>
    <x v="0"/>
    <x v="34"/>
    <s v="FZ 866_2022-07-29T07x20x00"/>
    <s v="B737/8"/>
    <x v="1"/>
    <x v="1"/>
    <x v="2"/>
    <s v="Operational"/>
    <s v="FZ 866"/>
    <m/>
    <m/>
    <m/>
    <m/>
    <x v="0"/>
    <x v="0"/>
  </r>
  <r>
    <n v="27817549"/>
    <x v="0"/>
    <x v="35"/>
    <s v="EK 505_2022-07-29T07x40x00"/>
    <s v="B777/3-ER"/>
    <x v="3"/>
    <x v="19"/>
    <x v="4"/>
    <s v="Operational"/>
    <s v="EK 505"/>
    <m/>
    <m/>
    <m/>
    <m/>
    <x v="0"/>
    <x v="0"/>
  </r>
  <r>
    <n v="27817551"/>
    <x v="0"/>
    <x v="36"/>
    <s v="EK 653_2022-07-29T06x00x00"/>
    <s v="B777/3-ER"/>
    <x v="6"/>
    <x v="24"/>
    <x v="1"/>
    <s v="Operational"/>
    <s v="EK 653"/>
    <m/>
    <m/>
    <m/>
    <m/>
    <x v="0"/>
    <x v="0"/>
  </r>
  <r>
    <n v="27817562"/>
    <x v="0"/>
    <x v="37"/>
    <m/>
    <m/>
    <x v="4"/>
    <x v="25"/>
    <x v="5"/>
    <s v="Operational"/>
    <m/>
    <m/>
    <m/>
    <m/>
    <m/>
    <x v="0"/>
    <x v="0"/>
  </r>
  <r>
    <n v="27817567"/>
    <x v="0"/>
    <x v="38"/>
    <s v="EK 413_2022-07-29T06x45x00"/>
    <s v="A380/8"/>
    <x v="4"/>
    <x v="20"/>
    <x v="0"/>
    <s v="Operational"/>
    <s v="EK 003"/>
    <m/>
    <m/>
    <m/>
    <m/>
    <x v="0"/>
    <x v="0"/>
  </r>
  <r>
    <n v="27817577"/>
    <x v="0"/>
    <x v="39"/>
    <m/>
    <m/>
    <x v="3"/>
    <x v="26"/>
    <x v="6"/>
    <s v="Operational"/>
    <m/>
    <m/>
    <m/>
    <m/>
    <m/>
    <x v="0"/>
    <x v="0"/>
  </r>
  <r>
    <n v="27817585"/>
    <x v="0"/>
    <x v="40"/>
    <s v="FZ 866_2022-07-29T07x20x00"/>
    <s v="B737/8"/>
    <x v="1"/>
    <x v="1"/>
    <x v="0"/>
    <s v="Operational"/>
    <s v="FZ 866"/>
    <m/>
    <m/>
    <m/>
    <m/>
    <x v="0"/>
    <x v="0"/>
  </r>
  <r>
    <n v="27805885"/>
    <x v="0"/>
    <x v="41"/>
    <s v="EK 132_2022-07-29T02x00x00"/>
    <s v="A380/8"/>
    <x v="2"/>
    <x v="27"/>
    <x v="2"/>
    <s v="Operational"/>
    <s v="EK 132"/>
    <m/>
    <m/>
    <m/>
    <m/>
    <x v="0"/>
    <x v="0"/>
  </r>
  <r>
    <n v="27817602"/>
    <x v="0"/>
    <x v="42"/>
    <s v="FX 5217_2022-07-29T07x15x00"/>
    <s v="B777/2"/>
    <x v="1"/>
    <x v="28"/>
    <x v="1"/>
    <s v="Operational"/>
    <s v="FX 5217"/>
    <m/>
    <m/>
    <m/>
    <m/>
    <x v="0"/>
    <x v="0"/>
  </r>
  <r>
    <n v="27818035"/>
    <x v="0"/>
    <x v="43"/>
    <s v="J9 122_2022-07-29T06x50x00"/>
    <s v="A320"/>
    <x v="0"/>
    <x v="29"/>
    <x v="1"/>
    <s v="Operational"/>
    <s v="J9 122"/>
    <m/>
    <m/>
    <m/>
    <m/>
    <x v="0"/>
    <x v="0"/>
  </r>
  <r>
    <n v="27817627"/>
    <x v="0"/>
    <x v="44"/>
    <m/>
    <m/>
    <x v="3"/>
    <x v="30"/>
    <x v="7"/>
    <s v="Operational"/>
    <m/>
    <m/>
    <m/>
    <m/>
    <m/>
    <x v="0"/>
    <x v="0"/>
  </r>
  <r>
    <n v="27805907"/>
    <x v="0"/>
    <x v="45"/>
    <s v="EK 132_2022-07-29T02x00x00"/>
    <s v="A380/8"/>
    <x v="2"/>
    <x v="27"/>
    <x v="0"/>
    <s v="Operational"/>
    <s v="EK 132"/>
    <m/>
    <m/>
    <m/>
    <m/>
    <x v="0"/>
    <x v="0"/>
  </r>
  <r>
    <n v="27817645"/>
    <x v="0"/>
    <x v="46"/>
    <s v="XY 219_2022-07-29T07x50x00"/>
    <s v="A320-NEO"/>
    <x v="0"/>
    <x v="3"/>
    <x v="3"/>
    <s v="Operational"/>
    <s v="XY 219"/>
    <m/>
    <m/>
    <m/>
    <m/>
    <x v="0"/>
    <x v="0"/>
  </r>
  <r>
    <n v="27817655"/>
    <x v="0"/>
    <x v="47"/>
    <s v="ME 426_2022-07-29T07x45x00"/>
    <s v="A321-NEO"/>
    <x v="0"/>
    <x v="29"/>
    <x v="3"/>
    <s v="Operational"/>
    <s v="ME 426"/>
    <m/>
    <m/>
    <m/>
    <m/>
    <x v="0"/>
    <x v="0"/>
  </r>
  <r>
    <n v="27817670"/>
    <x v="0"/>
    <x v="48"/>
    <m/>
    <m/>
    <x v="1"/>
    <x v="31"/>
    <x v="8"/>
    <s v="Operational"/>
    <m/>
    <m/>
    <m/>
    <m/>
    <m/>
    <x v="0"/>
    <x v="0"/>
  </r>
  <r>
    <n v="27817672"/>
    <x v="0"/>
    <x v="48"/>
    <m/>
    <m/>
    <x v="1"/>
    <x v="31"/>
    <x v="9"/>
    <s v="Operational"/>
    <m/>
    <m/>
    <m/>
    <m/>
    <m/>
    <x v="0"/>
    <x v="0"/>
  </r>
  <r>
    <n v="27805924"/>
    <x v="0"/>
    <x v="49"/>
    <s v="EK 032_2022-07-29T01x00x00"/>
    <s v="A380/8"/>
    <x v="5"/>
    <x v="32"/>
    <x v="1"/>
    <s v="Operational"/>
    <s v="EK 032"/>
    <m/>
    <m/>
    <m/>
    <m/>
    <x v="0"/>
    <x v="0"/>
  </r>
  <r>
    <n v="27817688"/>
    <x v="0"/>
    <x v="50"/>
    <s v="EK 613_2022-07-29T07x35x00"/>
    <s v="B777/3-ER"/>
    <x v="4"/>
    <x v="13"/>
    <x v="2"/>
    <s v="Operational"/>
    <s v="EK 613"/>
    <m/>
    <m/>
    <m/>
    <m/>
    <x v="0"/>
    <x v="0"/>
  </r>
  <r>
    <n v="27817691"/>
    <x v="0"/>
    <x v="51"/>
    <s v="IX 345_2022-07-29T07x50x00"/>
    <s v="B737/8"/>
    <x v="1"/>
    <x v="6"/>
    <x v="2"/>
    <s v="Operational"/>
    <s v="IX 345"/>
    <m/>
    <m/>
    <m/>
    <m/>
    <x v="0"/>
    <x v="0"/>
  </r>
  <r>
    <n v="27805933"/>
    <x v="0"/>
    <x v="52"/>
    <s v="TK 762_2022-07-29T01x55x00"/>
    <s v="A350/9"/>
    <x v="0"/>
    <x v="22"/>
    <x v="4"/>
    <s v="Operational"/>
    <s v="TK 762"/>
    <m/>
    <m/>
    <m/>
    <m/>
    <x v="0"/>
    <x v="0"/>
  </r>
  <r>
    <n v="27817704"/>
    <x v="0"/>
    <x v="53"/>
    <s v="EK 613_2022-07-29T07x35x00"/>
    <s v="B777/3-ER"/>
    <x v="4"/>
    <x v="13"/>
    <x v="0"/>
    <s v="Operational"/>
    <s v="EK 613"/>
    <m/>
    <m/>
    <m/>
    <m/>
    <x v="0"/>
    <x v="0"/>
  </r>
  <r>
    <n v="27805944"/>
    <x v="0"/>
    <x v="54"/>
    <s v="FZ 1450_2022-07-29T02x10x00"/>
    <s v="B737/8-MAX"/>
    <x v="5"/>
    <x v="33"/>
    <x v="3"/>
    <s v="Operational"/>
    <s v="FZ 1450"/>
    <m/>
    <m/>
    <m/>
    <m/>
    <x v="0"/>
    <x v="0"/>
  </r>
  <r>
    <n v="27817716"/>
    <x v="0"/>
    <x v="55"/>
    <s v="IX 345_2022-07-29T07x50x00"/>
    <s v="B737/8"/>
    <x v="1"/>
    <x v="6"/>
    <x v="0"/>
    <s v="Operational"/>
    <s v="IX 345"/>
    <m/>
    <m/>
    <m/>
    <m/>
    <x v="0"/>
    <x v="0"/>
  </r>
  <r>
    <n v="27805949"/>
    <x v="0"/>
    <x v="56"/>
    <s v="FZ 325_2022-07-29T02x00x00"/>
    <s v="B737/8"/>
    <x v="1"/>
    <x v="34"/>
    <x v="1"/>
    <s v="Operational"/>
    <s v="FZ 325"/>
    <m/>
    <m/>
    <m/>
    <m/>
    <x v="0"/>
    <x v="0"/>
  </r>
  <r>
    <n v="27817750"/>
    <x v="0"/>
    <x v="57"/>
    <s v="FZ 8568_2022-07-29T07x10x00"/>
    <s v="B737/8"/>
    <x v="1"/>
    <x v="35"/>
    <x v="3"/>
    <s v="Operational"/>
    <s v="FZ 8568"/>
    <m/>
    <m/>
    <m/>
    <m/>
    <x v="0"/>
    <x v="0"/>
  </r>
  <r>
    <n v="27817767"/>
    <x v="0"/>
    <x v="58"/>
    <s v="XY 501_2022-07-29T07x10x00"/>
    <s v="A320-NEO"/>
    <x v="0"/>
    <x v="12"/>
    <x v="2"/>
    <s v="Operational"/>
    <s v="XY 501"/>
    <m/>
    <m/>
    <m/>
    <m/>
    <x v="0"/>
    <x v="0"/>
  </r>
  <r>
    <n v="27817793"/>
    <x v="0"/>
    <x v="59"/>
    <s v="EK 828_2022-07-29T07x40x00"/>
    <s v="B777/3-ER"/>
    <x v="2"/>
    <x v="21"/>
    <x v="4"/>
    <s v="Operational"/>
    <s v="EK 828"/>
    <m/>
    <m/>
    <m/>
    <m/>
    <x v="0"/>
    <x v="0"/>
  </r>
  <r>
    <n v="27817797"/>
    <x v="0"/>
    <x v="60"/>
    <s v="FZ 8568_2022-07-29T07x10x00"/>
    <s v="B737/8"/>
    <x v="1"/>
    <x v="35"/>
    <x v="4"/>
    <s v="Operational"/>
    <s v="FZ 8568"/>
    <m/>
    <m/>
    <m/>
    <m/>
    <x v="0"/>
    <x v="0"/>
  </r>
  <r>
    <n v="27817800"/>
    <x v="0"/>
    <x v="60"/>
    <s v="XY 501_2022-07-29T07x10x00"/>
    <s v="A320-NEO"/>
    <x v="0"/>
    <x v="12"/>
    <x v="0"/>
    <s v="Operational"/>
    <s v="XY 501"/>
    <m/>
    <m/>
    <m/>
    <m/>
    <x v="0"/>
    <x v="0"/>
  </r>
  <r>
    <n v="27817816"/>
    <x v="0"/>
    <x v="61"/>
    <s v="XY 219_2022-07-29T07x50x00"/>
    <s v="A320-NEO"/>
    <x v="0"/>
    <x v="3"/>
    <x v="10"/>
    <s v="Operational"/>
    <s v="XY 219"/>
    <m/>
    <m/>
    <m/>
    <m/>
    <x v="0"/>
    <x v="0"/>
  </r>
  <r>
    <n v="27817817"/>
    <x v="0"/>
    <x v="61"/>
    <s v="XY 219_2022-07-29T07x50x00"/>
    <s v="A320-NEO"/>
    <x v="0"/>
    <x v="3"/>
    <x v="11"/>
    <s v="Operational"/>
    <s v="XY 219"/>
    <m/>
    <m/>
    <m/>
    <m/>
    <x v="0"/>
    <x v="0"/>
  </r>
  <r>
    <n v="27817822"/>
    <x v="0"/>
    <x v="62"/>
    <s v="EK 502_2022-07-29T09x00x00"/>
    <s v="B777/2-LR"/>
    <x v="2"/>
    <x v="10"/>
    <x v="2"/>
    <s v="Operational"/>
    <s v="EK 502"/>
    <m/>
    <m/>
    <m/>
    <m/>
    <x v="0"/>
    <x v="0"/>
  </r>
  <r>
    <n v="27814426"/>
    <x v="0"/>
    <x v="63"/>
    <s v="EK 562_2022-07-29T06x00x00"/>
    <s v="B777/2-LR"/>
    <x v="2"/>
    <x v="36"/>
    <x v="1"/>
    <s v="Operational"/>
    <s v="EK 562"/>
    <m/>
    <m/>
    <m/>
    <m/>
    <x v="0"/>
    <x v="0"/>
  </r>
  <r>
    <n v="27814434"/>
    <x v="0"/>
    <x v="64"/>
    <s v="EK 763_2022-07-29T05x55x00"/>
    <s v="A380/8"/>
    <x v="2"/>
    <x v="8"/>
    <x v="1"/>
    <s v="Operational"/>
    <s v="EK 763"/>
    <m/>
    <m/>
    <m/>
    <m/>
    <x v="0"/>
    <x v="0"/>
  </r>
  <r>
    <n v="27814448"/>
    <x v="0"/>
    <x v="65"/>
    <m/>
    <m/>
    <x v="1"/>
    <x v="6"/>
    <x v="8"/>
    <s v="Operational"/>
    <s v="IX 142"/>
    <m/>
    <m/>
    <m/>
    <m/>
    <x v="0"/>
    <x v="0"/>
  </r>
  <r>
    <n v="27814452"/>
    <x v="0"/>
    <x v="65"/>
    <m/>
    <m/>
    <x v="1"/>
    <x v="6"/>
    <x v="9"/>
    <s v="Operational"/>
    <m/>
    <m/>
    <m/>
    <m/>
    <m/>
    <x v="0"/>
    <x v="0"/>
  </r>
  <r>
    <n v="27814457"/>
    <x v="0"/>
    <x v="66"/>
    <s v="EK 205_2022-07-29T05x45x00"/>
    <s v="A380/8"/>
    <x v="3"/>
    <x v="37"/>
    <x v="1"/>
    <s v="Operational"/>
    <s v="EK 205"/>
    <m/>
    <m/>
    <m/>
    <m/>
    <x v="0"/>
    <x v="0"/>
  </r>
  <r>
    <n v="27814468"/>
    <x v="0"/>
    <x v="67"/>
    <m/>
    <m/>
    <x v="7"/>
    <x v="38"/>
    <x v="8"/>
    <s v="Operational"/>
    <m/>
    <m/>
    <m/>
    <m/>
    <m/>
    <x v="0"/>
    <x v="0"/>
  </r>
  <r>
    <n v="27814470"/>
    <x v="0"/>
    <x v="67"/>
    <m/>
    <m/>
    <x v="7"/>
    <x v="38"/>
    <x v="9"/>
    <s v="Operational"/>
    <m/>
    <m/>
    <m/>
    <m/>
    <m/>
    <x v="0"/>
    <x v="0"/>
  </r>
  <r>
    <n v="27814472"/>
    <x v="0"/>
    <x v="68"/>
    <m/>
    <s v="B777/3-ER"/>
    <x v="7"/>
    <x v="39"/>
    <x v="1"/>
    <s v="Operational"/>
    <m/>
    <m/>
    <m/>
    <m/>
    <m/>
    <x v="0"/>
    <x v="0"/>
  </r>
  <r>
    <n v="27814483"/>
    <x v="0"/>
    <x v="69"/>
    <s v="SG 055_2022-07-29T06x10x00"/>
    <s v="B737/8-MAX"/>
    <x v="0"/>
    <x v="40"/>
    <x v="4"/>
    <s v="Operational"/>
    <s v="SG 055"/>
    <m/>
    <m/>
    <m/>
    <m/>
    <x v="0"/>
    <x v="0"/>
  </r>
  <r>
    <n v="27814513"/>
    <x v="0"/>
    <x v="70"/>
    <s v="EK 215_2022-07-29T04x55x00"/>
    <s v="A380/8"/>
    <x v="4"/>
    <x v="41"/>
    <x v="1"/>
    <s v="Operational"/>
    <s v="EK 215"/>
    <m/>
    <m/>
    <m/>
    <m/>
    <x v="0"/>
    <x v="0"/>
  </r>
  <r>
    <n v="27814541"/>
    <x v="0"/>
    <x v="71"/>
    <m/>
    <m/>
    <x v="3"/>
    <x v="42"/>
    <x v="12"/>
    <s v="Operational"/>
    <m/>
    <m/>
    <m/>
    <m/>
    <m/>
    <x v="0"/>
    <x v="0"/>
  </r>
  <r>
    <n v="27814547"/>
    <x v="0"/>
    <x v="72"/>
    <s v="FZ 046_2022-07-29T06x00x00"/>
    <s v="B737/8"/>
    <x v="1"/>
    <x v="43"/>
    <x v="3"/>
    <s v="Operational"/>
    <s v="FZ 046"/>
    <m/>
    <m/>
    <m/>
    <m/>
    <x v="0"/>
    <x v="0"/>
  </r>
  <r>
    <n v="27805989"/>
    <x v="0"/>
    <x v="73"/>
    <s v="EK 714_2022-07-29T02x30x00"/>
    <s v="B777/3-ER"/>
    <x v="3"/>
    <x v="19"/>
    <x v="3"/>
    <s v="Operational"/>
    <s v="EK 714"/>
    <m/>
    <m/>
    <m/>
    <m/>
    <x v="0"/>
    <x v="0"/>
  </r>
  <r>
    <n v="27814579"/>
    <x v="0"/>
    <x v="74"/>
    <s v="EK 729_2022-07-29T05x55x00"/>
    <s v="B777/3-ER"/>
    <x v="3"/>
    <x v="44"/>
    <x v="1"/>
    <s v="Operational"/>
    <s v="EK 729"/>
    <m/>
    <m/>
    <m/>
    <m/>
    <x v="0"/>
    <x v="0"/>
  </r>
  <r>
    <n v="27806002"/>
    <x v="0"/>
    <x v="75"/>
    <s v="RJ 612_2022-07-29T02x15x00"/>
    <s v="A320"/>
    <x v="0"/>
    <x v="17"/>
    <x v="4"/>
    <s v="Operational"/>
    <s v="RJ 612"/>
    <m/>
    <m/>
    <m/>
    <m/>
    <x v="0"/>
    <x v="0"/>
  </r>
  <r>
    <n v="27814587"/>
    <x v="0"/>
    <x v="76"/>
    <s v="FZ 046_2022-07-29T06x00x00"/>
    <s v="B737/8"/>
    <x v="1"/>
    <x v="43"/>
    <x v="4"/>
    <s v="Operational"/>
    <s v="FZ 046"/>
    <m/>
    <m/>
    <m/>
    <m/>
    <x v="0"/>
    <x v="0"/>
  </r>
  <r>
    <n v="27806042"/>
    <x v="0"/>
    <x v="77"/>
    <s v="EK 714_2022-07-29T02x30x00"/>
    <s v="B777/3-ER"/>
    <x v="3"/>
    <x v="19"/>
    <x v="4"/>
    <s v="Operational"/>
    <s v="EK 714"/>
    <m/>
    <m/>
    <m/>
    <m/>
    <x v="0"/>
    <x v="0"/>
  </r>
  <r>
    <n v="27806051"/>
    <x v="0"/>
    <x v="78"/>
    <s v="EK 048_2022-07-29T02x40x00"/>
    <s v="B777/3-ER"/>
    <x v="5"/>
    <x v="16"/>
    <x v="2"/>
    <s v="Operational"/>
    <s v="EK 048"/>
    <m/>
    <m/>
    <m/>
    <m/>
    <x v="0"/>
    <x v="0"/>
  </r>
  <r>
    <n v="27806053"/>
    <x v="0"/>
    <x v="79"/>
    <m/>
    <m/>
    <x v="3"/>
    <x v="45"/>
    <x v="6"/>
    <s v="Operational"/>
    <m/>
    <m/>
    <m/>
    <m/>
    <m/>
    <x v="0"/>
    <x v="0"/>
  </r>
  <r>
    <n v="27814647"/>
    <x v="0"/>
    <x v="80"/>
    <s v="EK 372_2022-07-29T05x40x00"/>
    <s v="A380/8"/>
    <x v="3"/>
    <x v="46"/>
    <x v="1"/>
    <s v="Operational"/>
    <s v="EK 372"/>
    <m/>
    <m/>
    <m/>
    <m/>
    <x v="0"/>
    <x v="0"/>
  </r>
  <r>
    <n v="27806059"/>
    <x v="0"/>
    <x v="81"/>
    <s v="EK 906_2022-07-29T02x05x00"/>
    <s v="A380/8"/>
    <x v="2"/>
    <x v="8"/>
    <x v="2"/>
    <s v="Operational"/>
    <s v="EK 906"/>
    <m/>
    <m/>
    <m/>
    <m/>
    <x v="0"/>
    <x v="0"/>
  </r>
  <r>
    <n v="27806079"/>
    <x v="0"/>
    <x v="82"/>
    <s v="EK 048_2022-07-29T02x40x00"/>
    <s v="B777/3-ER"/>
    <x v="5"/>
    <x v="16"/>
    <x v="0"/>
    <s v="Operational"/>
    <s v="EK 048"/>
    <m/>
    <m/>
    <m/>
    <m/>
    <x v="0"/>
    <x v="0"/>
  </r>
  <r>
    <n v="27814725"/>
    <x v="0"/>
    <x v="83"/>
    <s v="SG 055_2022-07-29T06x10x00"/>
    <s v="B737/8-MAX"/>
    <x v="0"/>
    <x v="40"/>
    <x v="2"/>
    <s v="Operational"/>
    <s v="SG 055"/>
    <m/>
    <m/>
    <m/>
    <m/>
    <x v="0"/>
    <x v="0"/>
  </r>
  <r>
    <n v="27814738"/>
    <x v="0"/>
    <x v="84"/>
    <s v="SG 055_2022-07-29T06x10x00"/>
    <s v="B737/8-MAX"/>
    <x v="0"/>
    <x v="40"/>
    <x v="0"/>
    <s v="Operational"/>
    <s v="SG 055"/>
    <m/>
    <m/>
    <m/>
    <m/>
    <x v="0"/>
    <x v="0"/>
  </r>
  <r>
    <n v="27806093"/>
    <x v="0"/>
    <x v="85"/>
    <m/>
    <s v="B777/3-ER"/>
    <x v="6"/>
    <x v="47"/>
    <x v="2"/>
    <s v="Operational"/>
    <m/>
    <m/>
    <m/>
    <m/>
    <m/>
    <x v="0"/>
    <x v="0"/>
  </r>
  <r>
    <n v="27806099"/>
    <x v="0"/>
    <x v="86"/>
    <s v="EK 906_2022-07-29T02x05x00"/>
    <s v="A380/8"/>
    <x v="2"/>
    <x v="8"/>
    <x v="0"/>
    <s v="Operational"/>
    <s v="EK 906"/>
    <m/>
    <m/>
    <m/>
    <m/>
    <x v="0"/>
    <x v="0"/>
  </r>
  <r>
    <n v="27814754"/>
    <x v="0"/>
    <x v="87"/>
    <s v="W5 061_2022-07-29T05x30x00"/>
    <s v="A340/3"/>
    <x v="0"/>
    <x v="22"/>
    <x v="3"/>
    <s v="Operational"/>
    <s v="W5 061"/>
    <m/>
    <m/>
    <m/>
    <m/>
    <x v="0"/>
    <x v="0"/>
  </r>
  <r>
    <n v="27814764"/>
    <x v="0"/>
    <x v="88"/>
    <s v="6E 1725_2022-07-29T06x10x00"/>
    <s v="A320-NEO"/>
    <x v="0"/>
    <x v="3"/>
    <x v="1"/>
    <s v="Operational"/>
    <s v="6E 1725"/>
    <m/>
    <m/>
    <m/>
    <m/>
    <x v="0"/>
    <x v="0"/>
  </r>
  <r>
    <n v="27806121"/>
    <x v="0"/>
    <x v="89"/>
    <s v="EK 854_2022-07-29T02x20x00"/>
    <s v="B777/3-ER"/>
    <x v="5"/>
    <x v="48"/>
    <x v="3"/>
    <s v="Operational"/>
    <s v="EK 854"/>
    <m/>
    <m/>
    <m/>
    <m/>
    <x v="0"/>
    <x v="0"/>
  </r>
  <r>
    <n v="27814784"/>
    <x v="0"/>
    <x v="90"/>
    <s v="FZ 046_2022-07-29T06x00x00"/>
    <s v="B737/8"/>
    <x v="1"/>
    <x v="43"/>
    <x v="2"/>
    <s v="Operational"/>
    <s v="FZ 046"/>
    <m/>
    <m/>
    <m/>
    <m/>
    <x v="0"/>
    <x v="0"/>
  </r>
  <r>
    <n v="27814786"/>
    <x v="0"/>
    <x v="91"/>
    <s v="FZ 1789_2022-07-29T06x00x00"/>
    <s v="B737/8-MAX"/>
    <x v="5"/>
    <x v="23"/>
    <x v="1"/>
    <s v="Operational"/>
    <s v="FZ 1789"/>
    <m/>
    <m/>
    <m/>
    <m/>
    <x v="0"/>
    <x v="0"/>
  </r>
  <r>
    <n v="27814811"/>
    <x v="0"/>
    <x v="92"/>
    <s v="EK 018_2022-07-29T06x20x00"/>
    <s v="A380/8"/>
    <x v="4"/>
    <x v="49"/>
    <x v="3"/>
    <s v="Operational"/>
    <s v="EK 018"/>
    <m/>
    <m/>
    <m/>
    <m/>
    <x v="0"/>
    <x v="0"/>
  </r>
  <r>
    <n v="27814817"/>
    <x v="0"/>
    <x v="93"/>
    <s v="6E 095_2022-07-29T06x50x00"/>
    <s v="A320-NEO"/>
    <x v="0"/>
    <x v="50"/>
    <x v="3"/>
    <s v="Operational"/>
    <s v="6E 095"/>
    <m/>
    <m/>
    <m/>
    <m/>
    <x v="0"/>
    <x v="0"/>
  </r>
  <r>
    <n v="27806130"/>
    <x v="0"/>
    <x v="94"/>
    <s v="EK 399_2022-07-29T02x36x00"/>
    <s v="B777/3-ER"/>
    <x v="6"/>
    <x v="47"/>
    <x v="0"/>
    <s v="Operational"/>
    <m/>
    <m/>
    <m/>
    <m/>
    <m/>
    <x v="0"/>
    <x v="0"/>
  </r>
  <r>
    <n v="27806140"/>
    <x v="0"/>
    <x v="95"/>
    <s v="RJ 612_2022-07-29T02x15x00"/>
    <s v="A320"/>
    <x v="0"/>
    <x v="17"/>
    <x v="2"/>
    <s v="Operational"/>
    <s v="RJ 612"/>
    <m/>
    <m/>
    <m/>
    <m/>
    <x v="0"/>
    <x v="0"/>
  </r>
  <r>
    <n v="27806146"/>
    <x v="0"/>
    <x v="96"/>
    <s v="RJ 612_2022-07-29T02x15x00"/>
    <s v="A320"/>
    <x v="0"/>
    <x v="17"/>
    <x v="0"/>
    <s v="Operational"/>
    <s v="RJ 612"/>
    <m/>
    <m/>
    <m/>
    <m/>
    <x v="0"/>
    <x v="0"/>
  </r>
  <r>
    <n v="27814820"/>
    <x v="0"/>
    <x v="97"/>
    <s v="EK 703_2022-07-29T06x05x00"/>
    <s v="A380/8"/>
    <x v="3"/>
    <x v="51"/>
    <x v="1"/>
    <s v="Operational"/>
    <s v="EK 703"/>
    <m/>
    <m/>
    <m/>
    <m/>
    <x v="0"/>
    <x v="0"/>
  </r>
  <r>
    <n v="27814834"/>
    <x v="0"/>
    <x v="98"/>
    <s v="GF 503_2022-07-29T06x20x00"/>
    <s v="A320"/>
    <x v="0"/>
    <x v="9"/>
    <x v="1"/>
    <s v="Operational"/>
    <s v="GF 503"/>
    <m/>
    <m/>
    <m/>
    <m/>
    <x v="0"/>
    <x v="0"/>
  </r>
  <r>
    <n v="27814846"/>
    <x v="0"/>
    <x v="99"/>
    <m/>
    <m/>
    <x v="1"/>
    <x v="52"/>
    <x v="13"/>
    <s v="Operational"/>
    <m/>
    <m/>
    <m/>
    <m/>
    <m/>
    <x v="0"/>
    <x v="0"/>
  </r>
  <r>
    <n v="27814853"/>
    <x v="0"/>
    <x v="100"/>
    <s v="FZ 046_2022-07-29T06x00x00"/>
    <s v="B737/8"/>
    <x v="1"/>
    <x v="43"/>
    <x v="0"/>
    <s v="Operational"/>
    <s v="FZ 046"/>
    <m/>
    <m/>
    <m/>
    <m/>
    <x v="0"/>
    <x v="0"/>
  </r>
  <r>
    <n v="27814871"/>
    <x v="0"/>
    <x v="101"/>
    <s v="EK 806_2022-07-29T06x15x00"/>
    <s v="B777/3-ER"/>
    <x v="2"/>
    <x v="53"/>
    <x v="3"/>
    <s v="Operational"/>
    <s v="EK 806"/>
    <m/>
    <m/>
    <m/>
    <m/>
    <x v="0"/>
    <x v="0"/>
  </r>
  <r>
    <n v="27814877"/>
    <x v="0"/>
    <x v="102"/>
    <m/>
    <m/>
    <x v="1"/>
    <x v="52"/>
    <x v="14"/>
    <s v="Operational"/>
    <m/>
    <m/>
    <m/>
    <m/>
    <m/>
    <x v="0"/>
    <x v="0"/>
  </r>
  <r>
    <n v="27814898"/>
    <x v="0"/>
    <x v="103"/>
    <s v="EK 229_2022-07-29T05x55x00"/>
    <s v="B777/3-ER"/>
    <x v="4"/>
    <x v="25"/>
    <x v="1"/>
    <s v="Operational"/>
    <s v="EK 229"/>
    <m/>
    <m/>
    <m/>
    <m/>
    <x v="0"/>
    <x v="0"/>
  </r>
  <r>
    <n v="27814927"/>
    <x v="0"/>
    <x v="104"/>
    <s v="J9 121_2022-07-29T06x05x00"/>
    <s v="A320"/>
    <x v="0"/>
    <x v="29"/>
    <x v="3"/>
    <s v="Operational"/>
    <s v="J9 121"/>
    <m/>
    <m/>
    <m/>
    <m/>
    <x v="0"/>
    <x v="0"/>
  </r>
  <r>
    <n v="27806162"/>
    <x v="0"/>
    <x v="105"/>
    <s v="EK 077_2022-07-29T04x45x00"/>
    <s v="A380/8"/>
    <x v="2"/>
    <x v="54"/>
    <x v="1"/>
    <s v="Operational"/>
    <m/>
    <m/>
    <m/>
    <m/>
    <m/>
    <x v="0"/>
    <x v="0"/>
  </r>
  <r>
    <n v="27806170"/>
    <x v="0"/>
    <x v="106"/>
    <s v="FZ 1450_2022-07-29T02x10x00"/>
    <s v="B737/8-MAX"/>
    <x v="5"/>
    <x v="33"/>
    <x v="4"/>
    <s v="Operational"/>
    <s v="FZ 1450"/>
    <m/>
    <m/>
    <m/>
    <m/>
    <x v="0"/>
    <x v="0"/>
  </r>
  <r>
    <n v="27806194"/>
    <x v="0"/>
    <x v="107"/>
    <s v="TK 762_2022-07-29T01x55x00"/>
    <s v="A350/9"/>
    <x v="0"/>
    <x v="22"/>
    <x v="2"/>
    <s v="Operational"/>
    <s v="TK 762"/>
    <m/>
    <m/>
    <m/>
    <m/>
    <x v="0"/>
    <x v="0"/>
  </r>
  <r>
    <n v="27814945"/>
    <x v="0"/>
    <x v="108"/>
    <s v="FZ 819_2022-07-29T06x00x00"/>
    <s v="B737/8"/>
    <x v="1"/>
    <x v="11"/>
    <x v="1"/>
    <s v="Operational"/>
    <s v="FZ 819"/>
    <m/>
    <m/>
    <m/>
    <m/>
    <x v="0"/>
    <x v="0"/>
  </r>
  <r>
    <n v="27806208"/>
    <x v="0"/>
    <x v="109"/>
    <s v="EK 150_2022-07-29T02x30x00"/>
    <s v="B777/3-ER"/>
    <x v="3"/>
    <x v="42"/>
    <x v="3"/>
    <s v="Operational"/>
    <s v="EK 150"/>
    <m/>
    <m/>
    <m/>
    <m/>
    <x v="0"/>
    <x v="0"/>
  </r>
  <r>
    <n v="27814960"/>
    <x v="0"/>
    <x v="110"/>
    <s v="W5 061_2022-07-29T05x30x00"/>
    <s v="A340/3"/>
    <x v="0"/>
    <x v="22"/>
    <x v="4"/>
    <s v="Operational"/>
    <s v="W5 061"/>
    <m/>
    <m/>
    <m/>
    <m/>
    <x v="0"/>
    <x v="0"/>
  </r>
  <r>
    <n v="27806228"/>
    <x v="0"/>
    <x v="111"/>
    <s v="TK 762_2022-07-29T01x55x00"/>
    <s v="A350/9"/>
    <x v="0"/>
    <x v="22"/>
    <x v="0"/>
    <s v="Operational"/>
    <s v="TK 762"/>
    <m/>
    <m/>
    <m/>
    <m/>
    <x v="0"/>
    <x v="0"/>
  </r>
  <r>
    <n v="27814964"/>
    <x v="0"/>
    <x v="112"/>
    <s v="FZ 911_2022-07-29T06x00x00"/>
    <s v="B737/8"/>
    <x v="1"/>
    <x v="35"/>
    <x v="1"/>
    <s v="Operational"/>
    <s v="FZ 911"/>
    <m/>
    <m/>
    <m/>
    <m/>
    <x v="0"/>
    <x v="0"/>
  </r>
  <r>
    <n v="27814976"/>
    <x v="0"/>
    <x v="113"/>
    <s v="EK 133_2022-07-29T06x10x00"/>
    <s v="A380/8"/>
    <x v="4"/>
    <x v="55"/>
    <x v="1"/>
    <s v="Operational"/>
    <s v="EK 133"/>
    <m/>
    <m/>
    <m/>
    <m/>
    <x v="0"/>
    <x v="0"/>
  </r>
  <r>
    <n v="27815002"/>
    <x v="0"/>
    <x v="114"/>
    <s v="IR 656_2022-07-29T06x40x00"/>
    <s v="A319"/>
    <x v="0"/>
    <x v="9"/>
    <x v="3"/>
    <s v="Operational"/>
    <s v="IR 656"/>
    <m/>
    <m/>
    <m/>
    <m/>
    <x v="0"/>
    <x v="0"/>
  </r>
  <r>
    <n v="27815010"/>
    <x v="0"/>
    <x v="115"/>
    <m/>
    <m/>
    <x v="4"/>
    <x v="25"/>
    <x v="12"/>
    <s v="Operational"/>
    <m/>
    <m/>
    <m/>
    <m/>
    <m/>
    <x v="0"/>
    <x v="0"/>
  </r>
  <r>
    <n v="27815022"/>
    <x v="0"/>
    <x v="116"/>
    <s v="IR 656_2022-07-29T06x40x00"/>
    <s v="A319"/>
    <x v="0"/>
    <x v="9"/>
    <x v="10"/>
    <s v="Operational"/>
    <s v="IR 656"/>
    <m/>
    <m/>
    <m/>
    <m/>
    <x v="0"/>
    <x v="0"/>
  </r>
  <r>
    <n v="27815023"/>
    <x v="0"/>
    <x v="117"/>
    <s v="IR 656_2022-07-29T06x40x00"/>
    <s v="A319"/>
    <x v="0"/>
    <x v="9"/>
    <x v="11"/>
    <s v="Operational"/>
    <s v="IR 656"/>
    <m/>
    <m/>
    <m/>
    <m/>
    <x v="0"/>
    <x v="0"/>
  </r>
  <r>
    <n v="27815038"/>
    <x v="0"/>
    <x v="118"/>
    <s v="EK 660_2022-07-29T06x10x00"/>
    <s v="B777/3-ER"/>
    <x v="2"/>
    <x v="56"/>
    <x v="1"/>
    <s v="Operational"/>
    <s v="EK 660"/>
    <m/>
    <m/>
    <m/>
    <m/>
    <x v="0"/>
    <x v="0"/>
  </r>
  <r>
    <n v="27806252"/>
    <x v="0"/>
    <x v="119"/>
    <s v="EK 092_2022-07-29T02x25x00"/>
    <s v="A380/8"/>
    <x v="3"/>
    <x v="45"/>
    <x v="2"/>
    <s v="Operational"/>
    <m/>
    <m/>
    <m/>
    <m/>
    <m/>
    <x v="0"/>
    <x v="0"/>
  </r>
  <r>
    <n v="27806258"/>
    <x v="0"/>
    <x v="120"/>
    <s v="FZ 1450_2022-07-29T02x10x00"/>
    <s v="B737/8-MAX"/>
    <x v="5"/>
    <x v="33"/>
    <x v="2"/>
    <s v="Operational"/>
    <s v="FZ 1450"/>
    <m/>
    <m/>
    <m/>
    <m/>
    <x v="0"/>
    <x v="0"/>
  </r>
  <r>
    <n v="27806262"/>
    <x v="0"/>
    <x v="121"/>
    <s v="EK 150_2022-07-29T02x30x00"/>
    <s v="B777/3-ER"/>
    <x v="3"/>
    <x v="42"/>
    <x v="4"/>
    <s v="Operational"/>
    <s v="EK 150"/>
    <m/>
    <m/>
    <m/>
    <m/>
    <x v="0"/>
    <x v="0"/>
  </r>
  <r>
    <n v="27817858"/>
    <x v="0"/>
    <x v="122"/>
    <s v="EK 502_2022-07-29T09x00x00"/>
    <s v="B777/2-LR"/>
    <x v="2"/>
    <x v="10"/>
    <x v="0"/>
    <s v="Operational"/>
    <s v="EK 502"/>
    <m/>
    <m/>
    <m/>
    <m/>
    <x v="0"/>
    <x v="0"/>
  </r>
  <r>
    <n v="27806272"/>
    <x v="0"/>
    <x v="123"/>
    <s v="EK 086_2022-07-29T02x25x00"/>
    <s v="B777/3-ER"/>
    <x v="2"/>
    <x v="54"/>
    <x v="3"/>
    <s v="Operational"/>
    <s v="EK 086"/>
    <m/>
    <m/>
    <m/>
    <m/>
    <x v="0"/>
    <x v="0"/>
  </r>
  <r>
    <n v="27806275"/>
    <x v="0"/>
    <x v="124"/>
    <s v="EK 092_2022-07-29T02x25x00"/>
    <s v="A380/8"/>
    <x v="3"/>
    <x v="45"/>
    <x v="0"/>
    <s v="Operational"/>
    <m/>
    <m/>
    <m/>
    <m/>
    <m/>
    <x v="0"/>
    <x v="0"/>
  </r>
  <r>
    <n v="27815108"/>
    <x v="0"/>
    <x v="125"/>
    <s v="W5 061_2022-07-29T05x30x00"/>
    <s v="A340/3"/>
    <x v="0"/>
    <x v="22"/>
    <x v="2"/>
    <s v="Operational"/>
    <s v="W5 061"/>
    <m/>
    <m/>
    <m/>
    <m/>
    <x v="0"/>
    <x v="0"/>
  </r>
  <r>
    <n v="27815129"/>
    <x v="0"/>
    <x v="126"/>
    <s v="W5 061_2022-07-29T05x30x00"/>
    <s v="A340/3"/>
    <x v="0"/>
    <x v="22"/>
    <x v="0"/>
    <s v="Operational"/>
    <s v="W5 061"/>
    <m/>
    <m/>
    <m/>
    <m/>
    <x v="0"/>
    <x v="0"/>
  </r>
  <r>
    <n v="27806287"/>
    <x v="0"/>
    <x v="127"/>
    <s v="FZ 1450_2022-07-29T02x10x00"/>
    <s v="B737/8-MAX"/>
    <x v="5"/>
    <x v="33"/>
    <x v="0"/>
    <s v="Operational"/>
    <s v="FZ 1450"/>
    <m/>
    <m/>
    <m/>
    <m/>
    <x v="0"/>
    <x v="0"/>
  </r>
  <r>
    <n v="27815142"/>
    <x v="0"/>
    <x v="128"/>
    <s v="XY 201_2022-07-29T06x45x00"/>
    <s v="A320"/>
    <x v="0"/>
    <x v="57"/>
    <x v="3"/>
    <s v="Operational"/>
    <s v="XY 201"/>
    <m/>
    <m/>
    <m/>
    <m/>
    <x v="0"/>
    <x v="0"/>
  </r>
  <r>
    <n v="27815152"/>
    <x v="0"/>
    <x v="129"/>
    <s v="AH 4062_2022-07-29T04x15x00"/>
    <s v="A330/2"/>
    <x v="0"/>
    <x v="17"/>
    <x v="3"/>
    <s v="Operational"/>
    <s v="AH 4062"/>
    <m/>
    <m/>
    <m/>
    <m/>
    <x v="0"/>
    <x v="0"/>
  </r>
  <r>
    <n v="27815155"/>
    <x v="0"/>
    <x v="130"/>
    <s v="EK 029_2022-07-29T05x40x00"/>
    <s v="A380/8"/>
    <x v="2"/>
    <x v="58"/>
    <x v="1"/>
    <s v="Operational"/>
    <s v="EK 029"/>
    <m/>
    <m/>
    <m/>
    <m/>
    <x v="0"/>
    <x v="0"/>
  </r>
  <r>
    <n v="27815214"/>
    <x v="0"/>
    <x v="131"/>
    <s v="EK 392_2022-07-29T05x30x00"/>
    <s v="B777/3-ER"/>
    <x v="3"/>
    <x v="59"/>
    <x v="1"/>
    <s v="Operational"/>
    <s v="EK 392"/>
    <m/>
    <m/>
    <m/>
    <m/>
    <x v="0"/>
    <x v="0"/>
  </r>
  <r>
    <n v="27815225"/>
    <x v="0"/>
    <x v="132"/>
    <s v="EK 523_2022-07-29T03x05x00"/>
    <s v="B777/3-ER"/>
    <x v="6"/>
    <x v="60"/>
    <x v="1"/>
    <s v="Operational"/>
    <m/>
    <m/>
    <m/>
    <m/>
    <m/>
    <x v="0"/>
    <x v="0"/>
  </r>
  <r>
    <n v="27815228"/>
    <x v="0"/>
    <x v="133"/>
    <s v="6E 095_2022-07-29T06x50x00"/>
    <s v="A320-NEO"/>
    <x v="0"/>
    <x v="50"/>
    <x v="4"/>
    <s v="Operational"/>
    <s v="6E 095"/>
    <m/>
    <m/>
    <m/>
    <m/>
    <x v="0"/>
    <x v="0"/>
  </r>
  <r>
    <n v="27815257"/>
    <x v="0"/>
    <x v="134"/>
    <s v="6E 063_2022-07-29T06x25x00"/>
    <s v="A320-NEO"/>
    <x v="0"/>
    <x v="61"/>
    <x v="3"/>
    <s v="Operational"/>
    <s v="6E 063"/>
    <m/>
    <m/>
    <m/>
    <m/>
    <x v="0"/>
    <x v="0"/>
  </r>
  <r>
    <n v="27815274"/>
    <x v="0"/>
    <x v="135"/>
    <s v="EK 204_2022-07-29T06x40x00"/>
    <s v="A380/8"/>
    <x v="5"/>
    <x v="62"/>
    <x v="3"/>
    <s v="Operational"/>
    <s v="EK 204"/>
    <m/>
    <m/>
    <m/>
    <m/>
    <x v="0"/>
    <x v="0"/>
  </r>
  <r>
    <n v="27806320"/>
    <x v="0"/>
    <x v="136"/>
    <s v="EK 533_2022-07-29T02x50x00"/>
    <s v="B777/2-LR"/>
    <x v="2"/>
    <x v="36"/>
    <x v="3"/>
    <s v="Operational"/>
    <s v="EK 533"/>
    <m/>
    <m/>
    <m/>
    <m/>
    <x v="0"/>
    <x v="0"/>
  </r>
  <r>
    <n v="27815290"/>
    <x v="0"/>
    <x v="137"/>
    <s v="6E 095_2022-07-29T06x50x00"/>
    <s v="A320-NEO"/>
    <x v="0"/>
    <x v="50"/>
    <x v="2"/>
    <s v="Operational"/>
    <s v="6E 095"/>
    <m/>
    <m/>
    <m/>
    <m/>
    <x v="0"/>
    <x v="0"/>
  </r>
  <r>
    <n v="27815309"/>
    <x v="0"/>
    <x v="138"/>
    <s v="MS 901_2022-07-29T06x00x00"/>
    <s v="A320-NEO"/>
    <x v="0"/>
    <x v="63"/>
    <x v="3"/>
    <s v="Operational"/>
    <s v="MS 901"/>
    <m/>
    <m/>
    <m/>
    <m/>
    <x v="0"/>
    <x v="0"/>
  </r>
  <r>
    <n v="27815318"/>
    <x v="0"/>
    <x v="139"/>
    <s v="6E 095_2022-07-29T06x50x00"/>
    <s v="A320-NEO"/>
    <x v="0"/>
    <x v="50"/>
    <x v="0"/>
    <s v="Operational"/>
    <s v="6E 095"/>
    <m/>
    <m/>
    <m/>
    <m/>
    <x v="0"/>
    <x v="0"/>
  </r>
  <r>
    <n v="27815328"/>
    <x v="0"/>
    <x v="140"/>
    <m/>
    <m/>
    <x v="4"/>
    <x v="64"/>
    <x v="6"/>
    <s v="Operational"/>
    <m/>
    <m/>
    <m/>
    <m/>
    <m/>
    <x v="0"/>
    <x v="0"/>
  </r>
  <r>
    <n v="27815345"/>
    <x v="0"/>
    <x v="141"/>
    <s v="EK 181_2022-07-29T10x20x00"/>
    <s v="B777/3-ER"/>
    <x v="4"/>
    <x v="64"/>
    <x v="15"/>
    <s v="Technical"/>
    <s v="EK 181"/>
    <m/>
    <m/>
    <m/>
    <m/>
    <x v="0"/>
    <x v="0"/>
  </r>
  <r>
    <n v="27806327"/>
    <x v="0"/>
    <x v="142"/>
    <s v="EK 714_2022-07-29T02x30x00"/>
    <s v="B777/3-ER"/>
    <x v="3"/>
    <x v="19"/>
    <x v="2"/>
    <s v="Operational"/>
    <s v="EK 714"/>
    <m/>
    <m/>
    <m/>
    <m/>
    <x v="0"/>
    <x v="0"/>
  </r>
  <r>
    <n v="27806332"/>
    <x v="0"/>
    <x v="143"/>
    <s v="EK 086_2022-07-29T02x25x00"/>
    <s v="B777/3-ER"/>
    <x v="2"/>
    <x v="54"/>
    <x v="4"/>
    <s v="Operational"/>
    <s v="EK 086"/>
    <m/>
    <m/>
    <m/>
    <m/>
    <x v="0"/>
    <x v="0"/>
  </r>
  <r>
    <n v="27806336"/>
    <x v="0"/>
    <x v="144"/>
    <s v="EK 714_2022-07-29T02x30x00"/>
    <s v="B777/3-ER"/>
    <x v="3"/>
    <x v="19"/>
    <x v="0"/>
    <s v="Operational"/>
    <s v="EK 714"/>
    <m/>
    <m/>
    <m/>
    <m/>
    <x v="0"/>
    <x v="0"/>
  </r>
  <r>
    <n v="27815354"/>
    <x v="0"/>
    <x v="145"/>
    <s v="EK 181_2022-07-29T10x20x00"/>
    <s v="B777/3-ER"/>
    <x v="4"/>
    <x v="64"/>
    <x v="16"/>
    <s v="Technical"/>
    <s v="EK 181"/>
    <m/>
    <m/>
    <m/>
    <m/>
    <x v="0"/>
    <x v="0"/>
  </r>
  <r>
    <n v="27815359"/>
    <x v="0"/>
    <x v="146"/>
    <m/>
    <m/>
    <x v="4"/>
    <x v="64"/>
    <x v="7"/>
    <s v="Operational"/>
    <m/>
    <m/>
    <m/>
    <m/>
    <m/>
    <x v="0"/>
    <x v="0"/>
  </r>
  <r>
    <n v="27815366"/>
    <x v="0"/>
    <x v="147"/>
    <s v="EK 261_2022-07-29T05x05x00"/>
    <s v="A380/8"/>
    <x v="4"/>
    <x v="65"/>
    <x v="1"/>
    <s v="Operational"/>
    <s v="EK 261"/>
    <m/>
    <m/>
    <m/>
    <m/>
    <x v="0"/>
    <x v="0"/>
  </r>
  <r>
    <n v="27815389"/>
    <x v="0"/>
    <x v="148"/>
    <s v="EK 406_2022-07-29T06x05x00"/>
    <s v="A380/8"/>
    <x v="4"/>
    <x v="66"/>
    <x v="1"/>
    <s v="Operational"/>
    <s v="EK 406"/>
    <m/>
    <m/>
    <m/>
    <m/>
    <x v="0"/>
    <x v="0"/>
  </r>
  <r>
    <n v="27815398"/>
    <x v="0"/>
    <x v="149"/>
    <s v="EK 018_2022-07-29T06x20x00"/>
    <s v="A380/8"/>
    <x v="4"/>
    <x v="49"/>
    <x v="4"/>
    <s v="Operational"/>
    <s v="EK 018"/>
    <m/>
    <m/>
    <m/>
    <m/>
    <x v="0"/>
    <x v="0"/>
  </r>
  <r>
    <n v="27815410"/>
    <x v="0"/>
    <x v="150"/>
    <s v="EK 806_2022-07-29T06x15x00"/>
    <s v="B777/3-ER"/>
    <x v="2"/>
    <x v="53"/>
    <x v="4"/>
    <s v="Operational"/>
    <s v="EK 806"/>
    <m/>
    <m/>
    <m/>
    <m/>
    <x v="0"/>
    <x v="0"/>
  </r>
  <r>
    <n v="27815415"/>
    <x v="0"/>
    <x v="151"/>
    <s v="6E 063_2022-07-29T06x25x00"/>
    <s v="A320-NEO"/>
    <x v="0"/>
    <x v="61"/>
    <x v="4"/>
    <s v="Operational"/>
    <s v="6E 063"/>
    <m/>
    <m/>
    <m/>
    <m/>
    <x v="0"/>
    <x v="0"/>
  </r>
  <r>
    <n v="27815424"/>
    <x v="0"/>
    <x v="152"/>
    <s v="EK 783_2022-07-29T06x20x00"/>
    <s v="B777/3-ER"/>
    <x v="2"/>
    <x v="4"/>
    <x v="1"/>
    <s v="Operational"/>
    <s v="EK 783"/>
    <m/>
    <m/>
    <m/>
    <m/>
    <x v="0"/>
    <x v="0"/>
  </r>
  <r>
    <n v="27815433"/>
    <x v="0"/>
    <x v="153"/>
    <m/>
    <m/>
    <x v="1"/>
    <x v="31"/>
    <x v="8"/>
    <s v="Operational"/>
    <m/>
    <m/>
    <m/>
    <m/>
    <m/>
    <x v="0"/>
    <x v="0"/>
  </r>
  <r>
    <n v="27815435"/>
    <x v="0"/>
    <x v="153"/>
    <m/>
    <m/>
    <x v="1"/>
    <x v="31"/>
    <x v="9"/>
    <s v="Operational"/>
    <m/>
    <m/>
    <m/>
    <m/>
    <m/>
    <x v="0"/>
    <x v="0"/>
  </r>
  <r>
    <n v="27815451"/>
    <x v="0"/>
    <x v="154"/>
    <s v="IR 656_2022-07-29T06x40x00"/>
    <s v="A319"/>
    <x v="0"/>
    <x v="9"/>
    <x v="2"/>
    <s v="Operational"/>
    <s v="IR 656"/>
    <m/>
    <m/>
    <m/>
    <m/>
    <x v="0"/>
    <x v="0"/>
  </r>
  <r>
    <n v="27815466"/>
    <x v="0"/>
    <x v="155"/>
    <s v="EK 395_2022-07-29T06x50x00"/>
    <s v="B777/3-ER"/>
    <x v="7"/>
    <x v="67"/>
    <x v="1"/>
    <s v="Operational"/>
    <s v="EK 395"/>
    <m/>
    <m/>
    <m/>
    <m/>
    <x v="0"/>
    <x v="0"/>
  </r>
  <r>
    <n v="27806400"/>
    <x v="0"/>
    <x v="156"/>
    <s v="EK 076_2022-07-29T02x35x00"/>
    <s v="A380/8"/>
    <x v="4"/>
    <x v="68"/>
    <x v="3"/>
    <s v="Operational"/>
    <s v="EK 076"/>
    <m/>
    <m/>
    <m/>
    <m/>
    <x v="0"/>
    <x v="0"/>
  </r>
  <r>
    <n v="27815478"/>
    <x v="0"/>
    <x v="157"/>
    <s v="IR 656_2022-07-29T06x40x00"/>
    <s v="A319"/>
    <x v="0"/>
    <x v="9"/>
    <x v="0"/>
    <s v="Operational"/>
    <s v="IR 656"/>
    <m/>
    <m/>
    <m/>
    <m/>
    <x v="0"/>
    <x v="0"/>
  </r>
  <r>
    <n v="27815499"/>
    <x v="0"/>
    <x v="158"/>
    <s v="XY 201_2022-07-29T06x45x00"/>
    <s v="A320"/>
    <x v="0"/>
    <x v="57"/>
    <x v="4"/>
    <s v="Operational"/>
    <s v="XY 201"/>
    <m/>
    <m/>
    <m/>
    <m/>
    <x v="0"/>
    <x v="0"/>
  </r>
  <r>
    <n v="27815506"/>
    <x v="0"/>
    <x v="159"/>
    <s v="FZ 024_2022-07-29T06x35x00"/>
    <s v="B737/8-MAX"/>
    <x v="1"/>
    <x v="69"/>
    <x v="3"/>
    <s v="Operational"/>
    <s v="FZ 024"/>
    <m/>
    <m/>
    <m/>
    <m/>
    <x v="0"/>
    <x v="0"/>
  </r>
  <r>
    <n v="27806425"/>
    <x v="0"/>
    <x v="160"/>
    <s v="EK 525_2022-07-29T02x40x00"/>
    <s v="B777/3-ER"/>
    <x v="4"/>
    <x v="70"/>
    <x v="3"/>
    <s v="Operational"/>
    <s v="EK 525"/>
    <m/>
    <m/>
    <m/>
    <m/>
    <x v="0"/>
    <x v="0"/>
  </r>
  <r>
    <n v="27815513"/>
    <x v="0"/>
    <x v="161"/>
    <s v="FZ 024_2022-07-29T06x35x00"/>
    <s v="B737/8-MAX"/>
    <x v="1"/>
    <x v="69"/>
    <x v="4"/>
    <s v="Operational"/>
    <s v="FZ 024"/>
    <m/>
    <m/>
    <m/>
    <m/>
    <x v="0"/>
    <x v="0"/>
  </r>
  <r>
    <n v="27815518"/>
    <x v="0"/>
    <x v="162"/>
    <s v="FZ 024_2022-07-29T06x35x00"/>
    <s v="B737/8-MAX"/>
    <x v="1"/>
    <x v="69"/>
    <x v="15"/>
    <s v="Technical"/>
    <s v="FZ 024"/>
    <m/>
    <m/>
    <m/>
    <m/>
    <x v="0"/>
    <x v="0"/>
  </r>
  <r>
    <n v="27815529"/>
    <x v="0"/>
    <x v="163"/>
    <s v="FZ 8196_2022-07-29T06x45x00"/>
    <s v="B737/8"/>
    <x v="5"/>
    <x v="71"/>
    <x v="3"/>
    <s v="Operational"/>
    <s v="FZ 8196"/>
    <m/>
    <m/>
    <m/>
    <m/>
    <x v="0"/>
    <x v="0"/>
  </r>
  <r>
    <n v="27815540"/>
    <x v="0"/>
    <x v="164"/>
    <s v="QB 2210_2022-07-29T06x30x00"/>
    <s v="A320"/>
    <x v="1"/>
    <x v="72"/>
    <x v="3"/>
    <s v="Operational"/>
    <s v="QB 2210"/>
    <m/>
    <m/>
    <m/>
    <m/>
    <x v="0"/>
    <x v="0"/>
  </r>
  <r>
    <n v="27815545"/>
    <x v="0"/>
    <x v="165"/>
    <s v="FZ 024_2022-07-29T06x35x00"/>
    <s v="B737/8-MAX"/>
    <x v="1"/>
    <x v="69"/>
    <x v="17"/>
    <s v="Technical"/>
    <s v="FZ 024"/>
    <m/>
    <m/>
    <m/>
    <m/>
    <x v="0"/>
    <x v="0"/>
  </r>
  <r>
    <n v="27815549"/>
    <x v="0"/>
    <x v="166"/>
    <s v="QB 2210_2022-07-29T06x30x00"/>
    <s v="A320"/>
    <x v="1"/>
    <x v="72"/>
    <x v="4"/>
    <s v="Operational"/>
    <s v="QB 2210"/>
    <m/>
    <m/>
    <m/>
    <m/>
    <x v="0"/>
    <x v="0"/>
  </r>
  <r>
    <n v="27806445"/>
    <x v="0"/>
    <x v="167"/>
    <s v="EK 525_2022-07-29T02x40x00"/>
    <s v="B777/3-ER"/>
    <x v="4"/>
    <x v="70"/>
    <x v="4"/>
    <s v="Operational"/>
    <s v="EK 525"/>
    <m/>
    <m/>
    <m/>
    <m/>
    <x v="0"/>
    <x v="0"/>
  </r>
  <r>
    <n v="27806453"/>
    <x v="0"/>
    <x v="168"/>
    <s v="EK 854_2022-07-29T02x20x00"/>
    <s v="B777/3-ER"/>
    <x v="5"/>
    <x v="48"/>
    <x v="4"/>
    <s v="Operational"/>
    <s v="EK 854"/>
    <m/>
    <m/>
    <m/>
    <m/>
    <x v="0"/>
    <x v="0"/>
  </r>
  <r>
    <n v="27806457"/>
    <x v="0"/>
    <x v="169"/>
    <s v="EK 854_2022-07-29T02x20x00"/>
    <s v="B777/3-ER"/>
    <x v="5"/>
    <x v="48"/>
    <x v="2"/>
    <s v="Operational"/>
    <s v="EK 854"/>
    <m/>
    <m/>
    <m/>
    <m/>
    <x v="0"/>
    <x v="0"/>
  </r>
  <r>
    <n v="27815603"/>
    <x v="0"/>
    <x v="170"/>
    <s v="XY 201_2022-07-29T06x45x00"/>
    <s v="A320"/>
    <x v="0"/>
    <x v="57"/>
    <x v="2"/>
    <s v="Operational"/>
    <s v="XY 201"/>
    <m/>
    <m/>
    <m/>
    <m/>
    <x v="0"/>
    <x v="0"/>
  </r>
  <r>
    <n v="27806473"/>
    <x v="0"/>
    <x v="171"/>
    <s v="EK 004_2022-07-29T02x35x00"/>
    <s v="A380/8"/>
    <x v="4"/>
    <x v="73"/>
    <x v="3"/>
    <s v="Operational"/>
    <s v="EK 004"/>
    <m/>
    <m/>
    <m/>
    <m/>
    <x v="0"/>
    <x v="0"/>
  </r>
  <r>
    <n v="27806476"/>
    <x v="0"/>
    <x v="172"/>
    <s v="EK 076_2022-07-29T02x35x00"/>
    <s v="A380/8"/>
    <x v="4"/>
    <x v="68"/>
    <x v="4"/>
    <s v="Operational"/>
    <s v="EK 076"/>
    <m/>
    <m/>
    <m/>
    <m/>
    <x v="0"/>
    <x v="0"/>
  </r>
  <r>
    <n v="27815609"/>
    <x v="0"/>
    <x v="173"/>
    <s v="UPS 012_2022-07-29T11x20x00"/>
    <s v="A380/8"/>
    <x v="1"/>
    <x v="74"/>
    <x v="1"/>
    <s v="Operational"/>
    <m/>
    <m/>
    <m/>
    <m/>
    <m/>
    <x v="0"/>
    <x v="0"/>
  </r>
  <r>
    <n v="27815617"/>
    <x v="0"/>
    <x v="174"/>
    <s v="XY 201_2022-07-29T06x45x00"/>
    <s v="A320"/>
    <x v="0"/>
    <x v="57"/>
    <x v="0"/>
    <s v="Operational"/>
    <s v="XY 201"/>
    <m/>
    <m/>
    <m/>
    <m/>
    <x v="0"/>
    <x v="0"/>
  </r>
  <r>
    <n v="27817882"/>
    <x v="0"/>
    <x v="175"/>
    <s v="EK 828_2022-07-29T07x40x00"/>
    <s v="B777/3-ER"/>
    <x v="2"/>
    <x v="21"/>
    <x v="2"/>
    <s v="Operational"/>
    <s v="EK 828"/>
    <m/>
    <m/>
    <m/>
    <m/>
    <x v="0"/>
    <x v="0"/>
  </r>
  <r>
    <n v="27815646"/>
    <x v="0"/>
    <x v="176"/>
    <s v="MS 901_2022-07-29T06x00x00"/>
    <s v="A320-NEO"/>
    <x v="0"/>
    <x v="63"/>
    <x v="10"/>
    <s v="Operational"/>
    <s v="MS 901"/>
    <m/>
    <m/>
    <m/>
    <m/>
    <x v="0"/>
    <x v="0"/>
  </r>
  <r>
    <n v="27815649"/>
    <x v="0"/>
    <x v="176"/>
    <s v="MS 901_2022-07-29T06x00x00"/>
    <s v="A320-NEO"/>
    <x v="0"/>
    <x v="63"/>
    <x v="11"/>
    <s v="Operational"/>
    <s v="MS 901"/>
    <m/>
    <m/>
    <m/>
    <m/>
    <x v="0"/>
    <x v="0"/>
  </r>
  <r>
    <n v="27815652"/>
    <x v="0"/>
    <x v="177"/>
    <m/>
    <m/>
    <x v="6"/>
    <x v="75"/>
    <x v="8"/>
    <s v="Operational"/>
    <m/>
    <m/>
    <m/>
    <m/>
    <m/>
    <x v="0"/>
    <x v="0"/>
  </r>
  <r>
    <n v="27815654"/>
    <x v="0"/>
    <x v="177"/>
    <m/>
    <m/>
    <x v="6"/>
    <x v="75"/>
    <x v="9"/>
    <s v="Operational"/>
    <m/>
    <m/>
    <m/>
    <m/>
    <m/>
    <x v="0"/>
    <x v="0"/>
  </r>
  <r>
    <n v="27815673"/>
    <x v="0"/>
    <x v="178"/>
    <m/>
    <m/>
    <x v="3"/>
    <x v="44"/>
    <x v="8"/>
    <s v="Operational"/>
    <s v="EK 051"/>
    <m/>
    <m/>
    <m/>
    <m/>
    <x v="0"/>
    <x v="0"/>
  </r>
  <r>
    <n v="27815676"/>
    <x v="0"/>
    <x v="178"/>
    <s v="EK 018_2022-07-29T06x20x00"/>
    <s v="A380/8"/>
    <x v="4"/>
    <x v="49"/>
    <x v="18"/>
    <s v="Operational"/>
    <s v="EK 018"/>
    <m/>
    <m/>
    <m/>
    <m/>
    <x v="0"/>
    <x v="0"/>
  </r>
  <r>
    <n v="27815678"/>
    <x v="0"/>
    <x v="178"/>
    <m/>
    <m/>
    <x v="3"/>
    <x v="44"/>
    <x v="9"/>
    <s v="Operational"/>
    <m/>
    <m/>
    <m/>
    <m/>
    <m/>
    <x v="0"/>
    <x v="0"/>
  </r>
  <r>
    <n v="27815682"/>
    <x v="0"/>
    <x v="178"/>
    <s v="EK 132_2022-07-30T03x20x00"/>
    <s v="A380/8"/>
    <x v="5"/>
    <x v="32"/>
    <x v="19"/>
    <s v="Operational"/>
    <s v="EK 132"/>
    <m/>
    <m/>
    <m/>
    <m/>
    <x v="0"/>
    <x v="0"/>
  </r>
  <r>
    <n v="27815684"/>
    <x v="0"/>
    <x v="179"/>
    <s v="EK 018_2022-07-29T06x20x00"/>
    <s v="A380/8"/>
    <x v="4"/>
    <x v="49"/>
    <x v="20"/>
    <s v="Operational"/>
    <s v="EK 018"/>
    <m/>
    <m/>
    <m/>
    <m/>
    <x v="0"/>
    <x v="0"/>
  </r>
  <r>
    <n v="27815685"/>
    <x v="0"/>
    <x v="179"/>
    <s v="EK 132_2022-07-30T03x20x00"/>
    <s v="A380/8"/>
    <x v="5"/>
    <x v="32"/>
    <x v="21"/>
    <s v="Operational"/>
    <m/>
    <m/>
    <m/>
    <m/>
    <m/>
    <x v="0"/>
    <x v="0"/>
  </r>
  <r>
    <n v="27815702"/>
    <x v="0"/>
    <x v="179"/>
    <m/>
    <s v="B777/3-ER"/>
    <x v="7"/>
    <x v="76"/>
    <x v="19"/>
    <s v="Operational"/>
    <m/>
    <m/>
    <m/>
    <m/>
    <m/>
    <x v="0"/>
    <x v="0"/>
  </r>
  <r>
    <n v="27815704"/>
    <x v="0"/>
    <x v="179"/>
    <m/>
    <s v="B777/3-ER"/>
    <x v="7"/>
    <x v="76"/>
    <x v="21"/>
    <s v="Operational"/>
    <m/>
    <m/>
    <m/>
    <m/>
    <m/>
    <x v="0"/>
    <x v="0"/>
  </r>
  <r>
    <n v="27815707"/>
    <x v="0"/>
    <x v="179"/>
    <s v="EK 704_2022-07-29T07x10x00"/>
    <s v="A380/8"/>
    <x v="4"/>
    <x v="65"/>
    <x v="3"/>
    <s v="Operational"/>
    <s v="EK 704"/>
    <m/>
    <m/>
    <m/>
    <m/>
    <x v="0"/>
    <x v="0"/>
  </r>
  <r>
    <n v="27815716"/>
    <x v="0"/>
    <x v="180"/>
    <s v="EK 806_2022-07-29T06x15x00"/>
    <s v="B777/3-ER"/>
    <x v="2"/>
    <x v="53"/>
    <x v="2"/>
    <s v="Operational"/>
    <s v="EK 806"/>
    <m/>
    <m/>
    <m/>
    <m/>
    <x v="0"/>
    <x v="0"/>
  </r>
  <r>
    <n v="27815719"/>
    <x v="0"/>
    <x v="181"/>
    <s v="FZ 1797_2022-07-29T06x20x00"/>
    <s v="B737/8-MAX"/>
    <x v="5"/>
    <x v="77"/>
    <x v="1"/>
    <s v="Operational"/>
    <s v="FZ 1797"/>
    <m/>
    <m/>
    <m/>
    <m/>
    <x v="0"/>
    <x v="0"/>
  </r>
  <r>
    <n v="27806501"/>
    <x v="0"/>
    <x v="182"/>
    <s v="EK 854_2022-07-29T02x20x00"/>
    <s v="B777/3-ER"/>
    <x v="5"/>
    <x v="48"/>
    <x v="0"/>
    <s v="Operational"/>
    <s v="EK 854"/>
    <m/>
    <m/>
    <m/>
    <m/>
    <x v="0"/>
    <x v="0"/>
  </r>
  <r>
    <n v="27815734"/>
    <x v="0"/>
    <x v="183"/>
    <m/>
    <m/>
    <x v="3"/>
    <x v="78"/>
    <x v="8"/>
    <s v="Operational"/>
    <s v="EK 085"/>
    <m/>
    <m/>
    <m/>
    <m/>
    <x v="0"/>
    <x v="0"/>
  </r>
  <r>
    <n v="27815736"/>
    <x v="0"/>
    <x v="183"/>
    <m/>
    <m/>
    <x v="3"/>
    <x v="78"/>
    <x v="9"/>
    <s v="Operational"/>
    <m/>
    <m/>
    <m/>
    <m/>
    <m/>
    <x v="0"/>
    <x v="0"/>
  </r>
  <r>
    <n v="27815754"/>
    <x v="0"/>
    <x v="184"/>
    <s v="EK 806_2022-07-29T06x15x00"/>
    <s v="B777/3-ER"/>
    <x v="2"/>
    <x v="53"/>
    <x v="0"/>
    <s v="Operational"/>
    <s v="EK 806"/>
    <m/>
    <m/>
    <m/>
    <m/>
    <x v="0"/>
    <x v="0"/>
  </r>
  <r>
    <n v="27815767"/>
    <x v="0"/>
    <x v="185"/>
    <s v="AH 4062_2022-07-29T04x15x00"/>
    <s v="A330/2"/>
    <x v="0"/>
    <x v="17"/>
    <x v="4"/>
    <s v="Operational"/>
    <s v="AH 4062"/>
    <m/>
    <m/>
    <m/>
    <m/>
    <x v="0"/>
    <x v="0"/>
  </r>
  <r>
    <n v="27815778"/>
    <x v="0"/>
    <x v="186"/>
    <s v="6E 063_2022-07-29T06x25x00"/>
    <s v="A320-NEO"/>
    <x v="0"/>
    <x v="61"/>
    <x v="2"/>
    <s v="Operational"/>
    <s v="6E 063"/>
    <m/>
    <m/>
    <m/>
    <m/>
    <x v="0"/>
    <x v="0"/>
  </r>
  <r>
    <n v="27815804"/>
    <x v="0"/>
    <x v="187"/>
    <s v="6E 063_2022-07-29T06x25x00"/>
    <s v="A320-NEO"/>
    <x v="0"/>
    <x v="61"/>
    <x v="0"/>
    <s v="Operational"/>
    <s v="6E 063"/>
    <m/>
    <m/>
    <m/>
    <m/>
    <x v="0"/>
    <x v="0"/>
  </r>
  <r>
    <n v="27815821"/>
    <x v="0"/>
    <x v="188"/>
    <s v="AH 4062_2022-07-29T04x15x00"/>
    <s v="A330/2"/>
    <x v="0"/>
    <x v="17"/>
    <x v="2"/>
    <s v="Operational"/>
    <s v="AH 4062"/>
    <m/>
    <m/>
    <m/>
    <m/>
    <x v="0"/>
    <x v="0"/>
  </r>
  <r>
    <n v="27815830"/>
    <x v="0"/>
    <x v="189"/>
    <s v="EK 111_2022-07-29T06x30x00"/>
    <s v="B777/3-ER"/>
    <x v="2"/>
    <x v="79"/>
    <x v="1"/>
    <s v="Operational"/>
    <s v="EK 111"/>
    <m/>
    <m/>
    <m/>
    <m/>
    <x v="0"/>
    <x v="0"/>
  </r>
  <r>
    <n v="27815840"/>
    <x v="0"/>
    <x v="190"/>
    <s v="AH 4062_2022-07-29T04x15x00"/>
    <s v="A330/2"/>
    <x v="0"/>
    <x v="17"/>
    <x v="0"/>
    <s v="Operational"/>
    <s v="AH 4062"/>
    <m/>
    <m/>
    <m/>
    <m/>
    <x v="0"/>
    <x v="0"/>
  </r>
  <r>
    <n v="27815864"/>
    <x v="0"/>
    <x v="191"/>
    <s v="FZ 024_2022-07-29T06x35x00"/>
    <s v="B737/8-MAX"/>
    <x v="1"/>
    <x v="69"/>
    <x v="2"/>
    <s v="Operational"/>
    <s v="FZ 024"/>
    <m/>
    <m/>
    <m/>
    <m/>
    <x v="0"/>
    <x v="0"/>
  </r>
  <r>
    <n v="27815873"/>
    <x v="0"/>
    <x v="192"/>
    <s v="MS 901_2022-07-29T06x00x00"/>
    <s v="A320-NEO"/>
    <x v="0"/>
    <x v="63"/>
    <x v="2"/>
    <s v="Operational"/>
    <s v="MS 901"/>
    <m/>
    <m/>
    <m/>
    <m/>
    <x v="0"/>
    <x v="0"/>
  </r>
  <r>
    <n v="27815880"/>
    <x v="0"/>
    <x v="193"/>
    <s v="WB 304_2022-07-29T06x00x00"/>
    <s v="B737/8"/>
    <x v="1"/>
    <x v="80"/>
    <x v="3"/>
    <s v="Operational"/>
    <s v="WB 304"/>
    <m/>
    <m/>
    <m/>
    <m/>
    <x v="0"/>
    <x v="0"/>
  </r>
  <r>
    <n v="27815890"/>
    <x v="0"/>
    <x v="194"/>
    <s v="EK 723_2022-07-29T06x30x00"/>
    <s v="B777/3-ER"/>
    <x v="2"/>
    <x v="81"/>
    <x v="1"/>
    <s v="Operational"/>
    <s v="EK 723"/>
    <m/>
    <m/>
    <m/>
    <m/>
    <x v="0"/>
    <x v="0"/>
  </r>
  <r>
    <n v="27815901"/>
    <x v="0"/>
    <x v="195"/>
    <s v="FZ 024_2022-07-29T06x35x00"/>
    <s v="B737/8-MAX"/>
    <x v="1"/>
    <x v="69"/>
    <x v="0"/>
    <s v="Operational"/>
    <s v="FZ 024"/>
    <m/>
    <m/>
    <m/>
    <m/>
    <x v="0"/>
    <x v="0"/>
  </r>
  <r>
    <n v="27818045"/>
    <x v="0"/>
    <x v="196"/>
    <s v="XY 219_2022-07-29T07x50x00"/>
    <s v="A320-NEO"/>
    <x v="0"/>
    <x v="3"/>
    <x v="2"/>
    <s v="Operational"/>
    <s v="XY 219"/>
    <m/>
    <m/>
    <m/>
    <m/>
    <x v="0"/>
    <x v="0"/>
  </r>
  <r>
    <n v="27818048"/>
    <x v="0"/>
    <x v="197"/>
    <s v="FZ 8568_2022-07-29T07x10x00"/>
    <s v="B737/8"/>
    <x v="1"/>
    <x v="35"/>
    <x v="2"/>
    <s v="Operational"/>
    <s v="FZ 8568"/>
    <m/>
    <m/>
    <m/>
    <m/>
    <x v="0"/>
    <x v="0"/>
  </r>
  <r>
    <n v="27815924"/>
    <x v="0"/>
    <x v="198"/>
    <s v="WB 304_2022-07-29T06x00x00"/>
    <s v="B737/8"/>
    <x v="1"/>
    <x v="80"/>
    <x v="4"/>
    <s v="Operational"/>
    <s v="WB 304"/>
    <m/>
    <m/>
    <m/>
    <m/>
    <x v="0"/>
    <x v="0"/>
  </r>
  <r>
    <n v="27815933"/>
    <x v="0"/>
    <x v="199"/>
    <s v="EK 204_2022-07-29T03x50x00"/>
    <s v="A380/8"/>
    <x v="2"/>
    <x v="27"/>
    <x v="1"/>
    <s v="Operational"/>
    <m/>
    <m/>
    <m/>
    <m/>
    <m/>
    <x v="0"/>
    <x v="0"/>
  </r>
  <r>
    <n v="27815936"/>
    <x v="0"/>
    <x v="199"/>
    <s v="MS 901_2022-07-29T06x00x00"/>
    <s v="A320-NEO"/>
    <x v="0"/>
    <x v="63"/>
    <x v="0"/>
    <s v="Operational"/>
    <s v="MS 901"/>
    <m/>
    <m/>
    <m/>
    <m/>
    <x v="0"/>
    <x v="0"/>
  </r>
  <r>
    <n v="27806526"/>
    <x v="0"/>
    <x v="200"/>
    <s v="EK 004_2022-07-29T02x35x00"/>
    <s v="A380/8"/>
    <x v="4"/>
    <x v="73"/>
    <x v="4"/>
    <s v="Operational"/>
    <s v="EK 004"/>
    <m/>
    <m/>
    <m/>
    <m/>
    <x v="0"/>
    <x v="0"/>
  </r>
  <r>
    <n v="27806578"/>
    <x v="0"/>
    <x v="201"/>
    <s v="EK 533_2022-07-29T02x50x00"/>
    <s v="B777/2-LR"/>
    <x v="2"/>
    <x v="36"/>
    <x v="4"/>
    <s v="Operational"/>
    <s v="EK 533"/>
    <m/>
    <m/>
    <m/>
    <m/>
    <x v="0"/>
    <x v="0"/>
  </r>
  <r>
    <n v="27806589"/>
    <x v="0"/>
    <x v="202"/>
    <s v="EK 150_2022-07-29T02x30x00"/>
    <s v="B777/3-ER"/>
    <x v="3"/>
    <x v="42"/>
    <x v="2"/>
    <s v="Operational"/>
    <s v="EK 150"/>
    <m/>
    <m/>
    <m/>
    <m/>
    <x v="0"/>
    <x v="0"/>
  </r>
  <r>
    <n v="27806593"/>
    <x v="0"/>
    <x v="203"/>
    <s v="EK 076_2022-07-29T02x35x00"/>
    <s v="A380/8"/>
    <x v="4"/>
    <x v="68"/>
    <x v="2"/>
    <s v="Operational"/>
    <s v="EK 076"/>
    <m/>
    <m/>
    <m/>
    <m/>
    <x v="0"/>
    <x v="0"/>
  </r>
  <r>
    <n v="27806599"/>
    <x v="0"/>
    <x v="204"/>
    <s v="EK 533_2022-07-29T02x50x00"/>
    <s v="B777/2-LR"/>
    <x v="2"/>
    <x v="36"/>
    <x v="2"/>
    <s v="Operational"/>
    <s v="EK 533"/>
    <m/>
    <m/>
    <m/>
    <m/>
    <x v="0"/>
    <x v="0"/>
  </r>
  <r>
    <n v="27806603"/>
    <x v="0"/>
    <x v="205"/>
    <s v="EK 150_2022-07-29T02x30x00"/>
    <s v="B777/3-ER"/>
    <x v="3"/>
    <x v="42"/>
    <x v="0"/>
    <s v="Operational"/>
    <s v="EK 150"/>
    <m/>
    <m/>
    <m/>
    <m/>
    <x v="0"/>
    <x v="0"/>
  </r>
  <r>
    <n v="27806628"/>
    <x v="0"/>
    <x v="206"/>
    <s v="EK 076_2022-07-29T02x35x00"/>
    <s v="A380/8"/>
    <x v="4"/>
    <x v="68"/>
    <x v="0"/>
    <s v="Operational"/>
    <s v="EK 076"/>
    <m/>
    <m/>
    <m/>
    <m/>
    <x v="0"/>
    <x v="0"/>
  </r>
  <r>
    <n v="27816063"/>
    <x v="0"/>
    <x v="207"/>
    <s v="EK 637_2022-07-29T07x20x00"/>
    <s v="B777/3-ER"/>
    <x v="2"/>
    <x v="8"/>
    <x v="3"/>
    <s v="Operational"/>
    <s v="EK 637"/>
    <m/>
    <m/>
    <m/>
    <m/>
    <x v="0"/>
    <x v="0"/>
  </r>
  <r>
    <n v="27816071"/>
    <x v="0"/>
    <x v="208"/>
    <s v="EK 637_2022-07-29T07x20x00"/>
    <s v="B777/3-ER"/>
    <x v="2"/>
    <x v="8"/>
    <x v="4"/>
    <s v="Operational"/>
    <s v="EK 637"/>
    <m/>
    <m/>
    <m/>
    <m/>
    <x v="0"/>
    <x v="0"/>
  </r>
  <r>
    <n v="27816076"/>
    <x v="0"/>
    <x v="209"/>
    <s v="EK 018_2022-07-29T06x20x00"/>
    <s v="A380/8"/>
    <x v="4"/>
    <x v="49"/>
    <x v="2"/>
    <s v="Operational"/>
    <s v="EK 018"/>
    <m/>
    <m/>
    <m/>
    <m/>
    <x v="0"/>
    <x v="0"/>
  </r>
  <r>
    <n v="27806649"/>
    <x v="0"/>
    <x v="210"/>
    <s v="FZ 1942_2022-07-29T02x50x00"/>
    <s v="B737/8-MAX"/>
    <x v="5"/>
    <x v="82"/>
    <x v="3"/>
    <s v="Operational"/>
    <s v="FZ 1942"/>
    <m/>
    <m/>
    <m/>
    <m/>
    <x v="0"/>
    <x v="0"/>
  </r>
  <r>
    <n v="27806653"/>
    <x v="0"/>
    <x v="211"/>
    <s v="EK 533_2022-07-29T02x50x00"/>
    <s v="B777/2-LR"/>
    <x v="2"/>
    <x v="36"/>
    <x v="0"/>
    <s v="Operational"/>
    <s v="EK 533"/>
    <m/>
    <m/>
    <m/>
    <m/>
    <x v="0"/>
    <x v="0"/>
  </r>
  <r>
    <n v="27816099"/>
    <x v="0"/>
    <x v="212"/>
    <s v="FZ 8504_2022-07-29T06x55x00"/>
    <s v="B737/8"/>
    <x v="1"/>
    <x v="83"/>
    <x v="3"/>
    <s v="Operational"/>
    <s v="FZ 8504"/>
    <m/>
    <m/>
    <m/>
    <m/>
    <x v="0"/>
    <x v="0"/>
  </r>
  <r>
    <n v="27816108"/>
    <x v="0"/>
    <x v="213"/>
    <s v="FZ 8504_2022-07-29T06x55x00"/>
    <s v="B737/8"/>
    <x v="1"/>
    <x v="83"/>
    <x v="4"/>
    <s v="Operational"/>
    <s v="FZ 8504"/>
    <m/>
    <m/>
    <m/>
    <m/>
    <x v="0"/>
    <x v="0"/>
  </r>
  <r>
    <n v="27816113"/>
    <x v="0"/>
    <x v="214"/>
    <s v="EK 412_2022-07-29T06x15x00"/>
    <s v="A380/8"/>
    <x v="4"/>
    <x v="68"/>
    <x v="1"/>
    <s v="Operational"/>
    <s v="EK 412"/>
    <m/>
    <m/>
    <m/>
    <m/>
    <x v="0"/>
    <x v="0"/>
  </r>
  <r>
    <n v="27816122"/>
    <x v="0"/>
    <x v="215"/>
    <s v="EK 018_2022-07-29T06x20x00"/>
    <s v="A380/8"/>
    <x v="4"/>
    <x v="49"/>
    <x v="0"/>
    <s v="Operational"/>
    <s v="EK 018"/>
    <m/>
    <m/>
    <m/>
    <m/>
    <x v="0"/>
    <x v="0"/>
  </r>
  <r>
    <n v="27806680"/>
    <x v="0"/>
    <x v="216"/>
    <s v="EK 543_2022-07-29T02x40x00"/>
    <s v="B777/3-ER"/>
    <x v="3"/>
    <x v="84"/>
    <x v="3"/>
    <s v="Operational"/>
    <s v="EK 543"/>
    <m/>
    <m/>
    <m/>
    <m/>
    <x v="0"/>
    <x v="0"/>
  </r>
  <r>
    <n v="27806688"/>
    <x v="0"/>
    <x v="217"/>
    <s v="EK 086_2022-07-29T02x25x00"/>
    <s v="B777/3-ER"/>
    <x v="2"/>
    <x v="54"/>
    <x v="2"/>
    <s v="Operational"/>
    <s v="EK 086"/>
    <m/>
    <m/>
    <m/>
    <m/>
    <x v="0"/>
    <x v="0"/>
  </r>
  <r>
    <n v="27806703"/>
    <x v="0"/>
    <x v="218"/>
    <s v="EK 543_2022-07-29T02x40x00"/>
    <s v="B777/3-ER"/>
    <x v="3"/>
    <x v="84"/>
    <x v="4"/>
    <s v="Operational"/>
    <s v="EK 543"/>
    <m/>
    <m/>
    <m/>
    <m/>
    <x v="0"/>
    <x v="0"/>
  </r>
  <r>
    <n v="27806705"/>
    <x v="0"/>
    <x v="219"/>
    <s v="EK 086_2022-07-29T02x25x00"/>
    <s v="B777/3-ER"/>
    <x v="2"/>
    <x v="54"/>
    <x v="0"/>
    <s v="Operational"/>
    <s v="EK 086"/>
    <m/>
    <m/>
    <m/>
    <m/>
    <x v="0"/>
    <x v="0"/>
  </r>
  <r>
    <n v="27806726"/>
    <x v="0"/>
    <x v="220"/>
    <s v="EK 525_2022-07-29T02x40x00"/>
    <s v="B777/3-ER"/>
    <x v="4"/>
    <x v="70"/>
    <x v="2"/>
    <s v="Operational"/>
    <s v="EK 525"/>
    <m/>
    <m/>
    <m/>
    <m/>
    <x v="0"/>
    <x v="0"/>
  </r>
  <r>
    <n v="27806729"/>
    <x v="0"/>
    <x v="221"/>
    <s v="EK 953_2022-07-29T11x10x00"/>
    <s v="A380/8"/>
    <x v="3"/>
    <x v="85"/>
    <x v="1"/>
    <s v="Operational"/>
    <m/>
    <m/>
    <m/>
    <m/>
    <m/>
    <x v="0"/>
    <x v="0"/>
  </r>
  <r>
    <n v="27816140"/>
    <x v="0"/>
    <x v="222"/>
    <s v="EK 204_2022-07-29T06x40x00"/>
    <s v="A380/8"/>
    <x v="5"/>
    <x v="62"/>
    <x v="4"/>
    <s v="Operational"/>
    <s v="EK 204"/>
    <m/>
    <m/>
    <m/>
    <m/>
    <x v="0"/>
    <x v="0"/>
  </r>
  <r>
    <n v="27816150"/>
    <x v="0"/>
    <x v="223"/>
    <s v="EK 775_2022-07-29T06x15x00"/>
    <s v="B777/3-ER"/>
    <x v="4"/>
    <x v="86"/>
    <x v="1"/>
    <s v="Operational"/>
    <s v="EK 775"/>
    <m/>
    <m/>
    <m/>
    <m/>
    <x v="0"/>
    <x v="0"/>
  </r>
  <r>
    <n v="27806737"/>
    <x v="0"/>
    <x v="224"/>
    <s v="EK 525_2022-07-29T02x40x00"/>
    <s v="B777/3-ER"/>
    <x v="4"/>
    <x v="70"/>
    <x v="0"/>
    <s v="Operational"/>
    <s v="EK 525"/>
    <m/>
    <m/>
    <m/>
    <m/>
    <x v="0"/>
    <x v="0"/>
  </r>
  <r>
    <n v="27816169"/>
    <x v="0"/>
    <x v="225"/>
    <s v="QB 2210_2022-07-29T06x30x00"/>
    <s v="A320"/>
    <x v="1"/>
    <x v="72"/>
    <x v="2"/>
    <s v="Operational"/>
    <s v="QB 2210"/>
    <m/>
    <m/>
    <m/>
    <m/>
    <x v="0"/>
    <x v="0"/>
  </r>
  <r>
    <n v="27816185"/>
    <x v="0"/>
    <x v="226"/>
    <s v="QB 2210_2022-07-29T06x30x00"/>
    <s v="A320"/>
    <x v="1"/>
    <x v="72"/>
    <x v="0"/>
    <s v="Operational"/>
    <s v="QB 2210"/>
    <m/>
    <m/>
    <m/>
    <m/>
    <x v="0"/>
    <x v="0"/>
  </r>
  <r>
    <n v="27816200"/>
    <x v="0"/>
    <x v="227"/>
    <s v="WB 304_2022-07-29T06x00x00"/>
    <s v="B737/8"/>
    <x v="1"/>
    <x v="80"/>
    <x v="2"/>
    <s v="Operational"/>
    <s v="WB 304"/>
    <m/>
    <m/>
    <m/>
    <m/>
    <x v="0"/>
    <x v="0"/>
  </r>
  <r>
    <n v="27806749"/>
    <x v="0"/>
    <x v="228"/>
    <s v="FZ 898_2022-07-29T02x35x00"/>
    <s v="B737/8"/>
    <x v="1"/>
    <x v="87"/>
    <x v="3"/>
    <s v="Operational"/>
    <s v="FZ 898"/>
    <m/>
    <m/>
    <m/>
    <m/>
    <x v="0"/>
    <x v="0"/>
  </r>
  <r>
    <n v="27806752"/>
    <x v="0"/>
    <x v="229"/>
    <s v="SV 591_2022-07-29T02x10x00"/>
    <s v="A320"/>
    <x v="0"/>
    <x v="50"/>
    <x v="1"/>
    <s v="Operational"/>
    <s v="SV 591"/>
    <m/>
    <m/>
    <m/>
    <m/>
    <x v="0"/>
    <x v="0"/>
  </r>
  <r>
    <n v="27816223"/>
    <x v="0"/>
    <x v="230"/>
    <s v="WB 304_2022-07-29T06x00x00"/>
    <s v="B737/8"/>
    <x v="1"/>
    <x v="80"/>
    <x v="0"/>
    <s v="Operational"/>
    <s v="WB 304"/>
    <m/>
    <m/>
    <m/>
    <m/>
    <x v="0"/>
    <x v="0"/>
  </r>
  <r>
    <n v="27816240"/>
    <x v="0"/>
    <x v="231"/>
    <s v="ME 2427_2022-07-29T06x45x00"/>
    <s v="A320"/>
    <x v="0"/>
    <x v="88"/>
    <x v="1"/>
    <s v="Operational"/>
    <s v="ME 2427"/>
    <m/>
    <m/>
    <m/>
    <m/>
    <x v="0"/>
    <x v="0"/>
  </r>
  <r>
    <n v="27817897"/>
    <x v="0"/>
    <x v="232"/>
    <s v="FZ 845_2022-07-29T07x15x00"/>
    <s v="B737/8-MAX"/>
    <x v="5"/>
    <x v="89"/>
    <x v="1"/>
    <s v="Operational"/>
    <s v="FZ 845"/>
    <m/>
    <m/>
    <m/>
    <m/>
    <x v="0"/>
    <x v="0"/>
  </r>
  <r>
    <n v="27816291"/>
    <x v="0"/>
    <x v="233"/>
    <s v="EK 586_2022-07-29T06x30x00"/>
    <s v="B777/3-ER"/>
    <x v="2"/>
    <x v="90"/>
    <x v="1"/>
    <s v="Operational"/>
    <s v="EK 586"/>
    <m/>
    <m/>
    <m/>
    <m/>
    <x v="0"/>
    <x v="0"/>
  </r>
  <r>
    <n v="27816301"/>
    <x v="0"/>
    <x v="234"/>
    <s v="FZ 8196_2022-07-29T06x45x00"/>
    <s v="B737/8"/>
    <x v="5"/>
    <x v="71"/>
    <x v="4"/>
    <s v="Operational"/>
    <s v="FZ 8196"/>
    <m/>
    <m/>
    <m/>
    <m/>
    <x v="0"/>
    <x v="0"/>
  </r>
  <r>
    <n v="27816307"/>
    <x v="0"/>
    <x v="235"/>
    <s v="FZ 8196_2022-07-29T06x45x00"/>
    <s v="B737/8"/>
    <x v="5"/>
    <x v="71"/>
    <x v="2"/>
    <s v="Operational"/>
    <s v="FZ 8196"/>
    <m/>
    <m/>
    <m/>
    <m/>
    <x v="0"/>
    <x v="0"/>
  </r>
  <r>
    <n v="27816313"/>
    <x v="0"/>
    <x v="236"/>
    <s v="6E 022_2022-07-29T06x40x00"/>
    <s v="A320-NEO"/>
    <x v="0"/>
    <x v="91"/>
    <x v="1"/>
    <s v="Operational"/>
    <s v="6E 022"/>
    <m/>
    <m/>
    <m/>
    <m/>
    <x v="0"/>
    <x v="0"/>
  </r>
  <r>
    <n v="27816324"/>
    <x v="0"/>
    <x v="237"/>
    <s v="FZ 8196_2022-07-29T06x45x00"/>
    <s v="B737/8"/>
    <x v="5"/>
    <x v="71"/>
    <x v="0"/>
    <s v="Operational"/>
    <s v="FZ 8196"/>
    <m/>
    <m/>
    <m/>
    <m/>
    <x v="0"/>
    <x v="0"/>
  </r>
  <r>
    <n v="27816341"/>
    <x v="0"/>
    <x v="238"/>
    <s v="RQ 911_2022-07-29T06x45x00"/>
    <s v="B737/3"/>
    <x v="0"/>
    <x v="92"/>
    <x v="3"/>
    <s v="Operational"/>
    <s v="RQ 911"/>
    <m/>
    <m/>
    <m/>
    <m/>
    <x v="0"/>
    <x v="0"/>
  </r>
  <r>
    <n v="27816350"/>
    <x v="0"/>
    <x v="239"/>
    <s v="FX 5033_2022-07-29T07x15x00"/>
    <s v="MD11"/>
    <x v="1"/>
    <x v="93"/>
    <x v="3"/>
    <s v="Operational"/>
    <s v="FX 5033"/>
    <m/>
    <m/>
    <m/>
    <m/>
    <x v="0"/>
    <x v="0"/>
  </r>
  <r>
    <n v="27816359"/>
    <x v="0"/>
    <x v="240"/>
    <s v="FX 5033_2022-07-29T07x15x00"/>
    <s v="MD11"/>
    <x v="1"/>
    <x v="93"/>
    <x v="4"/>
    <s v="Operational"/>
    <s v="FX 5033"/>
    <m/>
    <m/>
    <m/>
    <m/>
    <x v="0"/>
    <x v="0"/>
  </r>
  <r>
    <n v="27816364"/>
    <x v="0"/>
    <x v="241"/>
    <s v="FX 5033_2022-07-29T07x15x00"/>
    <s v="MD11"/>
    <x v="1"/>
    <x v="93"/>
    <x v="15"/>
    <s v="Technical"/>
    <s v="FX 5033"/>
    <m/>
    <m/>
    <m/>
    <m/>
    <x v="0"/>
    <x v="0"/>
  </r>
  <r>
    <n v="27817899"/>
    <x v="0"/>
    <x v="232"/>
    <s v="EK 222_2022-07-29T08x00x00"/>
    <s v="B777/2-LR"/>
    <x v="2"/>
    <x v="36"/>
    <x v="3"/>
    <s v="Operational"/>
    <s v="EK 222"/>
    <m/>
    <m/>
    <m/>
    <m/>
    <x v="0"/>
    <x v="0"/>
  </r>
  <r>
    <n v="27806763"/>
    <x v="0"/>
    <x v="242"/>
    <s v="FZ 898_2022-07-29T02x35x00"/>
    <s v="B737/8"/>
    <x v="1"/>
    <x v="87"/>
    <x v="4"/>
    <s v="Operational"/>
    <s v="FZ 898"/>
    <m/>
    <m/>
    <m/>
    <m/>
    <x v="0"/>
    <x v="0"/>
  </r>
  <r>
    <n v="27816401"/>
    <x v="0"/>
    <x v="243"/>
    <s v="RQ 911_2022-07-29T06x45x00"/>
    <s v="B737/3"/>
    <x v="0"/>
    <x v="92"/>
    <x v="4"/>
    <s v="Operational"/>
    <s v="RQ 911"/>
    <m/>
    <m/>
    <m/>
    <m/>
    <x v="0"/>
    <x v="0"/>
  </r>
  <r>
    <n v="27806771"/>
    <x v="0"/>
    <x v="244"/>
    <s v="EK 004_2022-07-29T02x35x00"/>
    <s v="A380/8"/>
    <x v="4"/>
    <x v="73"/>
    <x v="2"/>
    <s v="Operational"/>
    <s v="EK 004"/>
    <m/>
    <m/>
    <m/>
    <m/>
    <x v="0"/>
    <x v="0"/>
  </r>
  <r>
    <n v="27816448"/>
    <x v="0"/>
    <x v="245"/>
    <m/>
    <m/>
    <x v="3"/>
    <x v="94"/>
    <x v="6"/>
    <s v="Operational"/>
    <m/>
    <m/>
    <m/>
    <m/>
    <m/>
    <x v="0"/>
    <x v="0"/>
  </r>
  <r>
    <n v="27806790"/>
    <x v="0"/>
    <x v="246"/>
    <s v="EK 569_2022-07-29T02x50x00"/>
    <s v="B777/3-ER"/>
    <x v="3"/>
    <x v="94"/>
    <x v="3"/>
    <s v="Operational"/>
    <s v="EK 569"/>
    <m/>
    <m/>
    <m/>
    <m/>
    <x v="0"/>
    <x v="0"/>
  </r>
  <r>
    <n v="27806792"/>
    <x v="0"/>
    <x v="246"/>
    <s v="EK 004_2022-07-29T02x35x00"/>
    <s v="A380/8"/>
    <x v="4"/>
    <x v="73"/>
    <x v="0"/>
    <s v="Operational"/>
    <s v="EK 004"/>
    <m/>
    <m/>
    <m/>
    <m/>
    <x v="0"/>
    <x v="0"/>
  </r>
  <r>
    <n v="27816455"/>
    <x v="0"/>
    <x v="247"/>
    <s v="EK 704_2022-07-29T07x10x00"/>
    <s v="A380/8"/>
    <x v="4"/>
    <x v="65"/>
    <x v="4"/>
    <s v="Operational"/>
    <s v="EK 704"/>
    <m/>
    <m/>
    <m/>
    <m/>
    <x v="0"/>
    <x v="0"/>
  </r>
  <r>
    <n v="27816468"/>
    <x v="0"/>
    <x v="248"/>
    <s v="SV 563_2022-07-29T06x40x00"/>
    <s v="A320"/>
    <x v="0"/>
    <x v="63"/>
    <x v="1"/>
    <s v="Operational"/>
    <s v="SV 563"/>
    <m/>
    <m/>
    <m/>
    <m/>
    <x v="0"/>
    <x v="0"/>
  </r>
  <r>
    <n v="27816498"/>
    <x v="0"/>
    <x v="249"/>
    <s v="EK 2551_2022-07-29T07x45x00"/>
    <s v="A380/8"/>
    <x v="5"/>
    <x v="95"/>
    <x v="3"/>
    <s v="Operational"/>
    <s v="EK 2551"/>
    <m/>
    <m/>
    <m/>
    <m/>
    <x v="0"/>
    <x v="0"/>
  </r>
  <r>
    <n v="27817908"/>
    <x v="0"/>
    <x v="250"/>
    <s v="EK 828_2022-07-29T07x40x00"/>
    <s v="B777/3-ER"/>
    <x v="2"/>
    <x v="21"/>
    <x v="0"/>
    <s v="Operational"/>
    <s v="EK 828"/>
    <m/>
    <m/>
    <m/>
    <m/>
    <x v="0"/>
    <x v="0"/>
  </r>
  <r>
    <n v="27816508"/>
    <x v="0"/>
    <x v="251"/>
    <s v="IX 435_2022-07-29T07x20x00"/>
    <s v="B737/8"/>
    <x v="1"/>
    <x v="96"/>
    <x v="3"/>
    <s v="Operational"/>
    <s v="IX 435"/>
    <m/>
    <m/>
    <m/>
    <m/>
    <x v="0"/>
    <x v="0"/>
  </r>
  <r>
    <n v="27816514"/>
    <x v="0"/>
    <x v="252"/>
    <s v="EK 785_2022-07-29T06x50x00"/>
    <s v="B777/3-ER"/>
    <x v="4"/>
    <x v="97"/>
    <x v="1"/>
    <s v="Operational"/>
    <s v="EK 785"/>
    <m/>
    <m/>
    <m/>
    <m/>
    <x v="0"/>
    <x v="0"/>
  </r>
  <r>
    <n v="27806811"/>
    <x v="0"/>
    <x v="253"/>
    <s v="FZ 174_2022-07-29T02x45x00"/>
    <s v="B737/8"/>
    <x v="5"/>
    <x v="98"/>
    <x v="3"/>
    <s v="Operational"/>
    <s v="FZ 174"/>
    <m/>
    <m/>
    <m/>
    <m/>
    <x v="0"/>
    <x v="0"/>
  </r>
  <r>
    <n v="27816529"/>
    <x v="0"/>
    <x v="254"/>
    <s v="SV 566_2022-07-29T06x45x00"/>
    <s v="A320"/>
    <x v="0"/>
    <x v="3"/>
    <x v="3"/>
    <s v="Operational"/>
    <s v="SV 566"/>
    <m/>
    <m/>
    <m/>
    <m/>
    <x v="0"/>
    <x v="0"/>
  </r>
  <r>
    <n v="27816534"/>
    <x v="0"/>
    <x v="255"/>
    <s v="FZ 8504_2022-07-29T06x55x00"/>
    <s v="B737/8"/>
    <x v="1"/>
    <x v="83"/>
    <x v="2"/>
    <s v="Operational"/>
    <s v="FZ 8504"/>
    <m/>
    <m/>
    <m/>
    <m/>
    <x v="0"/>
    <x v="0"/>
  </r>
  <r>
    <n v="27816543"/>
    <x v="0"/>
    <x v="256"/>
    <s v="FZ 8504_2022-07-29T06x55x00"/>
    <s v="B737/8"/>
    <x v="1"/>
    <x v="83"/>
    <x v="0"/>
    <s v="Operational"/>
    <s v="FZ 8504"/>
    <m/>
    <m/>
    <m/>
    <m/>
    <x v="0"/>
    <x v="0"/>
  </r>
  <r>
    <n v="27816560"/>
    <x v="0"/>
    <x v="257"/>
    <s v="HY 333_2022-07-29T07x00x00"/>
    <s v="A320-NEO"/>
    <x v="0"/>
    <x v="9"/>
    <x v="3"/>
    <s v="Operational"/>
    <s v="HY 333"/>
    <m/>
    <m/>
    <m/>
    <m/>
    <x v="0"/>
    <x v="0"/>
  </r>
  <r>
    <n v="27816564"/>
    <x v="0"/>
    <x v="258"/>
    <s v="PK 222_2022-07-29T06x45x00"/>
    <s v="A320"/>
    <x v="0"/>
    <x v="12"/>
    <x v="1"/>
    <s v="Operational"/>
    <s v="PK 222"/>
    <m/>
    <m/>
    <m/>
    <m/>
    <x v="0"/>
    <x v="0"/>
  </r>
  <r>
    <n v="27816580"/>
    <x v="0"/>
    <x v="259"/>
    <s v="EK 704_2022-07-29T07x10x00"/>
    <s v="A380/8"/>
    <x v="4"/>
    <x v="65"/>
    <x v="2"/>
    <s v="Operational"/>
    <s v="EK 704"/>
    <m/>
    <m/>
    <m/>
    <m/>
    <x v="0"/>
    <x v="0"/>
  </r>
  <r>
    <n v="27806840"/>
    <x v="0"/>
    <x v="260"/>
    <s v="FZ 1942_2022-07-29T02x50x00"/>
    <s v="B737/8-MAX"/>
    <x v="5"/>
    <x v="82"/>
    <x v="4"/>
    <s v="Operational"/>
    <s v="FZ 1942"/>
    <m/>
    <m/>
    <m/>
    <m/>
    <x v="0"/>
    <x v="0"/>
  </r>
  <r>
    <n v="27806843"/>
    <x v="0"/>
    <x v="260"/>
    <s v="EK 413_2022-07-29T03x00x00"/>
    <s v="A380/8"/>
    <x v="5"/>
    <x v="32"/>
    <x v="3"/>
    <s v="Operational"/>
    <s v="EK 413"/>
    <m/>
    <m/>
    <m/>
    <m/>
    <x v="0"/>
    <x v="0"/>
  </r>
  <r>
    <n v="27816583"/>
    <x v="0"/>
    <x v="261"/>
    <s v="IX 435_2022-07-29T07x20x00"/>
    <s v="B737/8"/>
    <x v="1"/>
    <x v="96"/>
    <x v="4"/>
    <s v="Operational"/>
    <s v="IX 435"/>
    <m/>
    <m/>
    <m/>
    <m/>
    <x v="0"/>
    <x v="0"/>
  </r>
  <r>
    <n v="27816595"/>
    <x v="0"/>
    <x v="262"/>
    <s v="EK 637_2022-07-29T07x20x00"/>
    <s v="B777/3-ER"/>
    <x v="2"/>
    <x v="8"/>
    <x v="2"/>
    <s v="Operational"/>
    <s v="EK 637"/>
    <m/>
    <m/>
    <m/>
    <m/>
    <x v="0"/>
    <x v="0"/>
  </r>
  <r>
    <n v="27806852"/>
    <x v="0"/>
    <x v="263"/>
    <s v="FZ 898_2022-07-29T02x35x00"/>
    <s v="B737/8"/>
    <x v="1"/>
    <x v="87"/>
    <x v="2"/>
    <s v="Operational"/>
    <s v="FZ 898"/>
    <m/>
    <m/>
    <m/>
    <m/>
    <x v="0"/>
    <x v="0"/>
  </r>
  <r>
    <n v="27806863"/>
    <x v="0"/>
    <x v="264"/>
    <s v="FZ 898_2022-07-29T02x35x00"/>
    <s v="B737/8"/>
    <x v="1"/>
    <x v="87"/>
    <x v="0"/>
    <s v="Operational"/>
    <s v="FZ 898"/>
    <m/>
    <m/>
    <m/>
    <m/>
    <x v="0"/>
    <x v="0"/>
  </r>
  <r>
    <n v="27816596"/>
    <x v="0"/>
    <x v="265"/>
    <s v="FX 5033_2022-07-29T07x15x00"/>
    <s v="MD11"/>
    <x v="1"/>
    <x v="93"/>
    <x v="16"/>
    <s v="Technical"/>
    <s v="FX 5033"/>
    <m/>
    <m/>
    <m/>
    <m/>
    <x v="0"/>
    <x v="0"/>
  </r>
  <r>
    <n v="27802424"/>
    <x v="0"/>
    <x v="266"/>
    <m/>
    <m/>
    <x v="6"/>
    <x v="99"/>
    <x v="7"/>
    <s v="Operational"/>
    <m/>
    <m/>
    <m/>
    <m/>
    <m/>
    <x v="0"/>
    <x v="0"/>
  </r>
  <r>
    <n v="27802439"/>
    <x v="0"/>
    <x v="267"/>
    <s v="GF 500_2022-07-29T00x15x00"/>
    <s v="A320"/>
    <x v="0"/>
    <x v="9"/>
    <x v="10"/>
    <s v="Operational"/>
    <s v="GF 500"/>
    <m/>
    <m/>
    <m/>
    <m/>
    <x v="0"/>
    <x v="0"/>
  </r>
  <r>
    <n v="27802440"/>
    <x v="0"/>
    <x v="268"/>
    <s v="GF 500_2022-07-29T00x15x00"/>
    <s v="A320"/>
    <x v="0"/>
    <x v="9"/>
    <x v="11"/>
    <s v="Operational"/>
    <s v="GF 500"/>
    <m/>
    <m/>
    <m/>
    <m/>
    <x v="0"/>
    <x v="0"/>
  </r>
  <r>
    <n v="27802445"/>
    <x v="0"/>
    <x v="269"/>
    <s v="EK 152_2022-07-29T02x55x00"/>
    <s v="B777/3-ER"/>
    <x v="2"/>
    <x v="10"/>
    <x v="0"/>
    <s v="Operational"/>
    <m/>
    <m/>
    <m/>
    <m/>
    <m/>
    <x v="0"/>
    <x v="0"/>
  </r>
  <r>
    <n v="27816609"/>
    <x v="0"/>
    <x v="270"/>
    <s v="FX 5033_2022-07-29T07x15x00"/>
    <s v="MD11"/>
    <x v="1"/>
    <x v="93"/>
    <x v="3"/>
    <s v="Operational"/>
    <s v="FX 5033"/>
    <m/>
    <m/>
    <m/>
    <m/>
    <x v="0"/>
    <x v="0"/>
  </r>
  <r>
    <n v="27802458"/>
    <x v="0"/>
    <x v="271"/>
    <s v="EK 449_2022-07-29T00x30x00"/>
    <s v="B777/3-ER"/>
    <x v="3"/>
    <x v="59"/>
    <x v="3"/>
    <s v="Operational"/>
    <s v="EK 449"/>
    <m/>
    <m/>
    <m/>
    <m/>
    <x v="0"/>
    <x v="0"/>
  </r>
  <r>
    <n v="27802481"/>
    <x v="0"/>
    <x v="272"/>
    <s v="EK 385_2022-07-29T00x45x00"/>
    <s v="B777/3-ER"/>
    <x v="3"/>
    <x v="84"/>
    <x v="3"/>
    <s v="Operational"/>
    <s v="EK 385"/>
    <m/>
    <m/>
    <m/>
    <m/>
    <x v="0"/>
    <x v="0"/>
  </r>
  <r>
    <n v="27802493"/>
    <x v="0"/>
    <x v="273"/>
    <s v="EK 353_2022-07-29T00x15x00"/>
    <s v="B777/3-ER"/>
    <x v="3"/>
    <x v="26"/>
    <x v="3"/>
    <s v="Operational"/>
    <s v="EK 353"/>
    <m/>
    <m/>
    <m/>
    <m/>
    <x v="0"/>
    <x v="0"/>
  </r>
  <r>
    <n v="27802506"/>
    <x v="0"/>
    <x v="274"/>
    <s v="EK 241_2022-07-28T23x30x00"/>
    <s v="A380/8"/>
    <x v="3"/>
    <x v="45"/>
    <x v="1"/>
    <s v="Operational"/>
    <s v="EK 241"/>
    <m/>
    <m/>
    <m/>
    <m/>
    <x v="0"/>
    <x v="0"/>
  </r>
  <r>
    <n v="27802513"/>
    <x v="0"/>
    <x v="275"/>
    <s v="EK 385_2022-07-29T00x45x00"/>
    <s v="B777/3-ER"/>
    <x v="3"/>
    <x v="84"/>
    <x v="4"/>
    <s v="Operational"/>
    <s v="EK 385"/>
    <m/>
    <m/>
    <m/>
    <m/>
    <x v="0"/>
    <x v="0"/>
  </r>
  <r>
    <n v="27802516"/>
    <x v="0"/>
    <x v="276"/>
    <s v="EK 449_2022-07-29T00x30x00"/>
    <s v="B777/3-ER"/>
    <x v="3"/>
    <x v="59"/>
    <x v="4"/>
    <s v="Operational"/>
    <s v="EK 449"/>
    <m/>
    <m/>
    <m/>
    <m/>
    <x v="0"/>
    <x v="0"/>
  </r>
  <r>
    <n v="27816618"/>
    <x v="0"/>
    <x v="277"/>
    <s v="FX 5033_2022-07-29T07x15x00"/>
    <s v="MD11"/>
    <x v="1"/>
    <x v="93"/>
    <x v="4"/>
    <s v="Operational"/>
    <s v="FX 5033"/>
    <m/>
    <m/>
    <m/>
    <m/>
    <x v="0"/>
    <x v="0"/>
  </r>
  <r>
    <n v="27802521"/>
    <x v="0"/>
    <x v="278"/>
    <s v="EK 353_2022-07-29T00x15x00"/>
    <s v="B777/3-ER"/>
    <x v="3"/>
    <x v="26"/>
    <x v="4"/>
    <s v="Operational"/>
    <s v="EK 353"/>
    <m/>
    <m/>
    <m/>
    <m/>
    <x v="0"/>
    <x v="0"/>
  </r>
  <r>
    <n v="27802530"/>
    <x v="0"/>
    <x v="279"/>
    <s v="EK 585_2022-07-29T00x30x00"/>
    <s v="B777/3-ER"/>
    <x v="2"/>
    <x v="100"/>
    <x v="3"/>
    <s v="Operational"/>
    <s v="EK 585"/>
    <m/>
    <m/>
    <m/>
    <m/>
    <x v="0"/>
    <x v="0"/>
  </r>
  <r>
    <n v="27802540"/>
    <x v="0"/>
    <x v="280"/>
    <s v="FZ 030_2022-07-29T00x05x00"/>
    <s v="B737/8"/>
    <x v="1"/>
    <x v="101"/>
    <x v="2"/>
    <s v="Operational"/>
    <s v="FZ 030"/>
    <m/>
    <m/>
    <m/>
    <m/>
    <x v="0"/>
    <x v="0"/>
  </r>
  <r>
    <n v="27802550"/>
    <x v="0"/>
    <x v="281"/>
    <s v="EK 708_2022-07-29T00x20x00"/>
    <s v="B777/3-ER"/>
    <x v="3"/>
    <x v="30"/>
    <x v="2"/>
    <s v="Operational"/>
    <m/>
    <m/>
    <m/>
    <m/>
    <m/>
    <x v="0"/>
    <x v="0"/>
  </r>
  <r>
    <n v="27802556"/>
    <x v="0"/>
    <x v="282"/>
    <s v="FZ 030_2022-07-29T00x05x00"/>
    <s v="B737/8"/>
    <x v="1"/>
    <x v="101"/>
    <x v="0"/>
    <s v="Operational"/>
    <s v="FZ 030"/>
    <m/>
    <m/>
    <m/>
    <m/>
    <x v="0"/>
    <x v="0"/>
  </r>
  <r>
    <n v="27802571"/>
    <x v="0"/>
    <x v="283"/>
    <s v="EK 708_2022-07-29T00x20x00"/>
    <s v="B777/3-ER"/>
    <x v="3"/>
    <x v="30"/>
    <x v="0"/>
    <s v="Operational"/>
    <m/>
    <m/>
    <m/>
    <m/>
    <m/>
    <x v="0"/>
    <x v="0"/>
  </r>
  <r>
    <n v="27802599"/>
    <x v="0"/>
    <x v="284"/>
    <s v="EK 449_2022-07-29T00x30x00"/>
    <s v="B777/3-ER"/>
    <x v="3"/>
    <x v="59"/>
    <x v="2"/>
    <s v="Operational"/>
    <s v="EK 449"/>
    <m/>
    <m/>
    <m/>
    <m/>
    <x v="0"/>
    <x v="0"/>
  </r>
  <r>
    <n v="27806879"/>
    <x v="0"/>
    <x v="285"/>
    <s v="EK 523_2022-07-29T03x05x00"/>
    <s v="B777/3-ER"/>
    <x v="6"/>
    <x v="60"/>
    <x v="3"/>
    <s v="Operational"/>
    <s v="EK 523"/>
    <m/>
    <m/>
    <m/>
    <m/>
    <x v="0"/>
    <x v="0"/>
  </r>
  <r>
    <n v="27802611"/>
    <x v="0"/>
    <x v="286"/>
    <s v="EK 449_2022-07-29T00x30x00"/>
    <s v="B777/3-ER"/>
    <x v="3"/>
    <x v="59"/>
    <x v="0"/>
    <s v="Operational"/>
    <s v="EK 449"/>
    <m/>
    <m/>
    <m/>
    <m/>
    <x v="0"/>
    <x v="0"/>
  </r>
  <r>
    <n v="27802629"/>
    <x v="0"/>
    <x v="287"/>
    <s v="EK 071_2022-07-29T00x05x00"/>
    <s v="B777/3-ER"/>
    <x v="3"/>
    <x v="19"/>
    <x v="1"/>
    <s v="Operational"/>
    <s v="EK 071"/>
    <m/>
    <m/>
    <m/>
    <m/>
    <x v="0"/>
    <x v="0"/>
  </r>
  <r>
    <n v="27816621"/>
    <x v="0"/>
    <x v="288"/>
    <s v="FX 5033_2022-07-29T07x15x00"/>
    <s v="MD11"/>
    <x v="1"/>
    <x v="93"/>
    <x v="15"/>
    <s v="Technical"/>
    <s v="FX 5033"/>
    <m/>
    <m/>
    <m/>
    <m/>
    <x v="0"/>
    <x v="0"/>
  </r>
  <r>
    <n v="27802645"/>
    <x v="0"/>
    <x v="289"/>
    <m/>
    <m/>
    <x v="1"/>
    <x v="96"/>
    <x v="13"/>
    <s v="Operational"/>
    <m/>
    <m/>
    <m/>
    <m/>
    <m/>
    <x v="0"/>
    <x v="0"/>
  </r>
  <r>
    <n v="27802648"/>
    <x v="0"/>
    <x v="290"/>
    <s v="EK 585_2022-07-29T00x30x00"/>
    <s v="B777/3-ER"/>
    <x v="2"/>
    <x v="100"/>
    <x v="4"/>
    <s v="Operational"/>
    <s v="EK 585"/>
    <m/>
    <m/>
    <m/>
    <m/>
    <x v="0"/>
    <x v="0"/>
  </r>
  <r>
    <n v="27802659"/>
    <x v="0"/>
    <x v="291"/>
    <m/>
    <m/>
    <x v="1"/>
    <x v="96"/>
    <x v="14"/>
    <s v="Operational"/>
    <m/>
    <m/>
    <m/>
    <m/>
    <m/>
    <x v="0"/>
    <x v="0"/>
  </r>
  <r>
    <n v="27802663"/>
    <x v="0"/>
    <x v="292"/>
    <m/>
    <m/>
    <x v="1"/>
    <x v="96"/>
    <x v="13"/>
    <s v="Operational"/>
    <m/>
    <m/>
    <m/>
    <m/>
    <m/>
    <x v="0"/>
    <x v="0"/>
  </r>
  <r>
    <n v="27802680"/>
    <x v="0"/>
    <x v="293"/>
    <s v="GF 500_2022-07-29T00x15x00"/>
    <s v="A320"/>
    <x v="0"/>
    <x v="9"/>
    <x v="2"/>
    <s v="Operational"/>
    <s v="GF 500"/>
    <m/>
    <m/>
    <m/>
    <m/>
    <x v="0"/>
    <x v="0"/>
  </r>
  <r>
    <n v="27802685"/>
    <x v="0"/>
    <x v="294"/>
    <s v="EK 261_2022-07-29T05x05x00"/>
    <s v="A380/8"/>
    <x v="4"/>
    <x v="65"/>
    <x v="2"/>
    <s v="Operational"/>
    <s v="EK 261"/>
    <m/>
    <m/>
    <m/>
    <m/>
    <x v="0"/>
    <x v="0"/>
  </r>
  <r>
    <n v="27802687"/>
    <x v="0"/>
    <x v="295"/>
    <m/>
    <m/>
    <x v="1"/>
    <x v="96"/>
    <x v="14"/>
    <s v="Operational"/>
    <m/>
    <m/>
    <m/>
    <m/>
    <m/>
    <x v="0"/>
    <x v="0"/>
  </r>
  <r>
    <n v="27802690"/>
    <x v="0"/>
    <x v="295"/>
    <s v="EK 624_2022-07-29T00x00x00"/>
    <s v="B777/3-ER"/>
    <x v="3"/>
    <x v="42"/>
    <x v="1"/>
    <s v="Operational"/>
    <s v="EK 624"/>
    <m/>
    <m/>
    <m/>
    <m/>
    <x v="0"/>
    <x v="0"/>
  </r>
  <r>
    <n v="27802700"/>
    <x v="0"/>
    <x v="296"/>
    <s v="GF 500_2022-07-29T00x15x00"/>
    <s v="A320"/>
    <x v="0"/>
    <x v="9"/>
    <x v="0"/>
    <s v="Operational"/>
    <s v="GF 500"/>
    <m/>
    <m/>
    <m/>
    <m/>
    <x v="0"/>
    <x v="0"/>
  </r>
  <r>
    <n v="27802711"/>
    <x v="0"/>
    <x v="297"/>
    <m/>
    <m/>
    <x v="1"/>
    <x v="96"/>
    <x v="6"/>
    <s v="Operational"/>
    <m/>
    <m/>
    <m/>
    <m/>
    <m/>
    <x v="0"/>
    <x v="0"/>
  </r>
  <r>
    <n v="27802716"/>
    <x v="0"/>
    <x v="298"/>
    <s v="FZ 831_2022-07-29T04x15x00"/>
    <s v="MD83"/>
    <x v="1"/>
    <x v="96"/>
    <x v="15"/>
    <s v="Technical"/>
    <m/>
    <m/>
    <m/>
    <m/>
    <m/>
    <x v="0"/>
    <x v="0"/>
  </r>
  <r>
    <n v="27816625"/>
    <x v="0"/>
    <x v="299"/>
    <s v="EK 704_2022-07-29T07x10x00"/>
    <s v="A380/8"/>
    <x v="4"/>
    <x v="65"/>
    <x v="0"/>
    <s v="Operational"/>
    <s v="EK 704"/>
    <m/>
    <m/>
    <m/>
    <m/>
    <x v="0"/>
    <x v="0"/>
  </r>
  <r>
    <n v="27802721"/>
    <x v="0"/>
    <x v="300"/>
    <s v="FZ 831_2022-07-29T04x15x00"/>
    <s v="MD83"/>
    <x v="1"/>
    <x v="96"/>
    <x v="17"/>
    <s v="Technical"/>
    <m/>
    <m/>
    <m/>
    <m/>
    <m/>
    <x v="0"/>
    <x v="0"/>
  </r>
  <r>
    <n v="27802726"/>
    <x v="0"/>
    <x v="301"/>
    <s v="FZ 831_2022-07-29T04x15x00"/>
    <s v="MD83"/>
    <x v="1"/>
    <x v="96"/>
    <x v="22"/>
    <s v="Operational"/>
    <m/>
    <m/>
    <m/>
    <m/>
    <m/>
    <x v="0"/>
    <x v="0"/>
  </r>
  <r>
    <n v="27802731"/>
    <x v="0"/>
    <x v="302"/>
    <s v="SV 599_2022-07-29T00x20x00"/>
    <s v="A320"/>
    <x v="0"/>
    <x v="12"/>
    <x v="1"/>
    <s v="Operational"/>
    <s v="SV 599"/>
    <m/>
    <m/>
    <m/>
    <m/>
    <x v="0"/>
    <x v="0"/>
  </r>
  <r>
    <n v="27802738"/>
    <x v="0"/>
    <x v="303"/>
    <s v="EK 261_2022-07-29T05x05x00"/>
    <s v="A380/8"/>
    <x v="4"/>
    <x v="65"/>
    <x v="0"/>
    <s v="Operational"/>
    <s v="EK 261"/>
    <m/>
    <m/>
    <m/>
    <m/>
    <x v="0"/>
    <x v="0"/>
  </r>
  <r>
    <n v="27802749"/>
    <x v="0"/>
    <x v="304"/>
    <s v="FZ 831_2022-07-29T04x15x00"/>
    <s v="MD83"/>
    <x v="1"/>
    <x v="96"/>
    <x v="5"/>
    <s v="Operational"/>
    <m/>
    <m/>
    <m/>
    <m/>
    <m/>
    <x v="0"/>
    <x v="0"/>
  </r>
  <r>
    <n v="27802758"/>
    <x v="0"/>
    <x v="305"/>
    <s v="EK 317_2022-07-29T00x50x00"/>
    <s v="B777/3-ER"/>
    <x v="3"/>
    <x v="102"/>
    <x v="3"/>
    <s v="Operational"/>
    <s v="EK 317"/>
    <m/>
    <m/>
    <m/>
    <m/>
    <x v="0"/>
    <x v="0"/>
  </r>
  <r>
    <n v="27802777"/>
    <x v="0"/>
    <x v="306"/>
    <s v="KU 677_2022-07-29T00x35x00"/>
    <s v="A320-NEO"/>
    <x v="0"/>
    <x v="40"/>
    <x v="3"/>
    <s v="Operational"/>
    <s v="KU 677"/>
    <m/>
    <m/>
    <m/>
    <m/>
    <x v="0"/>
    <x v="0"/>
  </r>
  <r>
    <n v="27806886"/>
    <x v="0"/>
    <x v="307"/>
    <s v="EK 569_2022-07-29T02x50x00"/>
    <s v="B777/3-ER"/>
    <x v="3"/>
    <x v="94"/>
    <x v="4"/>
    <s v="Operational"/>
    <s v="EK 569"/>
    <m/>
    <m/>
    <m/>
    <m/>
    <x v="0"/>
    <x v="0"/>
  </r>
  <r>
    <n v="27802792"/>
    <x v="0"/>
    <x v="308"/>
    <s v="EK 317_2022-07-29T00x50x00"/>
    <s v="B777/3-ER"/>
    <x v="3"/>
    <x v="102"/>
    <x v="4"/>
    <s v="Operational"/>
    <s v="EK 317"/>
    <m/>
    <m/>
    <m/>
    <m/>
    <x v="0"/>
    <x v="0"/>
  </r>
  <r>
    <n v="27802795"/>
    <x v="0"/>
    <x v="309"/>
    <s v="EK 385_2022-07-29T00x45x00"/>
    <s v="B777/3-ER"/>
    <x v="3"/>
    <x v="84"/>
    <x v="2"/>
    <s v="Operational"/>
    <s v="EK 385"/>
    <m/>
    <m/>
    <m/>
    <m/>
    <x v="0"/>
    <x v="0"/>
  </r>
  <r>
    <n v="27802802"/>
    <x v="0"/>
    <x v="310"/>
    <s v="EK 118_2022-07-29T00x50x00"/>
    <s v="B777/3-ER"/>
    <x v="4"/>
    <x v="103"/>
    <x v="3"/>
    <s v="Operational"/>
    <s v="EK 118"/>
    <m/>
    <m/>
    <m/>
    <m/>
    <x v="0"/>
    <x v="0"/>
  </r>
  <r>
    <n v="27802821"/>
    <x v="0"/>
    <x v="311"/>
    <s v="EK 385_2022-07-29T00x45x00"/>
    <s v="B777/3-ER"/>
    <x v="3"/>
    <x v="84"/>
    <x v="0"/>
    <s v="Operational"/>
    <s v="EK 385"/>
    <m/>
    <m/>
    <m/>
    <m/>
    <x v="0"/>
    <x v="0"/>
  </r>
  <r>
    <n v="27802848"/>
    <x v="0"/>
    <x v="312"/>
    <s v="MS 910_2022-07-28T23x55x00"/>
    <s v="A330/3"/>
    <x v="0"/>
    <x v="88"/>
    <x v="3"/>
    <s v="Operational"/>
    <s v="MS 910"/>
    <m/>
    <m/>
    <m/>
    <m/>
    <x v="0"/>
    <x v="0"/>
  </r>
  <r>
    <n v="27802858"/>
    <x v="0"/>
    <x v="313"/>
    <s v="EK 781_2022-07-29T00x00x00"/>
    <s v="B777/3-ER"/>
    <x v="3"/>
    <x v="104"/>
    <x v="1"/>
    <s v="Operational"/>
    <s v="EK 781"/>
    <m/>
    <m/>
    <m/>
    <m/>
    <x v="0"/>
    <x v="0"/>
  </r>
  <r>
    <n v="27802889"/>
    <x v="0"/>
    <x v="314"/>
    <s v="EK 585_2022-07-29T00x30x00"/>
    <s v="B777/3-ER"/>
    <x v="2"/>
    <x v="100"/>
    <x v="2"/>
    <s v="Operational"/>
    <s v="EK 585"/>
    <m/>
    <m/>
    <m/>
    <m/>
    <x v="0"/>
    <x v="0"/>
  </r>
  <r>
    <n v="27802892"/>
    <x v="0"/>
    <x v="315"/>
    <s v="MS 910_2022-07-28T23x55x00"/>
    <s v="A330/3"/>
    <x v="0"/>
    <x v="88"/>
    <x v="4"/>
    <s v="Operational"/>
    <s v="MS 910"/>
    <m/>
    <m/>
    <m/>
    <m/>
    <x v="0"/>
    <x v="0"/>
  </r>
  <r>
    <n v="27802902"/>
    <x v="0"/>
    <x v="316"/>
    <s v="EK 585_2022-07-29T00x30x00"/>
    <s v="B777/3-ER"/>
    <x v="2"/>
    <x v="100"/>
    <x v="0"/>
    <s v="Operational"/>
    <s v="EK 585"/>
    <m/>
    <m/>
    <m/>
    <m/>
    <x v="0"/>
    <x v="0"/>
  </r>
  <r>
    <n v="27802915"/>
    <x v="0"/>
    <x v="317"/>
    <s v="EK 658_2022-07-29T00x20x00"/>
    <s v="B777/3-ER"/>
    <x v="2"/>
    <x v="105"/>
    <x v="1"/>
    <s v="Operational"/>
    <s v="EK 658"/>
    <m/>
    <m/>
    <m/>
    <m/>
    <x v="0"/>
    <x v="0"/>
  </r>
  <r>
    <n v="27802934"/>
    <x v="0"/>
    <x v="318"/>
    <s v="EK 704_2022-07-29T00x25x00"/>
    <s v="A380/8"/>
    <x v="3"/>
    <x v="106"/>
    <x v="3"/>
    <s v="Operational"/>
    <s v="EK 704"/>
    <m/>
    <m/>
    <m/>
    <m/>
    <x v="0"/>
    <x v="0"/>
  </r>
  <r>
    <n v="27802936"/>
    <x v="0"/>
    <x v="319"/>
    <s v="KU 677_2022-07-29T00x35x00"/>
    <s v="A320-NEO"/>
    <x v="0"/>
    <x v="40"/>
    <x v="4"/>
    <s v="Operational"/>
    <s v="KU 677"/>
    <m/>
    <m/>
    <m/>
    <m/>
    <x v="0"/>
    <x v="0"/>
  </r>
  <r>
    <n v="27802941"/>
    <x v="0"/>
    <x v="320"/>
    <s v="EK 118_2022-07-29T00x50x00"/>
    <s v="B777/3-ER"/>
    <x v="4"/>
    <x v="103"/>
    <x v="4"/>
    <s v="Operational"/>
    <s v="EK 118"/>
    <m/>
    <m/>
    <m/>
    <m/>
    <x v="0"/>
    <x v="0"/>
  </r>
  <r>
    <n v="27802959"/>
    <x v="0"/>
    <x v="321"/>
    <s v="EK 317_2022-07-29T00x50x00"/>
    <s v="B777/3-ER"/>
    <x v="3"/>
    <x v="102"/>
    <x v="2"/>
    <s v="Operational"/>
    <s v="EK 317"/>
    <m/>
    <m/>
    <m/>
    <m/>
    <x v="0"/>
    <x v="0"/>
  </r>
  <r>
    <n v="27802971"/>
    <x v="0"/>
    <x v="322"/>
    <s v="EK 317_2022-07-29T00x50x00"/>
    <s v="B777/3-ER"/>
    <x v="3"/>
    <x v="102"/>
    <x v="0"/>
    <s v="Operational"/>
    <s v="EK 317"/>
    <m/>
    <m/>
    <m/>
    <m/>
    <x v="0"/>
    <x v="0"/>
  </r>
  <r>
    <n v="27802982"/>
    <x v="0"/>
    <x v="323"/>
    <s v="EK 395_2022-07-29T01x05x00"/>
    <s v="B777/3-ER"/>
    <x v="3"/>
    <x v="104"/>
    <x v="3"/>
    <s v="Operational"/>
    <s v="EK 395"/>
    <m/>
    <m/>
    <m/>
    <m/>
    <x v="0"/>
    <x v="0"/>
  </r>
  <r>
    <n v="27802986"/>
    <x v="0"/>
    <x v="324"/>
    <s v="EK 704_2022-07-29T00x25x00"/>
    <s v="A380/8"/>
    <x v="3"/>
    <x v="106"/>
    <x v="4"/>
    <s v="Operational"/>
    <s v="EK 704"/>
    <m/>
    <m/>
    <m/>
    <m/>
    <x v="0"/>
    <x v="0"/>
  </r>
  <r>
    <n v="27802991"/>
    <x v="0"/>
    <x v="325"/>
    <s v="EK 704_2022-07-29T00x25x00"/>
    <s v="A380/8"/>
    <x v="3"/>
    <x v="106"/>
    <x v="15"/>
    <s v="Technical"/>
    <s v="EK 704"/>
    <m/>
    <m/>
    <m/>
    <m/>
    <x v="0"/>
    <x v="0"/>
  </r>
  <r>
    <n v="27802996"/>
    <x v="0"/>
    <x v="326"/>
    <s v="EK 353_2022-07-29T00x15x00"/>
    <s v="B777/3-ER"/>
    <x v="3"/>
    <x v="26"/>
    <x v="2"/>
    <s v="Operational"/>
    <s v="EK 353"/>
    <m/>
    <m/>
    <m/>
    <m/>
    <x v="0"/>
    <x v="0"/>
  </r>
  <r>
    <n v="27803008"/>
    <x v="0"/>
    <x v="327"/>
    <s v="EK 356_2022-07-29T00x10x00"/>
    <s v="B777/3-ER"/>
    <x v="3"/>
    <x v="78"/>
    <x v="1"/>
    <s v="Operational"/>
    <s v="EK 356"/>
    <m/>
    <m/>
    <m/>
    <m/>
    <x v="0"/>
    <x v="0"/>
  </r>
  <r>
    <n v="27803018"/>
    <x v="0"/>
    <x v="328"/>
    <s v="EK 353_2022-07-29T00x15x00"/>
    <s v="B777/3-ER"/>
    <x v="3"/>
    <x v="26"/>
    <x v="0"/>
    <s v="Operational"/>
    <s v="EK 353"/>
    <m/>
    <m/>
    <m/>
    <m/>
    <x v="0"/>
    <x v="0"/>
  </r>
  <r>
    <n v="27803034"/>
    <x v="0"/>
    <x v="329"/>
    <s v="EK 395_2022-07-29T01x05x00"/>
    <s v="B777/3-ER"/>
    <x v="3"/>
    <x v="104"/>
    <x v="4"/>
    <s v="Operational"/>
    <s v="EK 395"/>
    <m/>
    <m/>
    <m/>
    <m/>
    <x v="0"/>
    <x v="0"/>
  </r>
  <r>
    <n v="27803038"/>
    <x v="0"/>
    <x v="330"/>
    <s v="EK 704_2022-07-29T00x25x00"/>
    <s v="A380/8"/>
    <x v="3"/>
    <x v="106"/>
    <x v="17"/>
    <s v="Technical"/>
    <s v="EK 704"/>
    <m/>
    <m/>
    <m/>
    <m/>
    <x v="0"/>
    <x v="0"/>
  </r>
  <r>
    <n v="27803045"/>
    <x v="0"/>
    <x v="331"/>
    <s v="6E 089_2022-07-29T00x25x00"/>
    <s v="A320-NEO"/>
    <x v="0"/>
    <x v="63"/>
    <x v="1"/>
    <s v="Operational"/>
    <s v="6E 089"/>
    <m/>
    <m/>
    <m/>
    <m/>
    <x v="0"/>
    <x v="0"/>
  </r>
  <r>
    <n v="27803061"/>
    <x v="0"/>
    <x v="332"/>
    <s v="KU 677_2022-07-29T00x35x00"/>
    <s v="A320-NEO"/>
    <x v="0"/>
    <x v="40"/>
    <x v="2"/>
    <s v="Operational"/>
    <s v="KU 677"/>
    <m/>
    <m/>
    <m/>
    <m/>
    <x v="0"/>
    <x v="0"/>
  </r>
  <r>
    <n v="27803077"/>
    <x v="0"/>
    <x v="333"/>
    <s v="KU 677_2022-07-29T00x35x00"/>
    <s v="A320-NEO"/>
    <x v="0"/>
    <x v="40"/>
    <x v="0"/>
    <s v="Operational"/>
    <s v="KU 677"/>
    <m/>
    <m/>
    <m/>
    <m/>
    <x v="0"/>
    <x v="0"/>
  </r>
  <r>
    <n v="27803093"/>
    <x v="0"/>
    <x v="334"/>
    <s v="FZ 1688_2022-07-29T01x00x00"/>
    <s v="B737/8-MAX"/>
    <x v="5"/>
    <x v="107"/>
    <x v="3"/>
    <s v="Operational"/>
    <s v="FZ 1688"/>
    <m/>
    <m/>
    <m/>
    <m/>
    <x v="0"/>
    <x v="0"/>
  </r>
  <r>
    <n v="27803101"/>
    <x v="0"/>
    <x v="335"/>
    <s v="FZ 160_2022-07-29T00x15x00"/>
    <s v="B737/8"/>
    <x v="1"/>
    <x v="11"/>
    <x v="3"/>
    <s v="Operational"/>
    <s v="FZ 160"/>
    <m/>
    <m/>
    <m/>
    <m/>
    <x v="0"/>
    <x v="0"/>
  </r>
  <r>
    <n v="27806912"/>
    <x v="0"/>
    <x v="336"/>
    <s v="FZ 344_2022-07-29T02x50x00"/>
    <s v="B737/8"/>
    <x v="8"/>
    <x v="108"/>
    <x v="3"/>
    <s v="Operational"/>
    <s v="FZ 344"/>
    <m/>
    <m/>
    <m/>
    <m/>
    <x v="0"/>
    <x v="0"/>
  </r>
  <r>
    <n v="27803108"/>
    <x v="0"/>
    <x v="337"/>
    <s v="EK 118_2022-07-29T00x50x00"/>
    <s v="B777/3-ER"/>
    <x v="4"/>
    <x v="103"/>
    <x v="2"/>
    <s v="Operational"/>
    <s v="EK 118"/>
    <m/>
    <m/>
    <m/>
    <m/>
    <x v="0"/>
    <x v="0"/>
  </r>
  <r>
    <n v="27803124"/>
    <x v="0"/>
    <x v="338"/>
    <s v="EK 118_2022-07-29T00x50x00"/>
    <s v="B777/3-ER"/>
    <x v="4"/>
    <x v="103"/>
    <x v="0"/>
    <s v="Operational"/>
    <s v="EK 118"/>
    <m/>
    <m/>
    <m/>
    <m/>
    <x v="0"/>
    <x v="0"/>
  </r>
  <r>
    <n v="27803147"/>
    <x v="0"/>
    <x v="339"/>
    <s v="MS 910_2022-07-28T23x55x00"/>
    <s v="A330/3"/>
    <x v="0"/>
    <x v="88"/>
    <x v="2"/>
    <s v="Operational"/>
    <s v="MS 910"/>
    <m/>
    <m/>
    <m/>
    <m/>
    <x v="0"/>
    <x v="0"/>
  </r>
  <r>
    <n v="27803154"/>
    <x v="0"/>
    <x v="340"/>
    <s v="EK 619_2022-07-29T00x55x00"/>
    <s v="B777/3-ER"/>
    <x v="2"/>
    <x v="109"/>
    <x v="3"/>
    <s v="Operational"/>
    <s v="EK 619"/>
    <m/>
    <m/>
    <m/>
    <m/>
    <x v="0"/>
    <x v="0"/>
  </r>
  <r>
    <n v="27803159"/>
    <x v="0"/>
    <x v="341"/>
    <s v="FZ 160_2022-07-29T00x15x00"/>
    <s v="B737/8"/>
    <x v="1"/>
    <x v="11"/>
    <x v="4"/>
    <s v="Operational"/>
    <s v="FZ 160"/>
    <m/>
    <m/>
    <m/>
    <m/>
    <x v="0"/>
    <x v="0"/>
  </r>
  <r>
    <n v="27803163"/>
    <x v="0"/>
    <x v="342"/>
    <s v="MS 910_2022-07-28T23x55x00"/>
    <s v="A330/3"/>
    <x v="0"/>
    <x v="88"/>
    <x v="0"/>
    <s v="Operational"/>
    <s v="MS 910"/>
    <m/>
    <m/>
    <m/>
    <m/>
    <x v="0"/>
    <x v="0"/>
  </r>
  <r>
    <n v="27816649"/>
    <x v="0"/>
    <x v="343"/>
    <s v="EK 637_2022-07-29T07x20x00"/>
    <s v="B777/3-ER"/>
    <x v="2"/>
    <x v="8"/>
    <x v="0"/>
    <s v="Operational"/>
    <s v="EK 637"/>
    <m/>
    <m/>
    <m/>
    <m/>
    <x v="0"/>
    <x v="0"/>
  </r>
  <r>
    <n v="27803179"/>
    <x v="0"/>
    <x v="344"/>
    <s v="ET 612_2022-07-29T00x10x00"/>
    <s v="B787/8"/>
    <x v="0"/>
    <x v="61"/>
    <x v="3"/>
    <s v="Operational"/>
    <s v="ET 612"/>
    <m/>
    <m/>
    <m/>
    <m/>
    <x v="0"/>
    <x v="0"/>
  </r>
  <r>
    <n v="27803192"/>
    <x v="0"/>
    <x v="345"/>
    <s v="UPS 076_2022-07-29T00x15x00"/>
    <s v="B747/8"/>
    <x v="1"/>
    <x v="110"/>
    <x v="1"/>
    <s v="Operational"/>
    <s v="UPS 076"/>
    <m/>
    <m/>
    <m/>
    <m/>
    <x v="0"/>
    <x v="0"/>
  </r>
  <r>
    <n v="27803204"/>
    <x v="0"/>
    <x v="346"/>
    <s v="EK 761_2022-07-29T00x05x00"/>
    <s v="A380/8"/>
    <x v="2"/>
    <x v="90"/>
    <x v="1"/>
    <s v="Operational"/>
    <s v="EK 761"/>
    <m/>
    <m/>
    <m/>
    <m/>
    <x v="0"/>
    <x v="0"/>
  </r>
  <r>
    <n v="27803235"/>
    <x v="0"/>
    <x v="347"/>
    <s v="EK 323_2022-07-29T00x25x00"/>
    <s v="A380/8"/>
    <x v="2"/>
    <x v="54"/>
    <x v="3"/>
    <s v="Operational"/>
    <s v="EK 323"/>
    <m/>
    <m/>
    <m/>
    <m/>
    <x v="0"/>
    <x v="0"/>
  </r>
  <r>
    <n v="27803241"/>
    <x v="0"/>
    <x v="348"/>
    <s v="EK 619_2022-07-29T00x55x00"/>
    <s v="B777/3-ER"/>
    <x v="2"/>
    <x v="109"/>
    <x v="4"/>
    <s v="Operational"/>
    <s v="EK 619"/>
    <m/>
    <m/>
    <m/>
    <m/>
    <x v="0"/>
    <x v="0"/>
  </r>
  <r>
    <n v="27803271"/>
    <x v="0"/>
    <x v="349"/>
    <s v="EK 323_2022-07-29T00x25x00"/>
    <s v="A380/8"/>
    <x v="2"/>
    <x v="54"/>
    <x v="4"/>
    <s v="Operational"/>
    <s v="EK 323"/>
    <m/>
    <m/>
    <m/>
    <m/>
    <x v="0"/>
    <x v="0"/>
  </r>
  <r>
    <n v="27803286"/>
    <x v="0"/>
    <x v="350"/>
    <s v="EK 431_2022-07-29T01x10x00"/>
    <s v="A380/8"/>
    <x v="4"/>
    <x v="13"/>
    <x v="3"/>
    <s v="Operational"/>
    <s v="EK 431"/>
    <m/>
    <m/>
    <m/>
    <m/>
    <x v="0"/>
    <x v="0"/>
  </r>
  <r>
    <n v="27803295"/>
    <x v="0"/>
    <x v="351"/>
    <s v="FZ 1688_2022-07-29T01x00x00"/>
    <s v="B737/8-MAX"/>
    <x v="5"/>
    <x v="107"/>
    <x v="4"/>
    <s v="Operational"/>
    <s v="FZ 1688"/>
    <m/>
    <m/>
    <m/>
    <m/>
    <x v="0"/>
    <x v="0"/>
  </r>
  <r>
    <n v="27803304"/>
    <x v="0"/>
    <x v="352"/>
    <s v="EK 704_2022-07-29T00x25x00"/>
    <s v="A380/8"/>
    <x v="3"/>
    <x v="106"/>
    <x v="2"/>
    <s v="Operational"/>
    <s v="EK 704"/>
    <m/>
    <m/>
    <m/>
    <m/>
    <x v="0"/>
    <x v="0"/>
  </r>
  <r>
    <n v="27803306"/>
    <x v="0"/>
    <x v="353"/>
    <s v="FZ 160_2022-07-29T00x15x00"/>
    <s v="B737/8"/>
    <x v="1"/>
    <x v="11"/>
    <x v="2"/>
    <s v="Operational"/>
    <s v="FZ 160"/>
    <m/>
    <m/>
    <m/>
    <m/>
    <x v="0"/>
    <x v="0"/>
  </r>
  <r>
    <n v="27803309"/>
    <x v="0"/>
    <x v="354"/>
    <s v="FZ 1688_2022-07-29T01x00x00"/>
    <s v="B737/8-MAX"/>
    <x v="5"/>
    <x v="107"/>
    <x v="2"/>
    <s v="Operational"/>
    <s v="FZ 1688"/>
    <m/>
    <m/>
    <m/>
    <m/>
    <x v="0"/>
    <x v="0"/>
  </r>
  <r>
    <n v="27803327"/>
    <x v="0"/>
    <x v="355"/>
    <s v="FZ 160_2022-07-29T00x15x00"/>
    <s v="B737/8"/>
    <x v="1"/>
    <x v="11"/>
    <x v="0"/>
    <s v="Operational"/>
    <s v="FZ 160"/>
    <m/>
    <m/>
    <m/>
    <m/>
    <x v="0"/>
    <x v="0"/>
  </r>
  <r>
    <n v="27803338"/>
    <x v="0"/>
    <x v="356"/>
    <s v="EK 395_2022-07-29T01x05x00"/>
    <s v="B777/3-ER"/>
    <x v="3"/>
    <x v="104"/>
    <x v="2"/>
    <s v="Operational"/>
    <s v="EK 395"/>
    <m/>
    <m/>
    <m/>
    <m/>
    <x v="0"/>
    <x v="0"/>
  </r>
  <r>
    <n v="27803339"/>
    <x v="0"/>
    <x v="356"/>
    <s v="EK 366_2022-07-29T00x35x00"/>
    <s v="B777/3-ER"/>
    <x v="3"/>
    <x v="44"/>
    <x v="1"/>
    <s v="Operational"/>
    <s v="EK 366"/>
    <m/>
    <m/>
    <m/>
    <m/>
    <x v="0"/>
    <x v="0"/>
  </r>
  <r>
    <n v="27803342"/>
    <x v="0"/>
    <x v="356"/>
    <s v="EK 704_2022-07-29T00x25x00"/>
    <s v="A380/8"/>
    <x v="3"/>
    <x v="106"/>
    <x v="0"/>
    <s v="Operational"/>
    <s v="EK 704"/>
    <m/>
    <m/>
    <m/>
    <m/>
    <x v="0"/>
    <x v="0"/>
  </r>
  <r>
    <n v="27803360"/>
    <x v="0"/>
    <x v="357"/>
    <s v="FZ 1688_2022-07-29T01x00x00"/>
    <s v="B737/8-MAX"/>
    <x v="5"/>
    <x v="107"/>
    <x v="0"/>
    <s v="Operational"/>
    <s v="FZ 1688"/>
    <m/>
    <m/>
    <m/>
    <m/>
    <x v="0"/>
    <x v="0"/>
  </r>
  <r>
    <n v="27803376"/>
    <x v="0"/>
    <x v="358"/>
    <s v="ET 612_2022-07-29T00x10x00"/>
    <s v="B787/8"/>
    <x v="0"/>
    <x v="61"/>
    <x v="4"/>
    <s v="Operational"/>
    <s v="ET 612"/>
    <m/>
    <m/>
    <m/>
    <m/>
    <x v="0"/>
    <x v="0"/>
  </r>
  <r>
    <n v="27803380"/>
    <x v="0"/>
    <x v="359"/>
    <s v="EK 395_2022-07-29T01x05x00"/>
    <s v="B777/3-ER"/>
    <x v="3"/>
    <x v="104"/>
    <x v="0"/>
    <s v="Operational"/>
    <s v="EK 395"/>
    <m/>
    <m/>
    <m/>
    <m/>
    <x v="0"/>
    <x v="0"/>
  </r>
  <r>
    <n v="27803393"/>
    <x v="0"/>
    <x v="360"/>
    <s v="FZ 1628_2022-07-29T00x20x00"/>
    <s v="B737/9-MAX"/>
    <x v="5"/>
    <x v="111"/>
    <x v="3"/>
    <s v="Operational"/>
    <s v="FZ 1628"/>
    <m/>
    <m/>
    <m/>
    <m/>
    <x v="0"/>
    <x v="0"/>
  </r>
  <r>
    <n v="27803407"/>
    <x v="0"/>
    <x v="361"/>
    <s v="EK 431_2022-07-29T01x10x00"/>
    <s v="A380/8"/>
    <x v="4"/>
    <x v="13"/>
    <x v="4"/>
    <s v="Operational"/>
    <s v="EK 431"/>
    <m/>
    <m/>
    <m/>
    <m/>
    <x v="0"/>
    <x v="0"/>
  </r>
  <r>
    <n v="27803424"/>
    <x v="0"/>
    <x v="362"/>
    <s v="FZ 1628_2022-07-29T00x20x00"/>
    <s v="B737/9-MAX"/>
    <x v="5"/>
    <x v="111"/>
    <x v="4"/>
    <s v="Operational"/>
    <s v="FZ 1628"/>
    <m/>
    <m/>
    <m/>
    <m/>
    <x v="0"/>
    <x v="0"/>
  </r>
  <r>
    <n v="27806923"/>
    <x v="0"/>
    <x v="363"/>
    <s v="FZ 344_2022-07-29T02x50x00"/>
    <s v="B737/8"/>
    <x v="8"/>
    <x v="108"/>
    <x v="4"/>
    <s v="Operational"/>
    <s v="FZ 344"/>
    <m/>
    <m/>
    <m/>
    <m/>
    <x v="0"/>
    <x v="0"/>
  </r>
  <r>
    <n v="27803440"/>
    <x v="0"/>
    <x v="364"/>
    <s v="EK 776_2022-07-29T01x00x00"/>
    <s v="B777/3-ER"/>
    <x v="4"/>
    <x v="55"/>
    <x v="3"/>
    <s v="Operational"/>
    <s v="EK 776"/>
    <m/>
    <m/>
    <m/>
    <m/>
    <x v="0"/>
    <x v="0"/>
  </r>
  <r>
    <n v="27803446"/>
    <x v="0"/>
    <x v="365"/>
    <s v="EK 619_2022-07-29T00x55x00"/>
    <s v="B777/3-ER"/>
    <x v="2"/>
    <x v="109"/>
    <x v="2"/>
    <s v="Operational"/>
    <s v="EK 619"/>
    <m/>
    <m/>
    <m/>
    <m/>
    <x v="0"/>
    <x v="0"/>
  </r>
  <r>
    <n v="27803461"/>
    <x v="0"/>
    <x v="366"/>
    <s v="EK 619_2022-07-29T00x55x00"/>
    <s v="B777/3-ER"/>
    <x v="2"/>
    <x v="109"/>
    <x v="0"/>
    <s v="Operational"/>
    <s v="EK 619"/>
    <m/>
    <m/>
    <m/>
    <m/>
    <x v="0"/>
    <x v="0"/>
  </r>
  <r>
    <n v="27803472"/>
    <x v="0"/>
    <x v="367"/>
    <s v="EK 776_2022-07-29T01x00x00"/>
    <s v="B777/3-ER"/>
    <x v="4"/>
    <x v="55"/>
    <x v="4"/>
    <s v="Operational"/>
    <s v="EK 776"/>
    <m/>
    <m/>
    <m/>
    <m/>
    <x v="0"/>
    <x v="0"/>
  </r>
  <r>
    <n v="27803494"/>
    <x v="0"/>
    <x v="368"/>
    <s v="ET 612_2022-07-29T00x10x00"/>
    <s v="B787/8"/>
    <x v="0"/>
    <x v="61"/>
    <x v="2"/>
    <s v="Operational"/>
    <s v="ET 612"/>
    <m/>
    <m/>
    <m/>
    <m/>
    <x v="0"/>
    <x v="0"/>
  </r>
  <r>
    <n v="27803498"/>
    <x v="0"/>
    <x v="369"/>
    <s v="KL 419_2022-07-29T00x40x00"/>
    <s v="A330/2"/>
    <x v="0"/>
    <x v="17"/>
    <x v="1"/>
    <s v="Operational"/>
    <s v="KL 419"/>
    <m/>
    <m/>
    <m/>
    <m/>
    <x v="0"/>
    <x v="0"/>
  </r>
  <r>
    <n v="27803511"/>
    <x v="0"/>
    <x v="370"/>
    <s v="ET 612_2022-07-29T00x10x00"/>
    <s v="B787/8"/>
    <x v="0"/>
    <x v="61"/>
    <x v="0"/>
    <s v="Operational"/>
    <s v="ET 612"/>
    <m/>
    <m/>
    <m/>
    <m/>
    <x v="0"/>
    <x v="0"/>
  </r>
  <r>
    <n v="27803526"/>
    <x v="0"/>
    <x v="371"/>
    <s v="EK 399_2022-07-29T01x00x00"/>
    <s v="B777/3-ER"/>
    <x v="3"/>
    <x v="42"/>
    <x v="3"/>
    <s v="Operational"/>
    <s v="EK 399"/>
    <m/>
    <m/>
    <m/>
    <m/>
    <x v="0"/>
    <x v="0"/>
  </r>
  <r>
    <n v="27806936"/>
    <x v="0"/>
    <x v="372"/>
    <s v="FZ 174_2022-07-29T02x45x00"/>
    <s v="B737/8"/>
    <x v="5"/>
    <x v="98"/>
    <x v="4"/>
    <s v="Operational"/>
    <s v="FZ 174"/>
    <m/>
    <m/>
    <m/>
    <m/>
    <x v="0"/>
    <x v="0"/>
  </r>
  <r>
    <n v="27803539"/>
    <x v="0"/>
    <x v="373"/>
    <s v="EK 399_2022-07-29T01x00x00"/>
    <s v="B777/3-ER"/>
    <x v="3"/>
    <x v="42"/>
    <x v="4"/>
    <s v="Operational"/>
    <s v="EK 399"/>
    <m/>
    <m/>
    <m/>
    <m/>
    <x v="0"/>
    <x v="0"/>
  </r>
  <r>
    <n v="27803553"/>
    <x v="0"/>
    <x v="374"/>
    <s v="EK 431_2022-07-29T01x10x00"/>
    <s v="A380/8"/>
    <x v="4"/>
    <x v="13"/>
    <x v="2"/>
    <s v="Operational"/>
    <s v="EK 431"/>
    <m/>
    <m/>
    <m/>
    <m/>
    <x v="0"/>
    <x v="0"/>
  </r>
  <r>
    <n v="27803560"/>
    <x v="0"/>
    <x v="375"/>
    <s v="EK 431_2022-07-29T01x10x00"/>
    <s v="A380/8"/>
    <x v="4"/>
    <x v="13"/>
    <x v="0"/>
    <s v="Operational"/>
    <s v="EK 431"/>
    <m/>
    <m/>
    <m/>
    <m/>
    <x v="0"/>
    <x v="0"/>
  </r>
  <r>
    <n v="27806942"/>
    <x v="0"/>
    <x v="376"/>
    <s v="EK 543_2022-07-29T02x40x00"/>
    <s v="B777/3-ER"/>
    <x v="3"/>
    <x v="84"/>
    <x v="2"/>
    <s v="Operational"/>
    <s v="EK 543"/>
    <m/>
    <m/>
    <m/>
    <m/>
    <x v="0"/>
    <x v="0"/>
  </r>
  <r>
    <n v="27803603"/>
    <x v="0"/>
    <x v="377"/>
    <s v="EK 323_2022-07-29T00x25x00"/>
    <s v="A380/8"/>
    <x v="2"/>
    <x v="54"/>
    <x v="2"/>
    <s v="Operational"/>
    <s v="EK 323"/>
    <m/>
    <m/>
    <m/>
    <m/>
    <x v="0"/>
    <x v="0"/>
  </r>
  <r>
    <n v="27803606"/>
    <x v="0"/>
    <x v="378"/>
    <s v="FZ 1628_2022-07-29T00x20x00"/>
    <s v="B737/9-MAX"/>
    <x v="5"/>
    <x v="111"/>
    <x v="2"/>
    <s v="Operational"/>
    <s v="FZ 1628"/>
    <m/>
    <m/>
    <m/>
    <m/>
    <x v="0"/>
    <x v="0"/>
  </r>
  <r>
    <n v="27803612"/>
    <x v="0"/>
    <x v="379"/>
    <s v="EK 784_2022-07-29T01x00x00"/>
    <s v="B777/3-ER"/>
    <x v="2"/>
    <x v="81"/>
    <x v="3"/>
    <s v="Operational"/>
    <s v="EK 784"/>
    <m/>
    <m/>
    <m/>
    <m/>
    <x v="0"/>
    <x v="0"/>
  </r>
  <r>
    <n v="27803617"/>
    <x v="0"/>
    <x v="380"/>
    <s v="EK 776_2022-07-29T01x00x00"/>
    <s v="B777/3-ER"/>
    <x v="4"/>
    <x v="55"/>
    <x v="2"/>
    <s v="Operational"/>
    <s v="EK 776"/>
    <m/>
    <m/>
    <m/>
    <m/>
    <x v="0"/>
    <x v="0"/>
  </r>
  <r>
    <n v="27803619"/>
    <x v="0"/>
    <x v="381"/>
    <s v="EK 323_2022-07-29T00x25x00"/>
    <s v="A380/8"/>
    <x v="2"/>
    <x v="54"/>
    <x v="0"/>
    <s v="Operational"/>
    <s v="EK 323"/>
    <m/>
    <m/>
    <m/>
    <m/>
    <x v="0"/>
    <x v="0"/>
  </r>
  <r>
    <n v="27803631"/>
    <x v="0"/>
    <x v="382"/>
    <s v="FZ 1628_2022-07-29T00x20x00"/>
    <s v="B737/9-MAX"/>
    <x v="5"/>
    <x v="111"/>
    <x v="0"/>
    <s v="Operational"/>
    <s v="FZ 1628"/>
    <m/>
    <m/>
    <m/>
    <m/>
    <x v="0"/>
    <x v="0"/>
  </r>
  <r>
    <n v="27806948"/>
    <x v="0"/>
    <x v="383"/>
    <s v="FZ 1942_2022-07-29T02x50x00"/>
    <s v="B737/8-MAX"/>
    <x v="5"/>
    <x v="82"/>
    <x v="2"/>
    <s v="Operational"/>
    <s v="FZ 1942"/>
    <m/>
    <m/>
    <m/>
    <m/>
    <x v="0"/>
    <x v="0"/>
  </r>
  <r>
    <n v="27803675"/>
    <x v="0"/>
    <x v="384"/>
    <s v="EK 776_2022-07-29T01x00x00"/>
    <s v="B777/3-ER"/>
    <x v="4"/>
    <x v="55"/>
    <x v="0"/>
    <s v="Operational"/>
    <s v="EK 776"/>
    <m/>
    <m/>
    <m/>
    <m/>
    <x v="0"/>
    <x v="0"/>
  </r>
  <r>
    <n v="27803691"/>
    <x v="0"/>
    <x v="385"/>
    <s v="EK 784_2022-07-29T01x00x00"/>
    <s v="B777/3-ER"/>
    <x v="2"/>
    <x v="81"/>
    <x v="4"/>
    <s v="Operational"/>
    <s v="EK 784"/>
    <m/>
    <m/>
    <m/>
    <m/>
    <x v="0"/>
    <x v="0"/>
  </r>
  <r>
    <n v="27803706"/>
    <x v="0"/>
    <x v="386"/>
    <m/>
    <m/>
    <x v="4"/>
    <x v="20"/>
    <x v="6"/>
    <s v="Operational"/>
    <m/>
    <m/>
    <m/>
    <m/>
    <m/>
    <x v="0"/>
    <x v="0"/>
  </r>
  <r>
    <n v="27803722"/>
    <x v="0"/>
    <x v="387"/>
    <s v="PC 741_2022-07-29T00x50x00"/>
    <s v="A321-NEO"/>
    <x v="0"/>
    <x v="9"/>
    <x v="1"/>
    <s v="Operational"/>
    <s v="PC 741"/>
    <m/>
    <m/>
    <m/>
    <m/>
    <x v="0"/>
    <x v="0"/>
  </r>
  <r>
    <n v="27803739"/>
    <x v="0"/>
    <x v="388"/>
    <s v="FZ 332_2022-07-29T00x40x00"/>
    <s v="B737/8-MAX"/>
    <x v="1"/>
    <x v="43"/>
    <x v="3"/>
    <s v="Operational"/>
    <s v="FZ 332"/>
    <m/>
    <m/>
    <m/>
    <m/>
    <x v="0"/>
    <x v="0"/>
  </r>
  <r>
    <n v="27803743"/>
    <x v="0"/>
    <x v="389"/>
    <s v="FZ 332_2022-07-29T00x40x00"/>
    <s v="B737/8-MAX"/>
    <x v="1"/>
    <x v="43"/>
    <x v="4"/>
    <s v="Operational"/>
    <s v="FZ 332"/>
    <m/>
    <m/>
    <m/>
    <m/>
    <x v="0"/>
    <x v="0"/>
  </r>
  <r>
    <n v="27803775"/>
    <x v="0"/>
    <x v="390"/>
    <s v="J4 201_2022-07-29T00x20x00"/>
    <s v="B737/8"/>
    <x v="1"/>
    <x v="6"/>
    <x v="1"/>
    <s v="Operational"/>
    <s v="J4 201"/>
    <m/>
    <m/>
    <m/>
    <m/>
    <x v="0"/>
    <x v="0"/>
  </r>
  <r>
    <n v="27803785"/>
    <x v="0"/>
    <x v="391"/>
    <s v="EK 139_2022-07-29T04x35x00"/>
    <s v="B777/3-ER"/>
    <x v="2"/>
    <x v="112"/>
    <x v="1"/>
    <s v="Operational"/>
    <m/>
    <m/>
    <m/>
    <m/>
    <m/>
    <x v="0"/>
    <x v="0"/>
  </r>
  <r>
    <n v="27803790"/>
    <x v="0"/>
    <x v="392"/>
    <s v="EK 607_2022-07-28T23x45x00"/>
    <s v="B777/3-ER"/>
    <x v="2"/>
    <x v="112"/>
    <x v="3"/>
    <s v="Operational"/>
    <s v="EK 607"/>
    <m/>
    <m/>
    <m/>
    <m/>
    <x v="0"/>
    <x v="0"/>
  </r>
  <r>
    <n v="27803817"/>
    <x v="0"/>
    <x v="393"/>
    <s v="FZ 340_2022-07-29T01x00x00"/>
    <s v="B737/8"/>
    <x v="1"/>
    <x v="34"/>
    <x v="3"/>
    <s v="Operational"/>
    <s v="FZ 340"/>
    <m/>
    <m/>
    <m/>
    <m/>
    <x v="0"/>
    <x v="0"/>
  </r>
  <r>
    <n v="27803824"/>
    <x v="0"/>
    <x v="394"/>
    <s v="FZ 340_2022-07-29T01x00x00"/>
    <s v="B737/8"/>
    <x v="1"/>
    <x v="34"/>
    <x v="4"/>
    <s v="Operational"/>
    <s v="FZ 340"/>
    <m/>
    <m/>
    <m/>
    <m/>
    <x v="0"/>
    <x v="0"/>
  </r>
  <r>
    <n v="27803845"/>
    <x v="0"/>
    <x v="395"/>
    <s v="AI 912_2022-07-29T01x00x00"/>
    <s v="B787/8"/>
    <x v="0"/>
    <x v="91"/>
    <x v="1"/>
    <s v="Operational"/>
    <s v="AI 912"/>
    <m/>
    <m/>
    <m/>
    <m/>
    <x v="0"/>
    <x v="0"/>
  </r>
  <r>
    <n v="27803857"/>
    <x v="0"/>
    <x v="396"/>
    <s v="6E 1769_2022-07-29T01x00x00"/>
    <s v="A320"/>
    <x v="0"/>
    <x v="113"/>
    <x v="1"/>
    <s v="Operational"/>
    <s v="6E 1769"/>
    <m/>
    <m/>
    <m/>
    <m/>
    <x v="0"/>
    <x v="0"/>
  </r>
  <r>
    <n v="27803866"/>
    <x v="0"/>
    <x v="397"/>
    <s v="EK 399_2022-07-29T01x00x00"/>
    <s v="B777/3-ER"/>
    <x v="3"/>
    <x v="42"/>
    <x v="2"/>
    <s v="Operational"/>
    <s v="EK 399"/>
    <m/>
    <m/>
    <m/>
    <m/>
    <x v="0"/>
    <x v="0"/>
  </r>
  <r>
    <n v="27803876"/>
    <x v="0"/>
    <x v="398"/>
    <m/>
    <m/>
    <x v="5"/>
    <x v="114"/>
    <x v="6"/>
    <s v="Operational"/>
    <m/>
    <m/>
    <m/>
    <m/>
    <m/>
    <x v="0"/>
    <x v="0"/>
  </r>
  <r>
    <n v="27803881"/>
    <x v="0"/>
    <x v="399"/>
    <s v="EK 399_2022-07-29T01x00x00"/>
    <s v="B777/3-ER"/>
    <x v="3"/>
    <x v="42"/>
    <x v="0"/>
    <s v="Operational"/>
    <s v="EK 399"/>
    <m/>
    <m/>
    <m/>
    <m/>
    <x v="0"/>
    <x v="0"/>
  </r>
  <r>
    <n v="27816673"/>
    <x v="0"/>
    <x v="400"/>
    <s v="FX 5033_2022-07-29T07x15x00"/>
    <s v="MD11"/>
    <x v="1"/>
    <x v="93"/>
    <x v="16"/>
    <s v="Technical"/>
    <s v="FX 5033"/>
    <m/>
    <m/>
    <m/>
    <m/>
    <x v="0"/>
    <x v="0"/>
  </r>
  <r>
    <n v="27803913"/>
    <x v="0"/>
    <x v="401"/>
    <s v="FZ 835_2022-07-29T00x45x00"/>
    <s v="B737/8-MAX"/>
    <x v="1"/>
    <x v="83"/>
    <x v="1"/>
    <s v="Operational"/>
    <s v="FZ 835"/>
    <m/>
    <m/>
    <m/>
    <m/>
    <x v="0"/>
    <x v="0"/>
  </r>
  <r>
    <n v="27803932"/>
    <x v="0"/>
    <x v="402"/>
    <s v="A4 683_2022-07-29T00x40x00"/>
    <s v="SSJ100/95"/>
    <x v="1"/>
    <x v="1"/>
    <x v="3"/>
    <s v="Operational"/>
    <s v="A4 683"/>
    <m/>
    <m/>
    <m/>
    <m/>
    <x v="0"/>
    <x v="0"/>
  </r>
  <r>
    <n v="27818069"/>
    <x v="0"/>
    <x v="403"/>
    <s v="XY 219_2022-07-29T07x50x00"/>
    <s v="A320-NEO"/>
    <x v="0"/>
    <x v="3"/>
    <x v="0"/>
    <s v="Operational"/>
    <s v="XY 219"/>
    <m/>
    <m/>
    <m/>
    <m/>
    <x v="0"/>
    <x v="0"/>
  </r>
  <r>
    <n v="27803937"/>
    <x v="0"/>
    <x v="404"/>
    <s v="A4 683_2022-07-29T00x40x00"/>
    <s v="SSJ100/95"/>
    <x v="1"/>
    <x v="1"/>
    <x v="4"/>
    <s v="Operational"/>
    <s v="A4 683"/>
    <m/>
    <m/>
    <m/>
    <m/>
    <x v="0"/>
    <x v="0"/>
  </r>
  <r>
    <n v="27803944"/>
    <x v="0"/>
    <x v="405"/>
    <s v="ET 601_2022-07-29T00x25x00"/>
    <s v="B777/2-LR"/>
    <x v="0"/>
    <x v="50"/>
    <x v="1"/>
    <s v="Operational"/>
    <s v="ET 601"/>
    <m/>
    <m/>
    <m/>
    <m/>
    <x v="0"/>
    <x v="0"/>
  </r>
  <r>
    <n v="27803968"/>
    <x v="0"/>
    <x v="406"/>
    <s v="EK 771_2022-07-29T01x45x00"/>
    <s v="B777/3-ER"/>
    <x v="2"/>
    <x v="115"/>
    <x v="3"/>
    <s v="Operational"/>
    <s v="EK 771"/>
    <m/>
    <m/>
    <m/>
    <m/>
    <x v="0"/>
    <x v="0"/>
  </r>
  <r>
    <n v="27803978"/>
    <x v="0"/>
    <x v="407"/>
    <s v="EK 784_2022-07-29T01x00x00"/>
    <s v="B777/3-ER"/>
    <x v="2"/>
    <x v="81"/>
    <x v="2"/>
    <s v="Operational"/>
    <s v="EK 784"/>
    <m/>
    <m/>
    <m/>
    <m/>
    <x v="0"/>
    <x v="0"/>
  </r>
  <r>
    <n v="27803987"/>
    <x v="0"/>
    <x v="408"/>
    <s v="EK 784_2022-07-29T01x00x00"/>
    <s v="B777/3-ER"/>
    <x v="2"/>
    <x v="81"/>
    <x v="0"/>
    <s v="Operational"/>
    <s v="EK 784"/>
    <m/>
    <m/>
    <m/>
    <m/>
    <x v="0"/>
    <x v="0"/>
  </r>
  <r>
    <n v="27804015"/>
    <x v="0"/>
    <x v="409"/>
    <s v="FZ 332_2022-07-29T00x40x00"/>
    <s v="B737/8-MAX"/>
    <x v="1"/>
    <x v="43"/>
    <x v="2"/>
    <s v="Operational"/>
    <s v="FZ 332"/>
    <m/>
    <m/>
    <m/>
    <m/>
    <x v="0"/>
    <x v="0"/>
  </r>
  <r>
    <n v="27806968"/>
    <x v="0"/>
    <x v="410"/>
    <s v="EK 543_2022-07-29T02x40x00"/>
    <s v="B777/3-ER"/>
    <x v="3"/>
    <x v="84"/>
    <x v="0"/>
    <s v="Operational"/>
    <s v="EK 543"/>
    <m/>
    <m/>
    <m/>
    <m/>
    <x v="0"/>
    <x v="0"/>
  </r>
  <r>
    <n v="27804041"/>
    <x v="0"/>
    <x v="411"/>
    <s v="FZ 332_2022-07-29T00x40x00"/>
    <s v="B737/8-MAX"/>
    <x v="1"/>
    <x v="43"/>
    <x v="0"/>
    <s v="Operational"/>
    <s v="FZ 332"/>
    <m/>
    <m/>
    <m/>
    <m/>
    <x v="0"/>
    <x v="0"/>
  </r>
  <r>
    <n v="27804059"/>
    <x v="0"/>
    <x v="412"/>
    <s v="BI 008_2022-07-29T00x45x00"/>
    <s v="B787/8"/>
    <x v="0"/>
    <x v="22"/>
    <x v="1"/>
    <s v="Operational"/>
    <s v="BI 008"/>
    <m/>
    <m/>
    <m/>
    <m/>
    <x v="0"/>
    <x v="0"/>
  </r>
  <r>
    <n v="27804079"/>
    <x v="0"/>
    <x v="413"/>
    <s v="PA 210_2022-07-29T01x25x00"/>
    <s v="A321"/>
    <x v="0"/>
    <x v="63"/>
    <x v="3"/>
    <s v="Operational"/>
    <s v="PA 210"/>
    <m/>
    <m/>
    <m/>
    <m/>
    <x v="0"/>
    <x v="0"/>
  </r>
  <r>
    <n v="27804085"/>
    <x v="0"/>
    <x v="414"/>
    <s v="FZ 340_2022-07-29T01x00x00"/>
    <s v="B737/8"/>
    <x v="1"/>
    <x v="34"/>
    <x v="2"/>
    <s v="Operational"/>
    <s v="FZ 340"/>
    <m/>
    <m/>
    <m/>
    <m/>
    <x v="0"/>
    <x v="0"/>
  </r>
  <r>
    <n v="27804089"/>
    <x v="0"/>
    <x v="415"/>
    <m/>
    <m/>
    <x v="2"/>
    <x v="79"/>
    <x v="6"/>
    <s v="Operational"/>
    <m/>
    <m/>
    <m/>
    <m/>
    <m/>
    <x v="0"/>
    <x v="0"/>
  </r>
  <r>
    <n v="27804091"/>
    <x v="0"/>
    <x v="416"/>
    <s v="FG 402_2022-07-29T01x00x00"/>
    <s v="B737/5"/>
    <x v="1"/>
    <x v="116"/>
    <x v="1"/>
    <s v="Operational"/>
    <s v="FG 402"/>
    <m/>
    <m/>
    <m/>
    <m/>
    <x v="0"/>
    <x v="0"/>
  </r>
  <r>
    <n v="27816676"/>
    <x v="0"/>
    <x v="417"/>
    <m/>
    <m/>
    <x v="3"/>
    <x v="42"/>
    <x v="5"/>
    <s v="Operational"/>
    <m/>
    <m/>
    <m/>
    <m/>
    <m/>
    <x v="0"/>
    <x v="0"/>
  </r>
  <r>
    <n v="27804100"/>
    <x v="0"/>
    <x v="418"/>
    <s v="ES 701_2022-07-29T01x10x00"/>
    <s v="B767/3"/>
    <x v="1"/>
    <x v="117"/>
    <x v="1"/>
    <s v="Operational"/>
    <s v="ES 701"/>
    <m/>
    <m/>
    <m/>
    <m/>
    <x v="0"/>
    <x v="0"/>
  </r>
  <r>
    <n v="27804111"/>
    <x v="0"/>
    <x v="419"/>
    <s v="FZ 340_2022-07-29T01x00x00"/>
    <s v="B737/8"/>
    <x v="1"/>
    <x v="34"/>
    <x v="0"/>
    <s v="Operational"/>
    <s v="FZ 340"/>
    <m/>
    <m/>
    <m/>
    <m/>
    <x v="0"/>
    <x v="0"/>
  </r>
  <r>
    <n v="27804128"/>
    <x v="0"/>
    <x v="420"/>
    <s v="EK 771_2022-07-29T01x45x00"/>
    <s v="B777/3-ER"/>
    <x v="2"/>
    <x v="115"/>
    <x v="4"/>
    <s v="Operational"/>
    <s v="EK 771"/>
    <m/>
    <m/>
    <m/>
    <m/>
    <x v="0"/>
    <x v="0"/>
  </r>
  <r>
    <n v="27816680"/>
    <x v="0"/>
    <x v="421"/>
    <s v="FX 5033_2022-07-29T07x15x00"/>
    <s v="MD11"/>
    <x v="1"/>
    <x v="93"/>
    <x v="3"/>
    <s v="Operational"/>
    <s v="FX 5033"/>
    <m/>
    <m/>
    <m/>
    <m/>
    <x v="0"/>
    <x v="0"/>
  </r>
  <r>
    <n v="27804160"/>
    <x v="0"/>
    <x v="422"/>
    <s v="FZ 716_2022-07-29T00x55x00"/>
    <s v="B737/8-MAX"/>
    <x v="1"/>
    <x v="83"/>
    <x v="3"/>
    <s v="Operational"/>
    <s v="FZ 716"/>
    <m/>
    <m/>
    <m/>
    <m/>
    <x v="0"/>
    <x v="0"/>
  </r>
  <r>
    <n v="27806977"/>
    <x v="0"/>
    <x v="423"/>
    <s v="FZ 1942_2022-07-29T02x50x00"/>
    <s v="B737/8-MAX"/>
    <x v="5"/>
    <x v="82"/>
    <x v="0"/>
    <s v="Operational"/>
    <s v="FZ 1942"/>
    <m/>
    <m/>
    <m/>
    <m/>
    <x v="0"/>
    <x v="0"/>
  </r>
  <r>
    <n v="27804170"/>
    <x v="0"/>
    <x v="424"/>
    <s v="FZ 716_2022-07-29T00x55x00"/>
    <s v="B737/8-MAX"/>
    <x v="1"/>
    <x v="83"/>
    <x v="4"/>
    <s v="Operational"/>
    <s v="FZ 716"/>
    <m/>
    <m/>
    <m/>
    <m/>
    <x v="0"/>
    <x v="0"/>
  </r>
  <r>
    <n v="27804189"/>
    <x v="0"/>
    <x v="425"/>
    <s v="A4 683_2022-07-29T00x40x00"/>
    <s v="SSJ100/95"/>
    <x v="1"/>
    <x v="1"/>
    <x v="2"/>
    <s v="Operational"/>
    <s v="A4 683"/>
    <m/>
    <m/>
    <m/>
    <m/>
    <x v="0"/>
    <x v="0"/>
  </r>
  <r>
    <n v="27804198"/>
    <x v="0"/>
    <x v="426"/>
    <s v="EK 335_2022-07-29T00x30x00"/>
    <s v="B777/3-ER"/>
    <x v="3"/>
    <x v="118"/>
    <x v="3"/>
    <s v="Operational"/>
    <s v="EK 335"/>
    <m/>
    <m/>
    <m/>
    <m/>
    <x v="0"/>
    <x v="0"/>
  </r>
  <r>
    <n v="27804206"/>
    <x v="0"/>
    <x v="427"/>
    <s v="A4 683_2022-07-29T00x40x00"/>
    <s v="SSJ100/95"/>
    <x v="1"/>
    <x v="1"/>
    <x v="0"/>
    <s v="Operational"/>
    <s v="A4 683"/>
    <m/>
    <m/>
    <m/>
    <m/>
    <x v="0"/>
    <x v="0"/>
  </r>
  <r>
    <n v="27816684"/>
    <x v="0"/>
    <x v="428"/>
    <s v="FX 5033_2022-07-29T07x15x00"/>
    <s v="MD11"/>
    <x v="1"/>
    <x v="93"/>
    <x v="4"/>
    <s v="Operational"/>
    <s v="FX 5033"/>
    <m/>
    <m/>
    <m/>
    <m/>
    <x v="0"/>
    <x v="0"/>
  </r>
  <r>
    <n v="27804230"/>
    <x v="0"/>
    <x v="429"/>
    <s v="EK 607_2022-07-29T05x00x00"/>
    <s v="B777/3-ER"/>
    <x v="5"/>
    <x v="114"/>
    <x v="2"/>
    <s v="Operational"/>
    <s v="EK 607"/>
    <m/>
    <m/>
    <m/>
    <m/>
    <x v="0"/>
    <x v="0"/>
  </r>
  <r>
    <n v="27804232"/>
    <x v="0"/>
    <x v="430"/>
    <s v="EK 407_2022-07-29T01x15x00"/>
    <s v="A380/8"/>
    <x v="4"/>
    <x v="20"/>
    <x v="2"/>
    <s v="Operational"/>
    <m/>
    <m/>
    <m/>
    <m/>
    <m/>
    <x v="0"/>
    <x v="0"/>
  </r>
  <r>
    <n v="27804240"/>
    <x v="0"/>
    <x v="431"/>
    <s v="EK 335_2022-07-29T00x30x00"/>
    <s v="B777/3-ER"/>
    <x v="3"/>
    <x v="118"/>
    <x v="4"/>
    <s v="Operational"/>
    <s v="EK 335"/>
    <m/>
    <m/>
    <m/>
    <m/>
    <x v="0"/>
    <x v="0"/>
  </r>
  <r>
    <n v="27804244"/>
    <x v="0"/>
    <x v="432"/>
    <s v="PA 210_2022-07-29T01x25x00"/>
    <s v="A321"/>
    <x v="0"/>
    <x v="63"/>
    <x v="10"/>
    <s v="Operational"/>
    <s v="PA 210"/>
    <m/>
    <m/>
    <m/>
    <m/>
    <x v="0"/>
    <x v="0"/>
  </r>
  <r>
    <n v="27804245"/>
    <x v="0"/>
    <x v="433"/>
    <s v="PA 210_2022-07-29T01x25x00"/>
    <s v="A321"/>
    <x v="0"/>
    <x v="63"/>
    <x v="11"/>
    <s v="Operational"/>
    <s v="PA 210"/>
    <m/>
    <m/>
    <m/>
    <m/>
    <x v="0"/>
    <x v="0"/>
  </r>
  <r>
    <n v="27804252"/>
    <x v="0"/>
    <x v="434"/>
    <s v="EK 407_2022-07-29T01x15x00"/>
    <s v="A380/8"/>
    <x v="4"/>
    <x v="20"/>
    <x v="0"/>
    <s v="Operational"/>
    <m/>
    <m/>
    <m/>
    <m/>
    <m/>
    <x v="0"/>
    <x v="0"/>
  </r>
  <r>
    <n v="27804267"/>
    <x v="0"/>
    <x v="435"/>
    <s v="EK 607_2022-07-29T05x00x00"/>
    <s v="B777/3-ER"/>
    <x v="5"/>
    <x v="114"/>
    <x v="0"/>
    <s v="Operational"/>
    <s v="EK 607"/>
    <m/>
    <m/>
    <m/>
    <m/>
    <x v="0"/>
    <x v="0"/>
  </r>
  <r>
    <n v="27804294"/>
    <x v="0"/>
    <x v="436"/>
    <s v="EK 771_2022-07-29T01x45x00"/>
    <s v="B777/3-ER"/>
    <x v="2"/>
    <x v="115"/>
    <x v="2"/>
    <s v="Operational"/>
    <s v="EK 771"/>
    <m/>
    <m/>
    <m/>
    <m/>
    <x v="0"/>
    <x v="0"/>
  </r>
  <r>
    <n v="27804309"/>
    <x v="0"/>
    <x v="437"/>
    <s v="EK 764_2022-07-29T01x25x00"/>
    <s v="A380/8"/>
    <x v="2"/>
    <x v="105"/>
    <x v="3"/>
    <s v="Operational"/>
    <s v="EK 764"/>
    <m/>
    <m/>
    <m/>
    <m/>
    <x v="0"/>
    <x v="0"/>
  </r>
  <r>
    <n v="27804320"/>
    <x v="0"/>
    <x v="438"/>
    <s v="5J 019_2022-07-29T00x55x00"/>
    <s v="A330/9"/>
    <x v="0"/>
    <x v="92"/>
    <x v="1"/>
    <s v="Operational"/>
    <s v="5J 019"/>
    <m/>
    <m/>
    <m/>
    <m/>
    <x v="0"/>
    <x v="0"/>
  </r>
  <r>
    <n v="27804334"/>
    <x v="0"/>
    <x v="439"/>
    <s v="EK 771_2022-07-29T01x45x00"/>
    <s v="B777/3-ER"/>
    <x v="2"/>
    <x v="115"/>
    <x v="0"/>
    <s v="Operational"/>
    <s v="EK 771"/>
    <m/>
    <m/>
    <m/>
    <m/>
    <x v="0"/>
    <x v="0"/>
  </r>
  <r>
    <n v="27804347"/>
    <x v="0"/>
    <x v="440"/>
    <s v="EK 764_2022-07-29T01x25x00"/>
    <s v="A380/8"/>
    <x v="2"/>
    <x v="105"/>
    <x v="4"/>
    <s v="Operational"/>
    <s v="EK 764"/>
    <m/>
    <m/>
    <m/>
    <m/>
    <x v="0"/>
    <x v="0"/>
  </r>
  <r>
    <n v="27804358"/>
    <x v="0"/>
    <x v="441"/>
    <s v="EK 359_2022-07-29T01x30x00"/>
    <s v="B777/3-ER"/>
    <x v="4"/>
    <x v="119"/>
    <x v="3"/>
    <s v="Operational"/>
    <s v="EK 359"/>
    <m/>
    <m/>
    <m/>
    <m/>
    <x v="0"/>
    <x v="0"/>
  </r>
  <r>
    <n v="27804366"/>
    <x v="0"/>
    <x v="442"/>
    <s v="EK 359_2022-07-29T01x30x00"/>
    <s v="B777/3-ER"/>
    <x v="4"/>
    <x v="119"/>
    <x v="4"/>
    <s v="Operational"/>
    <s v="EK 359"/>
    <m/>
    <m/>
    <m/>
    <m/>
    <x v="0"/>
    <x v="0"/>
  </r>
  <r>
    <n v="27804374"/>
    <x v="0"/>
    <x v="443"/>
    <s v="FZ 716_2022-07-29T00x55x00"/>
    <s v="B737/8-MAX"/>
    <x v="1"/>
    <x v="83"/>
    <x v="2"/>
    <s v="Operational"/>
    <s v="FZ 716"/>
    <m/>
    <m/>
    <m/>
    <m/>
    <x v="0"/>
    <x v="0"/>
  </r>
  <r>
    <n v="27804385"/>
    <x v="0"/>
    <x v="444"/>
    <s v="EK 139_2022-07-29T04x35x00"/>
    <s v="B777/3-ER"/>
    <x v="2"/>
    <x v="112"/>
    <x v="4"/>
    <s v="Operational"/>
    <s v="EK 607"/>
    <m/>
    <m/>
    <m/>
    <m/>
    <x v="0"/>
    <x v="0"/>
  </r>
  <r>
    <n v="27804400"/>
    <x v="0"/>
    <x v="445"/>
    <s v="EK 139_2022-07-29T04x35x00"/>
    <s v="B777/3-ER"/>
    <x v="2"/>
    <x v="112"/>
    <x v="23"/>
    <s v="Operational"/>
    <s v="EK 607"/>
    <m/>
    <m/>
    <m/>
    <m/>
    <x v="0"/>
    <x v="0"/>
  </r>
  <r>
    <n v="27804404"/>
    <x v="0"/>
    <x v="446"/>
    <s v="FZ 716_2022-07-29T00x55x00"/>
    <s v="B737/8-MAX"/>
    <x v="1"/>
    <x v="83"/>
    <x v="0"/>
    <s v="Operational"/>
    <s v="FZ 716"/>
    <m/>
    <m/>
    <m/>
    <m/>
    <x v="0"/>
    <x v="0"/>
  </r>
  <r>
    <n v="27804419"/>
    <x v="0"/>
    <x v="447"/>
    <m/>
    <m/>
    <x v="2"/>
    <x v="112"/>
    <x v="6"/>
    <s v="Operational"/>
    <m/>
    <m/>
    <m/>
    <m/>
    <m/>
    <x v="0"/>
    <x v="0"/>
  </r>
  <r>
    <n v="27804427"/>
    <x v="0"/>
    <x v="448"/>
    <s v="FZ 1808_2022-07-29T00x55x00"/>
    <s v="B737/8-MAX"/>
    <x v="5"/>
    <x v="120"/>
    <x v="3"/>
    <s v="Operational"/>
    <s v="FZ 1808"/>
    <m/>
    <m/>
    <m/>
    <m/>
    <x v="0"/>
    <x v="0"/>
  </r>
  <r>
    <n v="27804445"/>
    <x v="0"/>
    <x v="449"/>
    <s v="PA 210_2022-07-29T01x25x00"/>
    <s v="A321"/>
    <x v="0"/>
    <x v="63"/>
    <x v="2"/>
    <s v="Operational"/>
    <s v="PA 210"/>
    <m/>
    <m/>
    <m/>
    <m/>
    <x v="0"/>
    <x v="0"/>
  </r>
  <r>
    <n v="27804446"/>
    <x v="0"/>
    <x v="450"/>
    <s v="FZ 657_2022-07-28T23x45x00"/>
    <s v="B737/8"/>
    <x v="1"/>
    <x v="69"/>
    <x v="1"/>
    <s v="Operational"/>
    <s v="FZ 657"/>
    <m/>
    <m/>
    <m/>
    <m/>
    <x v="0"/>
    <x v="0"/>
  </r>
  <r>
    <n v="27804463"/>
    <x v="0"/>
    <x v="451"/>
    <s v="EK 421_2022-07-29T01x20x00"/>
    <s v="B777/3-ER"/>
    <x v="2"/>
    <x v="79"/>
    <x v="2"/>
    <s v="Operational"/>
    <m/>
    <m/>
    <m/>
    <m/>
    <m/>
    <x v="0"/>
    <x v="0"/>
  </r>
  <r>
    <n v="27804464"/>
    <x v="0"/>
    <x v="452"/>
    <s v="PA 210_2022-07-29T01x25x00"/>
    <s v="A321"/>
    <x v="0"/>
    <x v="63"/>
    <x v="0"/>
    <s v="Operational"/>
    <s v="PA 210"/>
    <m/>
    <m/>
    <m/>
    <m/>
    <x v="0"/>
    <x v="0"/>
  </r>
  <r>
    <n v="27804476"/>
    <x v="0"/>
    <x v="453"/>
    <s v="FZ 1808_2022-07-29T00x55x00"/>
    <s v="B737/8-MAX"/>
    <x v="5"/>
    <x v="120"/>
    <x v="4"/>
    <s v="Operational"/>
    <s v="FZ 1808"/>
    <m/>
    <m/>
    <m/>
    <m/>
    <x v="0"/>
    <x v="0"/>
  </r>
  <r>
    <n v="27804480"/>
    <x v="0"/>
    <x v="454"/>
    <s v="EK 421_2022-07-29T01x20x00"/>
    <s v="B777/3-ER"/>
    <x v="2"/>
    <x v="79"/>
    <x v="0"/>
    <s v="Operational"/>
    <m/>
    <m/>
    <m/>
    <m/>
    <m/>
    <x v="0"/>
    <x v="0"/>
  </r>
  <r>
    <n v="27804495"/>
    <x v="0"/>
    <x v="455"/>
    <s v="EK 335_2022-07-29T00x30x00"/>
    <s v="B777/3-ER"/>
    <x v="3"/>
    <x v="118"/>
    <x v="2"/>
    <s v="Operational"/>
    <s v="EK 335"/>
    <m/>
    <m/>
    <m/>
    <m/>
    <x v="0"/>
    <x v="0"/>
  </r>
  <r>
    <n v="27804497"/>
    <x v="0"/>
    <x v="456"/>
    <s v="FZ 1782_2022-07-29T01x30x00"/>
    <s v="B737/8-MAX"/>
    <x v="5"/>
    <x v="18"/>
    <x v="3"/>
    <s v="Operational"/>
    <s v="FZ 1782"/>
    <m/>
    <m/>
    <m/>
    <m/>
    <x v="0"/>
    <x v="0"/>
  </r>
  <r>
    <n v="27804506"/>
    <x v="0"/>
    <x v="457"/>
    <s v="EK 335_2022-07-29T00x30x00"/>
    <s v="B777/3-ER"/>
    <x v="3"/>
    <x v="118"/>
    <x v="0"/>
    <s v="Operational"/>
    <s v="EK 335"/>
    <m/>
    <m/>
    <m/>
    <m/>
    <x v="0"/>
    <x v="0"/>
  </r>
  <r>
    <n v="27804535"/>
    <x v="0"/>
    <x v="458"/>
    <s v="IX 194_2022-07-29T01x30x00"/>
    <s v="B737/8"/>
    <x v="1"/>
    <x v="121"/>
    <x v="1"/>
    <s v="Operational"/>
    <s v="IX 194"/>
    <m/>
    <m/>
    <m/>
    <m/>
    <x v="0"/>
    <x v="0"/>
  </r>
  <r>
    <n v="27804570"/>
    <x v="0"/>
    <x v="459"/>
    <s v="FZ 1830_2022-07-29T01x25x00"/>
    <s v="B737/8-MAX"/>
    <x v="5"/>
    <x v="122"/>
    <x v="3"/>
    <s v="Operational"/>
    <s v="FZ 1830"/>
    <m/>
    <m/>
    <m/>
    <m/>
    <x v="0"/>
    <x v="0"/>
  </r>
  <r>
    <n v="27804580"/>
    <x v="0"/>
    <x v="460"/>
    <s v="SG 054_2022-07-29T01x00x00"/>
    <s v="B737/8-MAX"/>
    <x v="0"/>
    <x v="57"/>
    <x v="1"/>
    <s v="Operational"/>
    <s v="SG 054"/>
    <m/>
    <m/>
    <m/>
    <m/>
    <x v="0"/>
    <x v="0"/>
  </r>
  <r>
    <n v="27804604"/>
    <x v="0"/>
    <x v="461"/>
    <s v="EK 188_2022-07-29T01x55x00"/>
    <s v="B777/3-ER"/>
    <x v="4"/>
    <x v="123"/>
    <x v="3"/>
    <s v="Operational"/>
    <s v="EK 188"/>
    <m/>
    <m/>
    <m/>
    <m/>
    <x v="0"/>
    <x v="0"/>
  </r>
  <r>
    <n v="27804632"/>
    <x v="0"/>
    <x v="462"/>
    <s v="EK 413_2022-07-29T01x40x00"/>
    <s v="A380/8"/>
    <x v="3"/>
    <x v="85"/>
    <x v="3"/>
    <s v="Operational"/>
    <s v="EK 413"/>
    <m/>
    <m/>
    <m/>
    <m/>
    <x v="0"/>
    <x v="0"/>
  </r>
  <r>
    <n v="27804636"/>
    <x v="0"/>
    <x v="463"/>
    <s v="EK 188_2022-07-29T01x55x00"/>
    <s v="B777/3-ER"/>
    <x v="4"/>
    <x v="123"/>
    <x v="4"/>
    <s v="Operational"/>
    <s v="EK 188"/>
    <m/>
    <m/>
    <m/>
    <m/>
    <x v="0"/>
    <x v="0"/>
  </r>
  <r>
    <n v="27804643"/>
    <x v="0"/>
    <x v="464"/>
    <s v="QR 1003_2022-07-29T01x30x00"/>
    <s v="A350/1K"/>
    <x v="0"/>
    <x v="0"/>
    <x v="1"/>
    <s v="Operational"/>
    <s v="QR 1003"/>
    <m/>
    <m/>
    <m/>
    <m/>
    <x v="0"/>
    <x v="0"/>
  </r>
  <r>
    <n v="27804656"/>
    <x v="0"/>
    <x v="465"/>
    <s v="FZ 1782_2022-07-29T01x30x00"/>
    <s v="B737/8-MAX"/>
    <x v="5"/>
    <x v="18"/>
    <x v="4"/>
    <s v="Operational"/>
    <s v="FZ 1782"/>
    <m/>
    <m/>
    <m/>
    <m/>
    <x v="0"/>
    <x v="0"/>
  </r>
  <r>
    <n v="27804661"/>
    <x v="0"/>
    <x v="466"/>
    <s v="EK 359_2022-07-29T01x30x00"/>
    <s v="B777/3-ER"/>
    <x v="4"/>
    <x v="119"/>
    <x v="2"/>
    <s v="Operational"/>
    <s v="EK 359"/>
    <m/>
    <m/>
    <m/>
    <m/>
    <x v="0"/>
    <x v="0"/>
  </r>
  <r>
    <n v="27804668"/>
    <x v="0"/>
    <x v="467"/>
    <s v="EK 413_2022-07-29T01x40x00"/>
    <s v="A380/8"/>
    <x v="3"/>
    <x v="85"/>
    <x v="4"/>
    <s v="Operational"/>
    <s v="EK 413"/>
    <m/>
    <m/>
    <m/>
    <m/>
    <x v="0"/>
    <x v="0"/>
  </r>
  <r>
    <n v="27804683"/>
    <x v="0"/>
    <x v="468"/>
    <s v="EK 359_2022-07-29T01x30x00"/>
    <s v="B777/3-ER"/>
    <x v="4"/>
    <x v="119"/>
    <x v="0"/>
    <s v="Operational"/>
    <s v="EK 359"/>
    <m/>
    <m/>
    <m/>
    <m/>
    <x v="0"/>
    <x v="0"/>
  </r>
  <r>
    <n v="27817948"/>
    <x v="0"/>
    <x v="469"/>
    <s v="EK 505_2022-07-29T07x40x00"/>
    <s v="B777/3-ER"/>
    <x v="3"/>
    <x v="19"/>
    <x v="2"/>
    <s v="Operational"/>
    <s v="EK 505"/>
    <m/>
    <m/>
    <m/>
    <m/>
    <x v="0"/>
    <x v="0"/>
  </r>
  <r>
    <n v="27804703"/>
    <x v="0"/>
    <x v="470"/>
    <s v="EK 836_2022-07-29T02x00x00"/>
    <s v="B777/3-ER"/>
    <x v="3"/>
    <x v="124"/>
    <x v="3"/>
    <s v="Operational"/>
    <s v="EK 836"/>
    <m/>
    <m/>
    <m/>
    <m/>
    <x v="0"/>
    <x v="0"/>
  </r>
  <r>
    <n v="27804709"/>
    <x v="0"/>
    <x v="471"/>
    <s v="FZ 1830_2022-07-29T01x25x00"/>
    <s v="B737/8-MAX"/>
    <x v="5"/>
    <x v="122"/>
    <x v="4"/>
    <s v="Operational"/>
    <s v="FZ 1830"/>
    <m/>
    <m/>
    <m/>
    <m/>
    <x v="0"/>
    <x v="0"/>
  </r>
  <r>
    <n v="27804719"/>
    <x v="0"/>
    <x v="472"/>
    <s v="FZ 1808_2022-07-29T00x55x00"/>
    <s v="B737/8-MAX"/>
    <x v="5"/>
    <x v="120"/>
    <x v="2"/>
    <s v="Operational"/>
    <s v="FZ 1808"/>
    <m/>
    <m/>
    <m/>
    <m/>
    <x v="0"/>
    <x v="0"/>
  </r>
  <r>
    <n v="27804724"/>
    <x v="0"/>
    <x v="473"/>
    <s v="EK 764_2022-07-29T01x25x00"/>
    <s v="A380/8"/>
    <x v="2"/>
    <x v="105"/>
    <x v="2"/>
    <s v="Operational"/>
    <s v="EK 764"/>
    <m/>
    <m/>
    <m/>
    <m/>
    <x v="0"/>
    <x v="0"/>
  </r>
  <r>
    <n v="27804727"/>
    <x v="0"/>
    <x v="474"/>
    <s v="EK 836_2022-07-29T02x00x00"/>
    <s v="B777/3-ER"/>
    <x v="3"/>
    <x v="124"/>
    <x v="4"/>
    <s v="Operational"/>
    <s v="EK 836"/>
    <m/>
    <m/>
    <m/>
    <m/>
    <x v="0"/>
    <x v="0"/>
  </r>
  <r>
    <n v="27804739"/>
    <x v="0"/>
    <x v="475"/>
    <s v="FZ 632_2022-07-29T01x15x00"/>
    <s v="B737/8-MAX"/>
    <x v="1"/>
    <x v="6"/>
    <x v="3"/>
    <s v="Operational"/>
    <s v="FZ 632"/>
    <m/>
    <m/>
    <m/>
    <m/>
    <x v="0"/>
    <x v="0"/>
  </r>
  <r>
    <n v="27804744"/>
    <x v="0"/>
    <x v="476"/>
    <s v="FZ 632_2022-07-29T01x15x00"/>
    <s v="B737/8-MAX"/>
    <x v="1"/>
    <x v="6"/>
    <x v="4"/>
    <s v="Operational"/>
    <s v="FZ 632"/>
    <m/>
    <m/>
    <m/>
    <m/>
    <x v="0"/>
    <x v="0"/>
  </r>
  <r>
    <n v="27804756"/>
    <x v="0"/>
    <x v="477"/>
    <s v="FZ 1808_2022-07-29T00x55x00"/>
    <s v="B737/8-MAX"/>
    <x v="5"/>
    <x v="120"/>
    <x v="0"/>
    <s v="Operational"/>
    <s v="FZ 1808"/>
    <m/>
    <m/>
    <m/>
    <m/>
    <x v="0"/>
    <x v="0"/>
  </r>
  <r>
    <n v="27804770"/>
    <x v="0"/>
    <x v="478"/>
    <s v="EK 764_2022-07-29T01x25x00"/>
    <s v="A380/8"/>
    <x v="2"/>
    <x v="105"/>
    <x v="0"/>
    <s v="Operational"/>
    <s v="EK 764"/>
    <m/>
    <m/>
    <m/>
    <m/>
    <x v="0"/>
    <x v="0"/>
  </r>
  <r>
    <n v="27816689"/>
    <x v="0"/>
    <x v="479"/>
    <s v="FX 5033_2022-07-29T07x15x00"/>
    <s v="MD11"/>
    <x v="1"/>
    <x v="93"/>
    <x v="15"/>
    <s v="Technical"/>
    <s v="FX 5033"/>
    <m/>
    <m/>
    <m/>
    <m/>
    <x v="0"/>
    <x v="0"/>
  </r>
  <r>
    <n v="27804782"/>
    <x v="0"/>
    <x v="480"/>
    <s v="FZ 1782_2022-07-29T01x30x00"/>
    <s v="B737/8-MAX"/>
    <x v="5"/>
    <x v="18"/>
    <x v="2"/>
    <s v="Operational"/>
    <s v="FZ 1782"/>
    <m/>
    <m/>
    <m/>
    <m/>
    <x v="0"/>
    <x v="0"/>
  </r>
  <r>
    <n v="27804785"/>
    <x v="0"/>
    <x v="481"/>
    <s v="FZ 1782_2022-07-29T01x30x00"/>
    <s v="B737/8-MAX"/>
    <x v="5"/>
    <x v="18"/>
    <x v="0"/>
    <s v="Operational"/>
    <s v="FZ 1782"/>
    <m/>
    <m/>
    <m/>
    <m/>
    <x v="0"/>
    <x v="0"/>
  </r>
  <r>
    <n v="27804817"/>
    <x v="0"/>
    <x v="482"/>
    <s v="EK 032_2022-07-29T01x50x00"/>
    <s v="A380/8"/>
    <x v="3"/>
    <x v="51"/>
    <x v="3"/>
    <s v="Operational"/>
    <s v="EK 032"/>
    <m/>
    <m/>
    <m/>
    <m/>
    <x v="0"/>
    <x v="0"/>
  </r>
  <r>
    <n v="27804830"/>
    <x v="0"/>
    <x v="483"/>
    <s v="EK 867_2022-07-29T01x55x00"/>
    <s v="B777/3-ER"/>
    <x v="2"/>
    <x v="112"/>
    <x v="2"/>
    <s v="Operational"/>
    <m/>
    <m/>
    <m/>
    <m/>
    <m/>
    <x v="0"/>
    <x v="0"/>
  </r>
  <r>
    <n v="27816694"/>
    <x v="0"/>
    <x v="484"/>
    <m/>
    <m/>
    <x v="3"/>
    <x v="42"/>
    <x v="6"/>
    <s v="Operational"/>
    <m/>
    <m/>
    <m/>
    <m/>
    <m/>
    <x v="0"/>
    <x v="0"/>
  </r>
  <r>
    <n v="27804839"/>
    <x v="0"/>
    <x v="485"/>
    <s v="EK 867_2022-07-29T01x55x00"/>
    <s v="B777/3-ER"/>
    <x v="2"/>
    <x v="112"/>
    <x v="0"/>
    <s v="Operational"/>
    <m/>
    <m/>
    <m/>
    <m/>
    <m/>
    <x v="0"/>
    <x v="0"/>
  </r>
  <r>
    <n v="27804846"/>
    <x v="0"/>
    <x v="486"/>
    <s v="FZ 1830_2022-07-29T01x25x00"/>
    <s v="B737/8-MAX"/>
    <x v="5"/>
    <x v="122"/>
    <x v="2"/>
    <s v="Operational"/>
    <s v="FZ 1830"/>
    <m/>
    <m/>
    <m/>
    <m/>
    <x v="0"/>
    <x v="0"/>
  </r>
  <r>
    <n v="27804857"/>
    <x v="0"/>
    <x v="487"/>
    <s v="FZ 840_2022-07-29T00x50x00"/>
    <s v="B737/8-MAX"/>
    <x v="1"/>
    <x v="96"/>
    <x v="3"/>
    <s v="Operational"/>
    <s v="FZ 840"/>
    <m/>
    <m/>
    <m/>
    <m/>
    <x v="0"/>
    <x v="0"/>
  </r>
  <r>
    <n v="27804859"/>
    <x v="0"/>
    <x v="487"/>
    <s v="KU 678_2022-07-29T01x35x00"/>
    <s v="A320-NEO"/>
    <x v="0"/>
    <x v="40"/>
    <x v="1"/>
    <s v="Operational"/>
    <s v="KU 678"/>
    <m/>
    <m/>
    <m/>
    <m/>
    <x v="0"/>
    <x v="0"/>
  </r>
  <r>
    <n v="27804866"/>
    <x v="0"/>
    <x v="488"/>
    <s v="FZ 840_2022-07-29T00x50x00"/>
    <s v="B737/8-MAX"/>
    <x v="1"/>
    <x v="96"/>
    <x v="4"/>
    <s v="Operational"/>
    <s v="FZ 840"/>
    <m/>
    <m/>
    <m/>
    <m/>
    <x v="0"/>
    <x v="0"/>
  </r>
  <r>
    <n v="27804869"/>
    <x v="0"/>
    <x v="489"/>
    <s v="FZ 1830_2022-07-29T01x25x00"/>
    <s v="B737/8-MAX"/>
    <x v="5"/>
    <x v="122"/>
    <x v="0"/>
    <s v="Operational"/>
    <s v="FZ 1830"/>
    <m/>
    <m/>
    <m/>
    <m/>
    <x v="0"/>
    <x v="0"/>
  </r>
  <r>
    <n v="27804886"/>
    <x v="0"/>
    <x v="490"/>
    <s v="FZ 8195_2022-07-29T01x15x00"/>
    <s v="B737/8"/>
    <x v="1"/>
    <x v="72"/>
    <x v="1"/>
    <s v="Operational"/>
    <s v="FZ 8195"/>
    <m/>
    <m/>
    <m/>
    <m/>
    <x v="0"/>
    <x v="0"/>
  </r>
  <r>
    <n v="27804900"/>
    <x v="0"/>
    <x v="491"/>
    <s v="EK 188_2022-07-29T01x55x00"/>
    <s v="B777/3-ER"/>
    <x v="4"/>
    <x v="123"/>
    <x v="2"/>
    <s v="Operational"/>
    <s v="EK 188"/>
    <m/>
    <m/>
    <m/>
    <m/>
    <x v="0"/>
    <x v="0"/>
  </r>
  <r>
    <n v="27816712"/>
    <x v="0"/>
    <x v="492"/>
    <s v="EK 977_2022-07-29T21x20x00"/>
    <s v="A300/6"/>
    <x v="3"/>
    <x v="42"/>
    <x v="23"/>
    <s v="Operational"/>
    <m/>
    <m/>
    <m/>
    <m/>
    <m/>
    <x v="0"/>
    <x v="0"/>
  </r>
  <r>
    <n v="27804904"/>
    <x v="0"/>
    <x v="493"/>
    <s v="EK 188_2022-07-29T01x55x00"/>
    <s v="B777/3-ER"/>
    <x v="4"/>
    <x v="123"/>
    <x v="0"/>
    <s v="Operational"/>
    <s v="EK 188"/>
    <m/>
    <m/>
    <m/>
    <m/>
    <x v="0"/>
    <x v="0"/>
  </r>
  <r>
    <n v="27804941"/>
    <x v="0"/>
    <x v="494"/>
    <s v="SV 590_2022-07-29T00x45x00"/>
    <s v="A320"/>
    <x v="0"/>
    <x v="50"/>
    <x v="3"/>
    <s v="Operational"/>
    <s v="SV 590"/>
    <m/>
    <m/>
    <m/>
    <m/>
    <x v="0"/>
    <x v="0"/>
  </r>
  <r>
    <n v="27804943"/>
    <x v="0"/>
    <x v="495"/>
    <s v="EK 032_2022-07-29T01x50x00"/>
    <s v="A380/8"/>
    <x v="3"/>
    <x v="51"/>
    <x v="4"/>
    <s v="Operational"/>
    <s v="EK 032"/>
    <m/>
    <m/>
    <m/>
    <m/>
    <x v="0"/>
    <x v="0"/>
  </r>
  <r>
    <n v="27804952"/>
    <x v="0"/>
    <x v="496"/>
    <s v="EK 836_2022-07-29T02x00x00"/>
    <s v="B777/3-ER"/>
    <x v="3"/>
    <x v="124"/>
    <x v="2"/>
    <s v="Operational"/>
    <s v="EK 836"/>
    <m/>
    <m/>
    <m/>
    <m/>
    <x v="0"/>
    <x v="0"/>
  </r>
  <r>
    <n v="27804954"/>
    <x v="0"/>
    <x v="497"/>
    <s v="FZ 8946_2022-07-29T02x00x00"/>
    <s v="B737/8"/>
    <x v="1"/>
    <x v="69"/>
    <x v="3"/>
    <s v="Operational"/>
    <s v="FZ 8946"/>
    <m/>
    <m/>
    <m/>
    <m/>
    <x v="0"/>
    <x v="0"/>
  </r>
  <r>
    <n v="27816720"/>
    <x v="0"/>
    <x v="498"/>
    <s v="HY 333_2022-07-29T07x00x00"/>
    <s v="A320-NEO"/>
    <x v="0"/>
    <x v="9"/>
    <x v="10"/>
    <s v="Operational"/>
    <s v="HY 333"/>
    <m/>
    <m/>
    <m/>
    <m/>
    <x v="0"/>
    <x v="0"/>
  </r>
  <r>
    <n v="27816721"/>
    <x v="0"/>
    <x v="498"/>
    <s v="HY 333_2022-07-29T07x00x00"/>
    <s v="A320-NEO"/>
    <x v="0"/>
    <x v="9"/>
    <x v="11"/>
    <s v="Operational"/>
    <s v="HY 333"/>
    <m/>
    <m/>
    <m/>
    <m/>
    <x v="0"/>
    <x v="0"/>
  </r>
  <r>
    <n v="27804963"/>
    <x v="0"/>
    <x v="499"/>
    <s v="EK 836_2022-07-29T02x00x00"/>
    <s v="B777/3-ER"/>
    <x v="3"/>
    <x v="124"/>
    <x v="0"/>
    <s v="Operational"/>
    <s v="EK 836"/>
    <m/>
    <m/>
    <m/>
    <m/>
    <x v="0"/>
    <x v="0"/>
  </r>
  <r>
    <n v="27804984"/>
    <x v="0"/>
    <x v="500"/>
    <s v="FZ 8946_2022-07-29T02x00x00"/>
    <s v="B737/8"/>
    <x v="1"/>
    <x v="69"/>
    <x v="4"/>
    <s v="Operational"/>
    <s v="FZ 8946"/>
    <m/>
    <m/>
    <m/>
    <m/>
    <x v="0"/>
    <x v="0"/>
  </r>
  <r>
    <n v="27816727"/>
    <x v="0"/>
    <x v="501"/>
    <s v="RQ 911_2022-07-29T06x45x00"/>
    <s v="B737/3"/>
    <x v="0"/>
    <x v="92"/>
    <x v="2"/>
    <s v="Operational"/>
    <s v="RQ 911"/>
    <m/>
    <m/>
    <m/>
    <m/>
    <x v="0"/>
    <x v="0"/>
  </r>
  <r>
    <n v="27804997"/>
    <x v="0"/>
    <x v="502"/>
    <s v="EK 794_2022-07-29T01x10x00"/>
    <s v="B777/3-ER"/>
    <x v="3"/>
    <x v="78"/>
    <x v="3"/>
    <s v="Operational"/>
    <s v="EK 794"/>
    <m/>
    <m/>
    <m/>
    <m/>
    <x v="0"/>
    <x v="0"/>
  </r>
  <r>
    <n v="27805000"/>
    <x v="0"/>
    <x v="503"/>
    <s v="FZ 632_2022-07-29T01x15x00"/>
    <s v="B737/8-MAX"/>
    <x v="1"/>
    <x v="6"/>
    <x v="2"/>
    <s v="Operational"/>
    <s v="FZ 632"/>
    <m/>
    <m/>
    <m/>
    <m/>
    <x v="0"/>
    <x v="0"/>
  </r>
  <r>
    <n v="27805014"/>
    <x v="0"/>
    <x v="504"/>
    <s v="FZ 632_2022-07-29T01x15x00"/>
    <s v="B737/8-MAX"/>
    <x v="1"/>
    <x v="6"/>
    <x v="0"/>
    <s v="Operational"/>
    <s v="FZ 632"/>
    <m/>
    <m/>
    <m/>
    <m/>
    <x v="0"/>
    <x v="0"/>
  </r>
  <r>
    <n v="27816733"/>
    <x v="0"/>
    <x v="505"/>
    <s v="FX 5033_2022-07-29T07x15x00"/>
    <s v="MD11"/>
    <x v="1"/>
    <x v="93"/>
    <x v="16"/>
    <s v="Technical"/>
    <s v="FX 5033"/>
    <m/>
    <m/>
    <m/>
    <m/>
    <x v="0"/>
    <x v="0"/>
  </r>
  <r>
    <n v="27805027"/>
    <x v="0"/>
    <x v="506"/>
    <s v="EK 794_2022-07-29T01x10x00"/>
    <s v="B777/3-ER"/>
    <x v="3"/>
    <x v="78"/>
    <x v="4"/>
    <s v="Operational"/>
    <s v="EK 794"/>
    <m/>
    <m/>
    <m/>
    <m/>
    <x v="0"/>
    <x v="0"/>
  </r>
  <r>
    <n v="27805041"/>
    <x v="0"/>
    <x v="507"/>
    <s v="EK 413_2022-07-29T01x40x00"/>
    <s v="A380/8"/>
    <x v="3"/>
    <x v="85"/>
    <x v="2"/>
    <s v="Operational"/>
    <s v="EK 413"/>
    <m/>
    <m/>
    <m/>
    <m/>
    <x v="0"/>
    <x v="0"/>
  </r>
  <r>
    <n v="27805047"/>
    <x v="0"/>
    <x v="508"/>
    <s v="EK 722_2022-07-29T01x45x00"/>
    <s v="B777/3-ER"/>
    <x v="3"/>
    <x v="44"/>
    <x v="3"/>
    <s v="Operational"/>
    <s v="EK 722"/>
    <m/>
    <m/>
    <m/>
    <m/>
    <x v="0"/>
    <x v="0"/>
  </r>
  <r>
    <n v="27805061"/>
    <x v="0"/>
    <x v="509"/>
    <s v="EK 032_2022-07-29T01x50x00"/>
    <s v="A380/8"/>
    <x v="3"/>
    <x v="51"/>
    <x v="2"/>
    <s v="Operational"/>
    <s v="EK 032"/>
    <m/>
    <m/>
    <m/>
    <m/>
    <x v="0"/>
    <x v="0"/>
  </r>
  <r>
    <n v="27805063"/>
    <x v="0"/>
    <x v="510"/>
    <s v="EK 413_2022-07-29T01x40x00"/>
    <s v="A380/8"/>
    <x v="3"/>
    <x v="85"/>
    <x v="0"/>
    <s v="Operational"/>
    <s v="EK 413"/>
    <m/>
    <m/>
    <m/>
    <m/>
    <x v="0"/>
    <x v="0"/>
  </r>
  <r>
    <n v="27805074"/>
    <x v="0"/>
    <x v="511"/>
    <s v="EK 385_2022-07-29T01x35x00"/>
    <s v="B777/3-ER"/>
    <x v="3"/>
    <x v="84"/>
    <x v="1"/>
    <s v="Operational"/>
    <s v="EK 385"/>
    <m/>
    <m/>
    <m/>
    <m/>
    <x v="0"/>
    <x v="0"/>
  </r>
  <r>
    <n v="27805090"/>
    <x v="0"/>
    <x v="512"/>
    <m/>
    <m/>
    <x v="1"/>
    <x v="74"/>
    <x v="7"/>
    <s v="Operational"/>
    <m/>
    <m/>
    <m/>
    <m/>
    <m/>
    <x v="0"/>
    <x v="0"/>
  </r>
  <r>
    <n v="27805100"/>
    <x v="0"/>
    <x v="513"/>
    <s v="EK 385_2022-07-29T02x10x00"/>
    <s v="B777/3-ER"/>
    <x v="6"/>
    <x v="125"/>
    <x v="3"/>
    <s v="Operational"/>
    <s v="EK 385"/>
    <m/>
    <m/>
    <m/>
    <m/>
    <x v="0"/>
    <x v="0"/>
  </r>
  <r>
    <n v="27805102"/>
    <x v="0"/>
    <x v="514"/>
    <s v="EK 032_2022-07-29T01x50x00"/>
    <s v="A380/8"/>
    <x v="3"/>
    <x v="51"/>
    <x v="0"/>
    <s v="Operational"/>
    <s v="EK 032"/>
    <m/>
    <m/>
    <m/>
    <m/>
    <x v="0"/>
    <x v="0"/>
  </r>
  <r>
    <n v="27805119"/>
    <x v="0"/>
    <x v="515"/>
    <s v="EK 126_2022-07-29T02x15x00"/>
    <s v="B777/3-ER"/>
    <x v="4"/>
    <x v="25"/>
    <x v="3"/>
    <s v="Operational"/>
    <s v="EK 126"/>
    <m/>
    <m/>
    <m/>
    <m/>
    <x v="0"/>
    <x v="0"/>
  </r>
  <r>
    <n v="27805131"/>
    <x v="0"/>
    <x v="516"/>
    <s v="SV 590_2022-07-29T00x45x00"/>
    <s v="A320"/>
    <x v="0"/>
    <x v="50"/>
    <x v="4"/>
    <s v="Operational"/>
    <s v="SV 590"/>
    <m/>
    <m/>
    <m/>
    <m/>
    <x v="0"/>
    <x v="0"/>
  </r>
  <r>
    <n v="27805136"/>
    <x v="0"/>
    <x v="517"/>
    <s v="6E 1088_2022-07-29T01x45x00"/>
    <s v="A320-NEO"/>
    <x v="0"/>
    <x v="63"/>
    <x v="1"/>
    <s v="Operational"/>
    <s v="6E 1088"/>
    <m/>
    <m/>
    <m/>
    <m/>
    <x v="0"/>
    <x v="0"/>
  </r>
  <r>
    <n v="27805147"/>
    <x v="0"/>
    <x v="518"/>
    <s v="FZ 840_2022-07-29T00x50x00"/>
    <s v="B737/8-MAX"/>
    <x v="1"/>
    <x v="96"/>
    <x v="2"/>
    <s v="Operational"/>
    <s v="FZ 840"/>
    <m/>
    <m/>
    <m/>
    <m/>
    <x v="0"/>
    <x v="0"/>
  </r>
  <r>
    <n v="27805170"/>
    <x v="0"/>
    <x v="519"/>
    <s v="FZ 840_2022-07-29T00x50x00"/>
    <s v="B737/8-MAX"/>
    <x v="1"/>
    <x v="96"/>
    <x v="0"/>
    <s v="Operational"/>
    <s v="FZ 840"/>
    <m/>
    <m/>
    <m/>
    <m/>
    <x v="0"/>
    <x v="0"/>
  </r>
  <r>
    <n v="27805186"/>
    <x v="0"/>
    <x v="520"/>
    <s v="EK 126_2022-07-29T02x15x00"/>
    <s v="B777/3-ER"/>
    <x v="4"/>
    <x v="25"/>
    <x v="4"/>
    <s v="Operational"/>
    <s v="EK 126"/>
    <m/>
    <m/>
    <m/>
    <m/>
    <x v="0"/>
    <x v="0"/>
  </r>
  <r>
    <n v="27805199"/>
    <x v="0"/>
    <x v="521"/>
    <s v="FZ 8946_2022-07-29T02x00x00"/>
    <s v="B737/8"/>
    <x v="1"/>
    <x v="69"/>
    <x v="2"/>
    <s v="Operational"/>
    <s v="FZ 8946"/>
    <m/>
    <m/>
    <m/>
    <m/>
    <x v="0"/>
    <x v="0"/>
  </r>
  <r>
    <n v="27805201"/>
    <x v="0"/>
    <x v="522"/>
    <s v="EK 501_2022-07-29T02x00x00"/>
    <s v="A380/8"/>
    <x v="4"/>
    <x v="126"/>
    <x v="3"/>
    <s v="Operational"/>
    <s v="EK 501"/>
    <m/>
    <m/>
    <m/>
    <m/>
    <x v="0"/>
    <x v="0"/>
  </r>
  <r>
    <n v="27805204"/>
    <x v="0"/>
    <x v="523"/>
    <s v="MS 911_2022-07-29T01x20x00"/>
    <s v="A330/3"/>
    <x v="0"/>
    <x v="88"/>
    <x v="1"/>
    <s v="Operational"/>
    <s v="MS 911"/>
    <m/>
    <m/>
    <m/>
    <m/>
    <x v="0"/>
    <x v="0"/>
  </r>
  <r>
    <n v="27805213"/>
    <x v="0"/>
    <x v="524"/>
    <s v="EK 501_2022-07-29T02x00x00"/>
    <s v="A380/8"/>
    <x v="4"/>
    <x v="126"/>
    <x v="4"/>
    <s v="Operational"/>
    <s v="EK 501"/>
    <m/>
    <m/>
    <m/>
    <m/>
    <x v="0"/>
    <x v="0"/>
  </r>
  <r>
    <n v="27805217"/>
    <x v="0"/>
    <x v="525"/>
    <s v="FZ 8946_2022-07-29T02x00x00"/>
    <s v="B737/8"/>
    <x v="1"/>
    <x v="69"/>
    <x v="0"/>
    <s v="Operational"/>
    <s v="FZ 8946"/>
    <m/>
    <m/>
    <m/>
    <m/>
    <x v="0"/>
    <x v="0"/>
  </r>
  <r>
    <n v="27805252"/>
    <x v="0"/>
    <x v="526"/>
    <s v="EK 385_2022-07-29T02x10x00"/>
    <s v="B777/3-ER"/>
    <x v="6"/>
    <x v="125"/>
    <x v="4"/>
    <s v="Operational"/>
    <s v="EK 385"/>
    <m/>
    <m/>
    <m/>
    <m/>
    <x v="0"/>
    <x v="0"/>
  </r>
  <r>
    <n v="27805268"/>
    <x v="0"/>
    <x v="527"/>
    <m/>
    <m/>
    <x v="2"/>
    <x v="53"/>
    <x v="6"/>
    <s v="Operational"/>
    <m/>
    <m/>
    <m/>
    <m/>
    <m/>
    <x v="0"/>
    <x v="0"/>
  </r>
  <r>
    <n v="27805276"/>
    <x v="0"/>
    <x v="528"/>
    <s v="SV 590_2022-07-29T00x45x00"/>
    <s v="A320"/>
    <x v="0"/>
    <x v="50"/>
    <x v="2"/>
    <s v="Operational"/>
    <s v="SV 590"/>
    <m/>
    <m/>
    <m/>
    <m/>
    <x v="0"/>
    <x v="0"/>
  </r>
  <r>
    <n v="27805281"/>
    <x v="0"/>
    <x v="529"/>
    <s v="EK 788_2022-07-29T01x50x00"/>
    <s v="B777/3-ER"/>
    <x v="2"/>
    <x v="90"/>
    <x v="3"/>
    <s v="Operational"/>
    <s v="EK 788"/>
    <m/>
    <m/>
    <m/>
    <m/>
    <x v="0"/>
    <x v="0"/>
  </r>
  <r>
    <n v="27805289"/>
    <x v="0"/>
    <x v="530"/>
    <s v="SV 590_2022-07-29T00x45x00"/>
    <s v="A320"/>
    <x v="0"/>
    <x v="50"/>
    <x v="0"/>
    <s v="Operational"/>
    <s v="SV 590"/>
    <m/>
    <m/>
    <m/>
    <m/>
    <x v="0"/>
    <x v="0"/>
  </r>
  <r>
    <n v="27805302"/>
    <x v="0"/>
    <x v="531"/>
    <s v="EK 722_2022-07-29T01x45x00"/>
    <s v="B777/3-ER"/>
    <x v="3"/>
    <x v="44"/>
    <x v="4"/>
    <s v="Operational"/>
    <s v="EK 722"/>
    <m/>
    <m/>
    <m/>
    <m/>
    <x v="0"/>
    <x v="0"/>
  </r>
  <r>
    <n v="27805310"/>
    <x v="0"/>
    <x v="532"/>
    <s v="EK 788_2022-07-29T01x50x00"/>
    <s v="B777/3-ER"/>
    <x v="2"/>
    <x v="90"/>
    <x v="4"/>
    <s v="Operational"/>
    <s v="EK 788"/>
    <m/>
    <m/>
    <m/>
    <m/>
    <x v="0"/>
    <x v="0"/>
  </r>
  <r>
    <n v="27805319"/>
    <x v="0"/>
    <x v="533"/>
    <s v="EK 513_2022-07-29T02x20x00"/>
    <s v="B777/3-ER"/>
    <x v="6"/>
    <x v="127"/>
    <x v="3"/>
    <s v="Operational"/>
    <s v="EK 513"/>
    <m/>
    <m/>
    <m/>
    <m/>
    <x v="0"/>
    <x v="0"/>
  </r>
  <r>
    <n v="27805338"/>
    <x v="0"/>
    <x v="534"/>
    <s v="EK 513_2022-07-29T02x20x00"/>
    <s v="B777/3-ER"/>
    <x v="6"/>
    <x v="127"/>
    <x v="4"/>
    <s v="Operational"/>
    <s v="EK 513"/>
    <m/>
    <m/>
    <m/>
    <m/>
    <x v="0"/>
    <x v="0"/>
  </r>
  <r>
    <n v="27816740"/>
    <x v="0"/>
    <x v="535"/>
    <s v="FX 5033_2022-07-29T07x15x00"/>
    <s v="MD11"/>
    <x v="1"/>
    <x v="93"/>
    <x v="3"/>
    <s v="Operational"/>
    <s v="FX 5033"/>
    <m/>
    <m/>
    <m/>
    <m/>
    <x v="0"/>
    <x v="0"/>
  </r>
  <r>
    <n v="27807040"/>
    <x v="0"/>
    <x v="536"/>
    <s v="EK 347_2022-07-29T22x20x00"/>
    <s v="B777/3-ER"/>
    <x v="5"/>
    <x v="16"/>
    <x v="24"/>
    <s v="Operational"/>
    <m/>
    <m/>
    <m/>
    <m/>
    <m/>
    <x v="0"/>
    <x v="0"/>
  </r>
  <r>
    <n v="27807044"/>
    <x v="0"/>
    <x v="537"/>
    <s v="FZ 1745_2022-07-29T05x05x00"/>
    <s v="B737/8-MAX"/>
    <x v="5"/>
    <x v="82"/>
    <x v="24"/>
    <s v="Operational"/>
    <m/>
    <m/>
    <m/>
    <m/>
    <m/>
    <x v="0"/>
    <x v="0"/>
  </r>
  <r>
    <n v="27805355"/>
    <x v="0"/>
    <x v="538"/>
    <s v="EK 623_2022-07-29T01x40x00"/>
    <s v="B777/3-ER"/>
    <x v="3"/>
    <x v="5"/>
    <x v="3"/>
    <s v="Operational"/>
    <s v="EK 623"/>
    <m/>
    <m/>
    <m/>
    <m/>
    <x v="0"/>
    <x v="0"/>
  </r>
  <r>
    <n v="27807057"/>
    <x v="0"/>
    <x v="539"/>
    <m/>
    <m/>
    <x v="5"/>
    <x v="16"/>
    <x v="25"/>
    <s v="Operational"/>
    <m/>
    <m/>
    <m/>
    <m/>
    <m/>
    <x v="0"/>
    <x v="0"/>
  </r>
  <r>
    <n v="27805380"/>
    <x v="0"/>
    <x v="540"/>
    <s v="EK 623_2022-07-29T01x40x00"/>
    <s v="B777/3-ER"/>
    <x v="3"/>
    <x v="5"/>
    <x v="4"/>
    <s v="Operational"/>
    <s v="EK 623"/>
    <m/>
    <m/>
    <m/>
    <m/>
    <x v="0"/>
    <x v="0"/>
  </r>
  <r>
    <n v="27805387"/>
    <x v="0"/>
    <x v="541"/>
    <s v="EK 794_2022-07-29T01x10x00"/>
    <s v="B777/3-ER"/>
    <x v="3"/>
    <x v="78"/>
    <x v="2"/>
    <s v="Operational"/>
    <s v="EK 794"/>
    <m/>
    <m/>
    <m/>
    <m/>
    <x v="0"/>
    <x v="0"/>
  </r>
  <r>
    <n v="27805398"/>
    <x v="0"/>
    <x v="542"/>
    <s v="EK 794_2022-07-29T01x10x00"/>
    <s v="B777/3-ER"/>
    <x v="3"/>
    <x v="78"/>
    <x v="0"/>
    <s v="Operational"/>
    <s v="EK 794"/>
    <m/>
    <m/>
    <m/>
    <m/>
    <x v="0"/>
    <x v="0"/>
  </r>
  <r>
    <n v="27805413"/>
    <x v="0"/>
    <x v="543"/>
    <s v="EK 539_2022-07-29T01x55x00"/>
    <s v="B777/3-ER"/>
    <x v="2"/>
    <x v="4"/>
    <x v="3"/>
    <s v="Operational"/>
    <s v="EK 539"/>
    <m/>
    <m/>
    <m/>
    <m/>
    <x v="0"/>
    <x v="0"/>
  </r>
  <r>
    <n v="27805425"/>
    <x v="0"/>
    <x v="544"/>
    <s v="EK 539_2022-07-29T01x55x00"/>
    <s v="B777/3-ER"/>
    <x v="2"/>
    <x v="4"/>
    <x v="4"/>
    <s v="Operational"/>
    <s v="EK 539"/>
    <m/>
    <m/>
    <m/>
    <m/>
    <x v="0"/>
    <x v="0"/>
  </r>
  <r>
    <n v="27807064"/>
    <x v="0"/>
    <x v="545"/>
    <m/>
    <m/>
    <x v="5"/>
    <x v="82"/>
    <x v="25"/>
    <s v="Operational"/>
    <m/>
    <m/>
    <m/>
    <m/>
    <m/>
    <x v="0"/>
    <x v="0"/>
  </r>
  <r>
    <n v="27805435"/>
    <x v="0"/>
    <x v="546"/>
    <s v="EK 084_2022-07-29T02x10x00"/>
    <s v="B777/3-ER"/>
    <x v="2"/>
    <x v="7"/>
    <x v="3"/>
    <s v="Operational"/>
    <s v="EK 084"/>
    <m/>
    <m/>
    <m/>
    <m/>
    <x v="0"/>
    <x v="0"/>
  </r>
  <r>
    <n v="27805439"/>
    <x v="0"/>
    <x v="547"/>
    <s v="EK 722_2022-07-29T01x45x00"/>
    <s v="B777/3-ER"/>
    <x v="3"/>
    <x v="44"/>
    <x v="2"/>
    <s v="Operational"/>
    <s v="EK 722"/>
    <m/>
    <m/>
    <m/>
    <m/>
    <x v="0"/>
    <x v="0"/>
  </r>
  <r>
    <n v="27805442"/>
    <x v="0"/>
    <x v="548"/>
    <s v="EK 501_2022-07-29T02x00x00"/>
    <s v="A380/8"/>
    <x v="4"/>
    <x v="126"/>
    <x v="2"/>
    <s v="Operational"/>
    <s v="EK 501"/>
    <m/>
    <m/>
    <m/>
    <m/>
    <x v="0"/>
    <x v="0"/>
  </r>
  <r>
    <n v="27805445"/>
    <x v="0"/>
    <x v="549"/>
    <s v="EK 126_2022-07-29T02x15x00"/>
    <s v="B777/3-ER"/>
    <x v="4"/>
    <x v="25"/>
    <x v="2"/>
    <s v="Operational"/>
    <s v="EK 126"/>
    <m/>
    <m/>
    <m/>
    <m/>
    <x v="0"/>
    <x v="0"/>
  </r>
  <r>
    <n v="27805447"/>
    <x v="0"/>
    <x v="550"/>
    <s v="EK 722_2022-07-29T01x45x00"/>
    <s v="B777/3-ER"/>
    <x v="3"/>
    <x v="44"/>
    <x v="0"/>
    <s v="Operational"/>
    <s v="EK 722"/>
    <m/>
    <m/>
    <m/>
    <m/>
    <x v="0"/>
    <x v="0"/>
  </r>
  <r>
    <n v="27805463"/>
    <x v="0"/>
    <x v="551"/>
    <s v="EK 501_2022-07-29T02x00x00"/>
    <s v="A380/8"/>
    <x v="4"/>
    <x v="126"/>
    <x v="0"/>
    <s v="Operational"/>
    <s v="EK 501"/>
    <m/>
    <m/>
    <m/>
    <m/>
    <x v="0"/>
    <x v="0"/>
  </r>
  <r>
    <n v="27805476"/>
    <x v="0"/>
    <x v="552"/>
    <s v="EK 126_2022-07-29T02x15x00"/>
    <s v="B777/3-ER"/>
    <x v="4"/>
    <x v="25"/>
    <x v="0"/>
    <s v="Operational"/>
    <s v="EK 126"/>
    <m/>
    <m/>
    <m/>
    <m/>
    <x v="0"/>
    <x v="0"/>
  </r>
  <r>
    <n v="27805494"/>
    <x v="0"/>
    <x v="553"/>
    <s v="FZ 1408_2022-07-29T01x45x00"/>
    <s v="B737/8-MAX"/>
    <x v="5"/>
    <x v="23"/>
    <x v="3"/>
    <s v="Operational"/>
    <s v="FZ 1408"/>
    <m/>
    <m/>
    <m/>
    <m/>
    <x v="0"/>
    <x v="0"/>
  </r>
  <r>
    <n v="27805505"/>
    <x v="0"/>
    <x v="554"/>
    <s v="EK 385_2022-07-29T02x10x00"/>
    <s v="B777/3-ER"/>
    <x v="6"/>
    <x v="125"/>
    <x v="2"/>
    <s v="Operational"/>
    <s v="EK 385"/>
    <m/>
    <m/>
    <m/>
    <m/>
    <x v="0"/>
    <x v="0"/>
  </r>
  <r>
    <n v="27816743"/>
    <x v="0"/>
    <x v="555"/>
    <s v="EK 204_2022-07-29T06x40x00"/>
    <s v="A380/8"/>
    <x v="5"/>
    <x v="62"/>
    <x v="2"/>
    <s v="Operational"/>
    <s v="EK 204"/>
    <m/>
    <m/>
    <m/>
    <m/>
    <x v="0"/>
    <x v="0"/>
  </r>
  <r>
    <n v="27805522"/>
    <x v="0"/>
    <x v="556"/>
    <s v="EK 084_2022-07-29T02x10x00"/>
    <s v="B777/3-ER"/>
    <x v="2"/>
    <x v="7"/>
    <x v="4"/>
    <s v="Operational"/>
    <s v="EK 084"/>
    <m/>
    <m/>
    <m/>
    <m/>
    <x v="0"/>
    <x v="0"/>
  </r>
  <r>
    <n v="27805534"/>
    <x v="0"/>
    <x v="557"/>
    <s v="EK 513_2022-07-29T02x20x00"/>
    <s v="B777/3-ER"/>
    <x v="6"/>
    <x v="127"/>
    <x v="2"/>
    <s v="Operational"/>
    <s v="EK 513"/>
    <m/>
    <m/>
    <m/>
    <m/>
    <x v="0"/>
    <x v="0"/>
  </r>
  <r>
    <n v="27805536"/>
    <x v="0"/>
    <x v="558"/>
    <s v="EK 788_2022-07-29T01x50x00"/>
    <s v="B777/3-ER"/>
    <x v="2"/>
    <x v="90"/>
    <x v="2"/>
    <s v="Operational"/>
    <s v="EK 788"/>
    <m/>
    <m/>
    <m/>
    <m/>
    <x v="0"/>
    <x v="0"/>
  </r>
  <r>
    <n v="27805544"/>
    <x v="0"/>
    <x v="559"/>
    <s v="EK 385_2022-07-29T02x10x00"/>
    <s v="B777/3-ER"/>
    <x v="6"/>
    <x v="125"/>
    <x v="0"/>
    <s v="Operational"/>
    <s v="EK 385"/>
    <m/>
    <m/>
    <m/>
    <m/>
    <x v="0"/>
    <x v="0"/>
  </r>
  <r>
    <n v="27805548"/>
    <x v="0"/>
    <x v="559"/>
    <s v="FZ 391_2022-07-29T01x50x00"/>
    <s v="B737/8"/>
    <x v="1"/>
    <x v="87"/>
    <x v="1"/>
    <s v="Operational"/>
    <s v="FZ 391"/>
    <m/>
    <m/>
    <m/>
    <m/>
    <x v="0"/>
    <x v="0"/>
  </r>
  <r>
    <n v="27805569"/>
    <x v="0"/>
    <x v="560"/>
    <s v="EK 513_2022-07-29T02x20x00"/>
    <s v="B777/3-ER"/>
    <x v="6"/>
    <x v="127"/>
    <x v="0"/>
    <s v="Operational"/>
    <s v="EK 513"/>
    <m/>
    <m/>
    <m/>
    <m/>
    <x v="0"/>
    <x v="0"/>
  </r>
  <r>
    <n v="27816746"/>
    <x v="0"/>
    <x v="561"/>
    <s v="EK 858_2022-07-30T05x00x00"/>
    <s v="B777/2-LR"/>
    <x v="7"/>
    <x v="128"/>
    <x v="1"/>
    <s v="Operational"/>
    <m/>
    <m/>
    <m/>
    <m/>
    <m/>
    <x v="0"/>
    <x v="0"/>
  </r>
  <r>
    <n v="27805581"/>
    <x v="0"/>
    <x v="562"/>
    <s v="EK 132_2022-07-29T02x00x00"/>
    <s v="A380/8"/>
    <x v="2"/>
    <x v="27"/>
    <x v="3"/>
    <s v="Operational"/>
    <s v="EK 132"/>
    <m/>
    <m/>
    <m/>
    <m/>
    <x v="0"/>
    <x v="0"/>
  </r>
  <r>
    <n v="27805585"/>
    <x v="0"/>
    <x v="563"/>
    <s v="EK 788_2022-07-29T01x50x00"/>
    <s v="B777/3-ER"/>
    <x v="2"/>
    <x v="90"/>
    <x v="0"/>
    <s v="Operational"/>
    <s v="EK 788"/>
    <m/>
    <m/>
    <m/>
    <m/>
    <x v="0"/>
    <x v="0"/>
  </r>
  <r>
    <n v="27807082"/>
    <x v="0"/>
    <x v="564"/>
    <s v="EK 523_2022-07-29T03x05x00"/>
    <s v="B777/3-ER"/>
    <x v="6"/>
    <x v="60"/>
    <x v="4"/>
    <s v="Operational"/>
    <s v="EK 523"/>
    <m/>
    <m/>
    <m/>
    <m/>
    <x v="0"/>
    <x v="0"/>
  </r>
  <r>
    <n v="27805602"/>
    <x v="0"/>
    <x v="565"/>
    <s v="ET 613_2022-07-29T01x40x00"/>
    <s v="B787/8"/>
    <x v="0"/>
    <x v="61"/>
    <x v="1"/>
    <s v="Operational"/>
    <s v="ET 613"/>
    <m/>
    <m/>
    <m/>
    <m/>
    <x v="0"/>
    <x v="0"/>
  </r>
  <r>
    <n v="27805611"/>
    <x v="0"/>
    <x v="566"/>
    <s v="EK 652_2022-07-29T05x45x00"/>
    <s v="B777/3-ER"/>
    <x v="3"/>
    <x v="42"/>
    <x v="1"/>
    <s v="Operational"/>
    <m/>
    <m/>
    <m/>
    <m/>
    <m/>
    <x v="0"/>
    <x v="0"/>
  </r>
  <r>
    <n v="27805623"/>
    <x v="0"/>
    <x v="567"/>
    <s v="FZ 1408_2022-07-29T01x45x00"/>
    <s v="B737/8-MAX"/>
    <x v="5"/>
    <x v="23"/>
    <x v="4"/>
    <s v="Operational"/>
    <s v="FZ 1408"/>
    <m/>
    <m/>
    <m/>
    <m/>
    <x v="0"/>
    <x v="0"/>
  </r>
  <r>
    <n v="27805637"/>
    <x v="0"/>
    <x v="568"/>
    <s v="EK 649_2022-07-29T02x00x00"/>
    <s v="B777/3-ER"/>
    <x v="2"/>
    <x v="53"/>
    <x v="2"/>
    <s v="Operational"/>
    <m/>
    <m/>
    <m/>
    <m/>
    <m/>
    <x v="0"/>
    <x v="0"/>
  </r>
  <r>
    <n v="27805647"/>
    <x v="0"/>
    <x v="569"/>
    <s v="EK 132_2022-07-29T02x00x00"/>
    <s v="A380/8"/>
    <x v="2"/>
    <x v="27"/>
    <x v="4"/>
    <s v="Operational"/>
    <s v="EK 132"/>
    <m/>
    <m/>
    <m/>
    <m/>
    <x v="0"/>
    <x v="0"/>
  </r>
  <r>
    <n v="27807089"/>
    <x v="0"/>
    <x v="570"/>
    <s v="PA 811_2022-07-29T02x45x00"/>
    <s v="A321"/>
    <x v="0"/>
    <x v="63"/>
    <x v="1"/>
    <s v="Operational"/>
    <s v="PA 811"/>
    <m/>
    <m/>
    <m/>
    <m/>
    <x v="0"/>
    <x v="0"/>
  </r>
  <r>
    <n v="27805657"/>
    <x v="0"/>
    <x v="571"/>
    <s v="EK 649_2022-07-29T02x00x00"/>
    <s v="B777/3-ER"/>
    <x v="2"/>
    <x v="53"/>
    <x v="0"/>
    <s v="Operational"/>
    <m/>
    <m/>
    <m/>
    <m/>
    <m/>
    <x v="0"/>
    <x v="0"/>
  </r>
  <r>
    <n v="27805669"/>
    <x v="0"/>
    <x v="572"/>
    <m/>
    <m/>
    <x v="6"/>
    <x v="47"/>
    <x v="6"/>
    <s v="Operational"/>
    <m/>
    <m/>
    <m/>
    <m/>
    <m/>
    <x v="0"/>
    <x v="0"/>
  </r>
  <r>
    <n v="27807108"/>
    <x v="0"/>
    <x v="573"/>
    <s v="EK 816_2022-07-29T03x00x00"/>
    <s v="B777/3-ER"/>
    <x v="6"/>
    <x v="129"/>
    <x v="3"/>
    <s v="Operational"/>
    <s v="EK 816"/>
    <m/>
    <m/>
    <m/>
    <m/>
    <x v="0"/>
    <x v="0"/>
  </r>
  <r>
    <n v="27816748"/>
    <x v="0"/>
    <x v="574"/>
    <s v="SV 566_2022-07-29T06x45x00"/>
    <s v="A320"/>
    <x v="0"/>
    <x v="3"/>
    <x v="10"/>
    <s v="Operational"/>
    <s v="SV 566"/>
    <m/>
    <m/>
    <m/>
    <m/>
    <x v="0"/>
    <x v="0"/>
  </r>
  <r>
    <n v="27807138"/>
    <x v="0"/>
    <x v="575"/>
    <s v="EK 523_2022-07-29T03x05x00"/>
    <s v="B777/3-ER"/>
    <x v="6"/>
    <x v="60"/>
    <x v="2"/>
    <s v="Operational"/>
    <s v="EK 523"/>
    <m/>
    <m/>
    <m/>
    <m/>
    <x v="0"/>
    <x v="0"/>
  </r>
  <r>
    <n v="27807155"/>
    <x v="0"/>
    <x v="576"/>
    <s v="FZ 174_2022-07-29T02x45x00"/>
    <s v="B737/8"/>
    <x v="5"/>
    <x v="98"/>
    <x v="2"/>
    <s v="Operational"/>
    <s v="FZ 174"/>
    <m/>
    <m/>
    <m/>
    <m/>
    <x v="0"/>
    <x v="0"/>
  </r>
  <r>
    <n v="27807160"/>
    <x v="0"/>
    <x v="577"/>
    <s v="EK 523_2022-07-29T03x05x00"/>
    <s v="B777/3-ER"/>
    <x v="6"/>
    <x v="60"/>
    <x v="0"/>
    <s v="Operational"/>
    <s v="EK 523"/>
    <m/>
    <m/>
    <m/>
    <m/>
    <x v="0"/>
    <x v="0"/>
  </r>
  <r>
    <n v="27807175"/>
    <x v="0"/>
    <x v="578"/>
    <s v="FZ 174_2022-07-29T02x45x00"/>
    <s v="B737/8"/>
    <x v="5"/>
    <x v="98"/>
    <x v="0"/>
    <s v="Operational"/>
    <s v="FZ 174"/>
    <m/>
    <m/>
    <m/>
    <m/>
    <x v="0"/>
    <x v="0"/>
  </r>
  <r>
    <n v="27816750"/>
    <x v="0"/>
    <x v="579"/>
    <s v="SV 566_2022-07-29T06x45x00"/>
    <s v="A320"/>
    <x v="0"/>
    <x v="3"/>
    <x v="11"/>
    <s v="Operational"/>
    <s v="SV 566"/>
    <m/>
    <m/>
    <m/>
    <m/>
    <x v="0"/>
    <x v="0"/>
  </r>
  <r>
    <n v="27807202"/>
    <x v="0"/>
    <x v="580"/>
    <s v="EK 569_2022-07-29T02x50x00"/>
    <s v="B777/3-ER"/>
    <x v="3"/>
    <x v="94"/>
    <x v="2"/>
    <s v="Operational"/>
    <s v="EK 569"/>
    <m/>
    <m/>
    <m/>
    <m/>
    <x v="0"/>
    <x v="0"/>
  </r>
  <r>
    <n v="27807215"/>
    <x v="0"/>
    <x v="581"/>
    <s v="EK 569_2022-07-29T02x50x00"/>
    <s v="B777/3-ER"/>
    <x v="3"/>
    <x v="94"/>
    <x v="0"/>
    <s v="Operational"/>
    <s v="EK 569"/>
    <m/>
    <m/>
    <m/>
    <m/>
    <x v="0"/>
    <x v="0"/>
  </r>
  <r>
    <n v="27816755"/>
    <x v="0"/>
    <x v="582"/>
    <s v="FX 5033_2022-07-29T07x15x00"/>
    <s v="MD11"/>
    <x v="1"/>
    <x v="93"/>
    <x v="4"/>
    <s v="Operational"/>
    <s v="FX 5033"/>
    <m/>
    <m/>
    <m/>
    <m/>
    <x v="0"/>
    <x v="0"/>
  </r>
  <r>
    <n v="27807290"/>
    <x v="0"/>
    <x v="583"/>
    <s v="FZ 344_2022-07-29T02x50x00"/>
    <s v="B737/8"/>
    <x v="8"/>
    <x v="130"/>
    <x v="3"/>
    <s v="Operational"/>
    <s v="FZ 344"/>
    <m/>
    <m/>
    <m/>
    <m/>
    <x v="0"/>
    <x v="0"/>
  </r>
  <r>
    <n v="27807299"/>
    <x v="0"/>
    <x v="584"/>
    <s v="FZ 171_2022-07-29T10x25x00"/>
    <s v="B737/8"/>
    <x v="8"/>
    <x v="108"/>
    <x v="23"/>
    <s v="Operational"/>
    <s v="FZ 344"/>
    <m/>
    <m/>
    <m/>
    <m/>
    <x v="0"/>
    <x v="0"/>
  </r>
  <r>
    <n v="27807305"/>
    <x v="0"/>
    <x v="585"/>
    <s v="FZ 344_2022-07-29T02x50x00"/>
    <s v="B737/8"/>
    <x v="8"/>
    <x v="130"/>
    <x v="4"/>
    <s v="Operational"/>
    <s v="FZ 344"/>
    <m/>
    <m/>
    <m/>
    <m/>
    <x v="0"/>
    <x v="0"/>
  </r>
  <r>
    <n v="27807311"/>
    <x v="0"/>
    <x v="586"/>
    <s v="FZ 344_2022-07-29T02x50x00"/>
    <s v="B737/8"/>
    <x v="8"/>
    <x v="130"/>
    <x v="15"/>
    <s v="Technical"/>
    <s v="FZ 344"/>
    <m/>
    <m/>
    <m/>
    <m/>
    <x v="0"/>
    <x v="0"/>
  </r>
  <r>
    <n v="27807319"/>
    <x v="0"/>
    <x v="587"/>
    <s v="EK 953_2022-07-29T11x10x00"/>
    <s v="B777/3-ER"/>
    <x v="3"/>
    <x v="5"/>
    <x v="1"/>
    <s v="Operational"/>
    <m/>
    <m/>
    <m/>
    <m/>
    <m/>
    <x v="0"/>
    <x v="0"/>
  </r>
  <r>
    <n v="27807322"/>
    <x v="0"/>
    <x v="588"/>
    <s v="FZ 344_2022-07-29T02x50x00"/>
    <s v="B737/8"/>
    <x v="8"/>
    <x v="130"/>
    <x v="16"/>
    <s v="Technical"/>
    <s v="FZ 344"/>
    <m/>
    <m/>
    <m/>
    <m/>
    <x v="0"/>
    <x v="0"/>
  </r>
  <r>
    <n v="27807327"/>
    <x v="0"/>
    <x v="589"/>
    <s v="FZ 344_2022-07-29T02x50x00"/>
    <s v="B737/8"/>
    <x v="8"/>
    <x v="130"/>
    <x v="3"/>
    <s v="Operational"/>
    <s v="FZ 344"/>
    <m/>
    <m/>
    <m/>
    <m/>
    <x v="0"/>
    <x v="0"/>
  </r>
  <r>
    <n v="27807329"/>
    <x v="0"/>
    <x v="589"/>
    <s v="EK 926_2022-07-29T03x10x00"/>
    <s v="B777/3-ER"/>
    <x v="3"/>
    <x v="5"/>
    <x v="3"/>
    <s v="Operational"/>
    <s v="EK 926"/>
    <m/>
    <m/>
    <m/>
    <m/>
    <x v="0"/>
    <x v="0"/>
  </r>
  <r>
    <n v="27807365"/>
    <x v="0"/>
    <x v="590"/>
    <s v="FZ 446_2022-07-29T02x50x00"/>
    <s v="B737/8"/>
    <x v="1"/>
    <x v="116"/>
    <x v="3"/>
    <s v="Operational"/>
    <s v="FZ 446"/>
    <m/>
    <m/>
    <m/>
    <m/>
    <x v="0"/>
    <x v="0"/>
  </r>
  <r>
    <n v="27807367"/>
    <x v="0"/>
    <x v="591"/>
    <s v="EK 816_2022-07-29T03x00x00"/>
    <s v="B777/3-ER"/>
    <x v="6"/>
    <x v="129"/>
    <x v="4"/>
    <s v="Operational"/>
    <s v="EK 816"/>
    <m/>
    <m/>
    <m/>
    <m/>
    <x v="0"/>
    <x v="0"/>
  </r>
  <r>
    <n v="27807374"/>
    <x v="0"/>
    <x v="592"/>
    <s v="FZ 446_2022-07-29T02x50x00"/>
    <s v="B737/8"/>
    <x v="1"/>
    <x v="116"/>
    <x v="4"/>
    <s v="Operational"/>
    <s v="FZ 446"/>
    <m/>
    <m/>
    <m/>
    <m/>
    <x v="0"/>
    <x v="0"/>
  </r>
  <r>
    <n v="27807405"/>
    <x v="0"/>
    <x v="593"/>
    <s v="FZ 344_2022-07-29T02x50x00"/>
    <s v="B737/8"/>
    <x v="8"/>
    <x v="130"/>
    <x v="26"/>
    <s v="Operational"/>
    <s v="FZ 344"/>
    <m/>
    <m/>
    <m/>
    <m/>
    <x v="0"/>
    <x v="0"/>
  </r>
  <r>
    <n v="27807413"/>
    <x v="0"/>
    <x v="594"/>
    <m/>
    <m/>
    <x v="3"/>
    <x v="85"/>
    <x v="6"/>
    <s v="Operational"/>
    <m/>
    <m/>
    <m/>
    <m/>
    <m/>
    <x v="0"/>
    <x v="0"/>
  </r>
  <r>
    <n v="27807418"/>
    <x v="0"/>
    <x v="595"/>
    <s v="EK 819_2022-07-29T02x55x00"/>
    <s v="B777/3-ER"/>
    <x v="3"/>
    <x v="131"/>
    <x v="1"/>
    <s v="Operational"/>
    <s v="EK 819"/>
    <m/>
    <m/>
    <m/>
    <m/>
    <x v="0"/>
    <x v="0"/>
  </r>
  <r>
    <n v="27807425"/>
    <x v="0"/>
    <x v="596"/>
    <s v="EK 805_2022-07-29T02x55x00"/>
    <s v="B777/3-ER"/>
    <x v="3"/>
    <x v="59"/>
    <x v="1"/>
    <s v="Operational"/>
    <s v="EK 805"/>
    <m/>
    <m/>
    <m/>
    <m/>
    <x v="0"/>
    <x v="0"/>
  </r>
  <r>
    <n v="27816759"/>
    <x v="0"/>
    <x v="597"/>
    <s v="FX 5033_2022-07-29T07x15x00"/>
    <s v="MD11"/>
    <x v="1"/>
    <x v="93"/>
    <x v="15"/>
    <s v="Technical"/>
    <s v="FX 5033"/>
    <m/>
    <m/>
    <m/>
    <m/>
    <x v="0"/>
    <x v="0"/>
  </r>
  <r>
    <n v="27817977"/>
    <x v="0"/>
    <x v="598"/>
    <s v="EK 505_2022-07-29T07x40x00"/>
    <s v="B777/3-ER"/>
    <x v="3"/>
    <x v="19"/>
    <x v="0"/>
    <s v="Operational"/>
    <s v="EK 505"/>
    <m/>
    <m/>
    <m/>
    <m/>
    <x v="0"/>
    <x v="0"/>
  </r>
  <r>
    <n v="27807456"/>
    <x v="0"/>
    <x v="599"/>
    <s v="EK 816_2022-07-29T03x00x00"/>
    <s v="B777/3-ER"/>
    <x v="6"/>
    <x v="129"/>
    <x v="2"/>
    <s v="Operational"/>
    <s v="EK 816"/>
    <m/>
    <m/>
    <m/>
    <m/>
    <x v="0"/>
    <x v="0"/>
  </r>
  <r>
    <n v="27807470"/>
    <x v="0"/>
    <x v="600"/>
    <s v="EK 816_2022-07-29T03x00x00"/>
    <s v="B777/3-ER"/>
    <x v="6"/>
    <x v="129"/>
    <x v="0"/>
    <s v="Operational"/>
    <s v="EK 816"/>
    <m/>
    <m/>
    <m/>
    <m/>
    <x v="0"/>
    <x v="0"/>
  </r>
  <r>
    <n v="27807484"/>
    <x v="0"/>
    <x v="601"/>
    <s v="EK 506_2022-07-29T05x30x00"/>
    <s v="B777/3-ER"/>
    <x v="3"/>
    <x v="85"/>
    <x v="2"/>
    <s v="Operational"/>
    <m/>
    <m/>
    <m/>
    <m/>
    <m/>
    <x v="0"/>
    <x v="0"/>
  </r>
  <r>
    <n v="27807504"/>
    <x v="0"/>
    <x v="602"/>
    <s v="EK 824_2022-07-29T02x50x00"/>
    <s v="B777/3-ER"/>
    <x v="3"/>
    <x v="5"/>
    <x v="4"/>
    <s v="Operational"/>
    <s v="EK 824"/>
    <m/>
    <m/>
    <m/>
    <m/>
    <x v="0"/>
    <x v="0"/>
  </r>
  <r>
    <n v="27807514"/>
    <x v="0"/>
    <x v="603"/>
    <s v="EK 506_2022-07-29T05x30x00"/>
    <s v="B777/3-ER"/>
    <x v="3"/>
    <x v="85"/>
    <x v="0"/>
    <s v="Operational"/>
    <m/>
    <m/>
    <m/>
    <m/>
    <m/>
    <x v="0"/>
    <x v="0"/>
  </r>
  <r>
    <n v="27807530"/>
    <x v="0"/>
    <x v="604"/>
    <s v="EK 413_2022-07-29T03x00x00"/>
    <s v="A380/8"/>
    <x v="5"/>
    <x v="32"/>
    <x v="27"/>
    <s v="Operational"/>
    <s v="EK 413"/>
    <m/>
    <m/>
    <m/>
    <m/>
    <x v="0"/>
    <x v="0"/>
  </r>
  <r>
    <n v="27807573"/>
    <x v="0"/>
    <x v="605"/>
    <s v="XY 215_2022-07-29T03x20x00"/>
    <s v="A320-NEO"/>
    <x v="0"/>
    <x v="9"/>
    <x v="3"/>
    <s v="Operational"/>
    <s v="XY 215"/>
    <m/>
    <m/>
    <m/>
    <m/>
    <x v="0"/>
    <x v="0"/>
  </r>
  <r>
    <n v="27807590"/>
    <x v="0"/>
    <x v="606"/>
    <s v="EK 132_2022-07-29T03x30x00"/>
    <s v="A380/8"/>
    <x v="2"/>
    <x v="27"/>
    <x v="1"/>
    <s v="Operational"/>
    <s v="EK 132"/>
    <m/>
    <m/>
    <m/>
    <m/>
    <x v="0"/>
    <x v="0"/>
  </r>
  <r>
    <n v="27807625"/>
    <x v="0"/>
    <x v="607"/>
    <s v="FZ 446_2022-07-29T02x50x00"/>
    <s v="B737/8"/>
    <x v="1"/>
    <x v="116"/>
    <x v="2"/>
    <s v="Operational"/>
    <s v="FZ 446"/>
    <m/>
    <m/>
    <m/>
    <m/>
    <x v="0"/>
    <x v="0"/>
  </r>
  <r>
    <n v="27807631"/>
    <x v="0"/>
    <x v="608"/>
    <s v="FZ 446_2022-07-29T02x50x00"/>
    <s v="B737/8"/>
    <x v="1"/>
    <x v="116"/>
    <x v="0"/>
    <s v="Operational"/>
    <s v="FZ 446"/>
    <m/>
    <m/>
    <m/>
    <m/>
    <x v="0"/>
    <x v="0"/>
  </r>
  <r>
    <n v="27807702"/>
    <x v="0"/>
    <x v="609"/>
    <m/>
    <m/>
    <x v="7"/>
    <x v="132"/>
    <x v="6"/>
    <s v="Operational"/>
    <m/>
    <m/>
    <m/>
    <m/>
    <m/>
    <x v="0"/>
    <x v="0"/>
  </r>
  <r>
    <n v="27807716"/>
    <x v="0"/>
    <x v="610"/>
    <s v="FZ 045_2022-07-29T03x00x00"/>
    <s v="B737/8"/>
    <x v="1"/>
    <x v="11"/>
    <x v="1"/>
    <s v="Operational"/>
    <s v="FZ 045"/>
    <m/>
    <m/>
    <m/>
    <m/>
    <x v="0"/>
    <x v="0"/>
  </r>
  <r>
    <n v="27807730"/>
    <x v="0"/>
    <x v="611"/>
    <m/>
    <m/>
    <x v="5"/>
    <x v="32"/>
    <x v="6"/>
    <s v="Operational"/>
    <m/>
    <m/>
    <m/>
    <m/>
    <m/>
    <x v="0"/>
    <x v="0"/>
  </r>
  <r>
    <n v="27816769"/>
    <x v="0"/>
    <x v="612"/>
    <s v="FX 5033_2022-07-29T07x15x00"/>
    <s v="MD11"/>
    <x v="1"/>
    <x v="93"/>
    <x v="16"/>
    <s v="Technical"/>
    <s v="FX 5033"/>
    <m/>
    <m/>
    <m/>
    <m/>
    <x v="0"/>
    <x v="0"/>
  </r>
  <r>
    <n v="27807781"/>
    <x v="0"/>
    <x v="613"/>
    <s v="XY 215_2022-07-29T03x20x00"/>
    <s v="A320-NEO"/>
    <x v="0"/>
    <x v="9"/>
    <x v="10"/>
    <s v="Operational"/>
    <s v="XY 215"/>
    <m/>
    <m/>
    <m/>
    <m/>
    <x v="0"/>
    <x v="0"/>
  </r>
  <r>
    <n v="27807782"/>
    <x v="0"/>
    <x v="614"/>
    <s v="XY 215_2022-07-29T03x20x00"/>
    <s v="A320-NEO"/>
    <x v="0"/>
    <x v="9"/>
    <x v="11"/>
    <s v="Operational"/>
    <s v="XY 215"/>
    <m/>
    <m/>
    <m/>
    <m/>
    <x v="0"/>
    <x v="0"/>
  </r>
  <r>
    <n v="27807791"/>
    <x v="0"/>
    <x v="615"/>
    <s v="XY 215_2022-07-29T03x20x00"/>
    <s v="A320-NEO"/>
    <x v="0"/>
    <x v="9"/>
    <x v="15"/>
    <s v="Technical"/>
    <s v="XY 215"/>
    <m/>
    <m/>
    <m/>
    <m/>
    <x v="0"/>
    <x v="0"/>
  </r>
  <r>
    <n v="27807795"/>
    <x v="0"/>
    <x v="616"/>
    <s v="XY 215_2022-07-29T03x20x00"/>
    <s v="A320-NEO"/>
    <x v="0"/>
    <x v="9"/>
    <x v="17"/>
    <s v="Technical"/>
    <s v="XY 215"/>
    <m/>
    <m/>
    <m/>
    <m/>
    <x v="0"/>
    <x v="0"/>
  </r>
  <r>
    <n v="27807806"/>
    <x v="0"/>
    <x v="617"/>
    <s v="FZ 918_2022-07-29T03x05x00"/>
    <s v="B737/8"/>
    <x v="1"/>
    <x v="11"/>
    <x v="3"/>
    <s v="Operational"/>
    <s v="FZ 918"/>
    <m/>
    <m/>
    <m/>
    <m/>
    <x v="0"/>
    <x v="0"/>
  </r>
  <r>
    <n v="27807820"/>
    <x v="0"/>
    <x v="618"/>
    <s v="FZ 918_2022-07-29T03x05x00"/>
    <s v="B737/8"/>
    <x v="1"/>
    <x v="11"/>
    <x v="4"/>
    <s v="Operational"/>
    <s v="FZ 918"/>
    <m/>
    <m/>
    <m/>
    <m/>
    <x v="0"/>
    <x v="0"/>
  </r>
  <r>
    <n v="27807875"/>
    <x v="0"/>
    <x v="619"/>
    <s v="EK 824_2022-07-29T02x50x00"/>
    <s v="B777/3-ER"/>
    <x v="3"/>
    <x v="5"/>
    <x v="2"/>
    <s v="Operational"/>
    <s v="EK 824"/>
    <m/>
    <m/>
    <m/>
    <m/>
    <x v="0"/>
    <x v="0"/>
  </r>
  <r>
    <n v="27807876"/>
    <x v="0"/>
    <x v="620"/>
    <s v="FZ 023_2022-07-29T03x15x00"/>
    <s v="B737/8-MAX"/>
    <x v="1"/>
    <x v="43"/>
    <x v="1"/>
    <s v="Operational"/>
    <s v="FZ 023"/>
    <m/>
    <m/>
    <m/>
    <m/>
    <x v="0"/>
    <x v="0"/>
  </r>
  <r>
    <n v="27816773"/>
    <x v="0"/>
    <x v="621"/>
    <s v="FX 5033_2022-07-29T07x15x00"/>
    <s v="MD11"/>
    <x v="1"/>
    <x v="93"/>
    <x v="3"/>
    <s v="Operational"/>
    <s v="FX 5033"/>
    <m/>
    <m/>
    <m/>
    <m/>
    <x v="0"/>
    <x v="0"/>
  </r>
  <r>
    <n v="27807898"/>
    <x v="0"/>
    <x v="622"/>
    <s v="EK 824_2022-07-29T02x50x00"/>
    <s v="B777/3-ER"/>
    <x v="3"/>
    <x v="5"/>
    <x v="0"/>
    <s v="Operational"/>
    <s v="EK 824"/>
    <m/>
    <m/>
    <m/>
    <m/>
    <x v="0"/>
    <x v="0"/>
  </r>
  <r>
    <n v="27807917"/>
    <x v="0"/>
    <x v="623"/>
    <s v="EK 038_2022-07-29T03x55x00"/>
    <s v="B777/3-ER"/>
    <x v="3"/>
    <x v="59"/>
    <x v="3"/>
    <s v="Operational"/>
    <s v="EK 038"/>
    <m/>
    <m/>
    <m/>
    <m/>
    <x v="0"/>
    <x v="0"/>
  </r>
  <r>
    <n v="27816777"/>
    <x v="0"/>
    <x v="624"/>
    <s v="RQ 911_2022-07-29T06x45x00"/>
    <s v="B737/3"/>
    <x v="0"/>
    <x v="92"/>
    <x v="0"/>
    <s v="Operational"/>
    <s v="RQ 911"/>
    <m/>
    <m/>
    <m/>
    <m/>
    <x v="0"/>
    <x v="0"/>
  </r>
  <r>
    <n v="27807986"/>
    <x v="0"/>
    <x v="625"/>
    <m/>
    <s v="A380/8"/>
    <x v="5"/>
    <x v="32"/>
    <x v="2"/>
    <s v="Operational"/>
    <m/>
    <m/>
    <m/>
    <m/>
    <m/>
    <x v="0"/>
    <x v="0"/>
  </r>
  <r>
    <n v="27807997"/>
    <x v="0"/>
    <x v="626"/>
    <s v="XY 215_2022-07-29T03x20x00"/>
    <s v="A320-NEO"/>
    <x v="0"/>
    <x v="9"/>
    <x v="2"/>
    <s v="Operational"/>
    <s v="XY 215"/>
    <m/>
    <m/>
    <m/>
    <m/>
    <x v="0"/>
    <x v="0"/>
  </r>
  <r>
    <n v="27808017"/>
    <x v="0"/>
    <x v="627"/>
    <m/>
    <s v="A380/8"/>
    <x v="5"/>
    <x v="32"/>
    <x v="0"/>
    <s v="Operational"/>
    <m/>
    <m/>
    <m/>
    <m/>
    <m/>
    <x v="0"/>
    <x v="0"/>
  </r>
  <r>
    <n v="27808032"/>
    <x v="0"/>
    <x v="628"/>
    <s v="FZ 918_2022-07-29T03x05x00"/>
    <s v="B737/8"/>
    <x v="1"/>
    <x v="11"/>
    <x v="2"/>
    <s v="Operational"/>
    <s v="FZ 918"/>
    <m/>
    <m/>
    <m/>
    <m/>
    <x v="0"/>
    <x v="0"/>
  </r>
  <r>
    <n v="27808043"/>
    <x v="0"/>
    <x v="629"/>
    <s v="FZ 341_2022-07-29T02x45x00"/>
    <s v="B737/8"/>
    <x v="1"/>
    <x v="80"/>
    <x v="1"/>
    <s v="Operational"/>
    <s v="FZ 341"/>
    <m/>
    <m/>
    <m/>
    <m/>
    <x v="0"/>
    <x v="0"/>
  </r>
  <r>
    <n v="27808045"/>
    <x v="0"/>
    <x v="630"/>
    <s v="XY 215_2022-07-29T03x20x00"/>
    <s v="A320-NEO"/>
    <x v="0"/>
    <x v="9"/>
    <x v="0"/>
    <s v="Operational"/>
    <s v="XY 215"/>
    <m/>
    <m/>
    <m/>
    <m/>
    <x v="0"/>
    <x v="0"/>
  </r>
  <r>
    <n v="27808075"/>
    <x v="0"/>
    <x v="631"/>
    <s v="FZ 918_2022-07-29T03x05x00"/>
    <s v="B737/8"/>
    <x v="1"/>
    <x v="11"/>
    <x v="0"/>
    <s v="Operational"/>
    <s v="FZ 918"/>
    <m/>
    <m/>
    <m/>
    <m/>
    <x v="0"/>
    <x v="0"/>
  </r>
  <r>
    <n v="27808086"/>
    <x v="0"/>
    <x v="632"/>
    <s v="FZ 1819_2022-07-29T03x00x00"/>
    <s v="B737/8-MAX"/>
    <x v="8"/>
    <x v="133"/>
    <x v="1"/>
    <s v="Operational"/>
    <s v="FZ 1819"/>
    <m/>
    <m/>
    <m/>
    <m/>
    <x v="0"/>
    <x v="0"/>
  </r>
  <r>
    <n v="27808093"/>
    <x v="0"/>
    <x v="633"/>
    <s v="EK 827_2022-07-29T03x15x00"/>
    <s v="B777/3-ER"/>
    <x v="3"/>
    <x v="134"/>
    <x v="1"/>
    <s v="Operational"/>
    <s v="EK 827"/>
    <m/>
    <m/>
    <m/>
    <m/>
    <x v="0"/>
    <x v="0"/>
  </r>
  <r>
    <n v="27808112"/>
    <x v="0"/>
    <x v="634"/>
    <s v="FZ 330_2022-07-28T21x10x00"/>
    <s v="B737/8"/>
    <x v="1"/>
    <x v="135"/>
    <x v="1"/>
    <s v="Operational"/>
    <m/>
    <m/>
    <m/>
    <m/>
    <m/>
    <x v="0"/>
    <x v="0"/>
  </r>
  <r>
    <n v="27808121"/>
    <x v="0"/>
    <x v="635"/>
    <s v="EK 010_2022-07-29T03x35x00"/>
    <s v="A380/8"/>
    <x v="3"/>
    <x v="134"/>
    <x v="3"/>
    <s v="Operational"/>
    <s v="EK 010"/>
    <m/>
    <m/>
    <m/>
    <m/>
    <x v="0"/>
    <x v="0"/>
  </r>
  <r>
    <n v="27816792"/>
    <x v="0"/>
    <x v="636"/>
    <s v="EK 204_2022-07-29T06x40x00"/>
    <s v="A380/8"/>
    <x v="5"/>
    <x v="62"/>
    <x v="0"/>
    <s v="Operational"/>
    <s v="EK 204"/>
    <m/>
    <m/>
    <m/>
    <m/>
    <x v="0"/>
    <x v="0"/>
  </r>
  <r>
    <n v="27808147"/>
    <x v="0"/>
    <x v="637"/>
    <s v="EK 347_2022-07-29T22x20x00"/>
    <s v="B777/3-ER"/>
    <x v="5"/>
    <x v="16"/>
    <x v="24"/>
    <s v="Operational"/>
    <m/>
    <m/>
    <m/>
    <m/>
    <m/>
    <x v="0"/>
    <x v="0"/>
  </r>
  <r>
    <n v="27808149"/>
    <x v="0"/>
    <x v="638"/>
    <s v="FZ 1745_2022-07-29T05x05x00"/>
    <s v="B737/8-MAX"/>
    <x v="5"/>
    <x v="82"/>
    <x v="24"/>
    <s v="Operational"/>
    <m/>
    <m/>
    <m/>
    <m/>
    <m/>
    <x v="0"/>
    <x v="0"/>
  </r>
  <r>
    <n v="27808156"/>
    <x v="0"/>
    <x v="639"/>
    <m/>
    <m/>
    <x v="3"/>
    <x v="131"/>
    <x v="6"/>
    <s v="Operational"/>
    <m/>
    <m/>
    <m/>
    <m/>
    <m/>
    <x v="0"/>
    <x v="0"/>
  </r>
  <r>
    <n v="27808161"/>
    <x v="0"/>
    <x v="640"/>
    <m/>
    <m/>
    <x v="5"/>
    <x v="16"/>
    <x v="25"/>
    <s v="Operational"/>
    <m/>
    <m/>
    <m/>
    <m/>
    <m/>
    <x v="0"/>
    <x v="0"/>
  </r>
  <r>
    <n v="27808165"/>
    <x v="0"/>
    <x v="641"/>
    <s v="FZ 1549_2022-07-29T03x05x00"/>
    <s v="B737/9-MAX"/>
    <x v="5"/>
    <x v="71"/>
    <x v="1"/>
    <s v="Operational"/>
    <s v="FZ 1549"/>
    <m/>
    <m/>
    <m/>
    <m/>
    <x v="0"/>
    <x v="0"/>
  </r>
  <r>
    <n v="27808178"/>
    <x v="0"/>
    <x v="642"/>
    <m/>
    <m/>
    <x v="5"/>
    <x v="82"/>
    <x v="25"/>
    <s v="Operational"/>
    <m/>
    <m/>
    <m/>
    <m/>
    <m/>
    <x v="0"/>
    <x v="0"/>
  </r>
  <r>
    <n v="27808194"/>
    <x v="0"/>
    <x v="643"/>
    <m/>
    <s v="B777/3-ER"/>
    <x v="7"/>
    <x v="132"/>
    <x v="2"/>
    <s v="Operational"/>
    <m/>
    <m/>
    <m/>
    <m/>
    <m/>
    <x v="0"/>
    <x v="0"/>
  </r>
  <r>
    <n v="27808209"/>
    <x v="0"/>
    <x v="644"/>
    <s v="EK 161_2022-07-29T03x15x00"/>
    <s v="B777/3-ER"/>
    <x v="3"/>
    <x v="104"/>
    <x v="1"/>
    <s v="Operational"/>
    <s v="EK 161"/>
    <m/>
    <m/>
    <m/>
    <m/>
    <x v="0"/>
    <x v="0"/>
  </r>
  <r>
    <n v="27808217"/>
    <x v="0"/>
    <x v="645"/>
    <s v="EK 797_2022-07-29T03x45x00"/>
    <s v="B777/3-ER"/>
    <x v="3"/>
    <x v="104"/>
    <x v="3"/>
    <s v="Operational"/>
    <s v="EK 797"/>
    <m/>
    <m/>
    <m/>
    <m/>
    <x v="0"/>
    <x v="0"/>
  </r>
  <r>
    <n v="27808225"/>
    <x v="0"/>
    <x v="646"/>
    <m/>
    <s v="B777/3-ER"/>
    <x v="7"/>
    <x v="132"/>
    <x v="0"/>
    <s v="Operational"/>
    <m/>
    <m/>
    <m/>
    <m/>
    <m/>
    <x v="0"/>
    <x v="0"/>
  </r>
  <r>
    <n v="27808234"/>
    <x v="0"/>
    <x v="647"/>
    <s v="EK 010_2022-07-29T03x35x00"/>
    <s v="A380/8"/>
    <x v="3"/>
    <x v="134"/>
    <x v="4"/>
    <s v="Operational"/>
    <s v="EK 010"/>
    <m/>
    <m/>
    <m/>
    <m/>
    <x v="0"/>
    <x v="0"/>
  </r>
  <r>
    <n v="27808248"/>
    <x v="0"/>
    <x v="648"/>
    <s v="EK 797_2022-07-29T03x45x00"/>
    <s v="B777/3-ER"/>
    <x v="3"/>
    <x v="104"/>
    <x v="4"/>
    <s v="Operational"/>
    <s v="EK 797"/>
    <m/>
    <m/>
    <m/>
    <m/>
    <x v="0"/>
    <x v="0"/>
  </r>
  <r>
    <n v="27808300"/>
    <x v="0"/>
    <x v="649"/>
    <s v="EK 038_2022-07-29T03x55x00"/>
    <s v="B777/3-ER"/>
    <x v="3"/>
    <x v="59"/>
    <x v="4"/>
    <s v="Operational"/>
    <s v="EK 038"/>
    <m/>
    <m/>
    <m/>
    <m/>
    <x v="0"/>
    <x v="0"/>
  </r>
  <r>
    <n v="27808365"/>
    <x v="0"/>
    <x v="650"/>
    <s v="EK 038_2022-07-29T03x55x00"/>
    <s v="B777/3-ER"/>
    <x v="3"/>
    <x v="59"/>
    <x v="2"/>
    <s v="Operational"/>
    <s v="EK 038"/>
    <m/>
    <m/>
    <m/>
    <m/>
    <x v="0"/>
    <x v="0"/>
  </r>
  <r>
    <n v="27808403"/>
    <x v="0"/>
    <x v="651"/>
    <s v="EK 038_2022-07-29T03x55x00"/>
    <s v="B777/3-ER"/>
    <x v="3"/>
    <x v="59"/>
    <x v="0"/>
    <s v="Operational"/>
    <s v="EK 038"/>
    <m/>
    <m/>
    <m/>
    <m/>
    <x v="0"/>
    <x v="0"/>
  </r>
  <r>
    <n v="27808444"/>
    <x v="0"/>
    <x v="652"/>
    <s v="EK 191_2022-07-29T03x25x00"/>
    <s v="B777/3-ER"/>
    <x v="4"/>
    <x v="103"/>
    <x v="1"/>
    <s v="Operational"/>
    <s v="EK 191"/>
    <m/>
    <m/>
    <m/>
    <m/>
    <x v="0"/>
    <x v="0"/>
  </r>
  <r>
    <n v="27808451"/>
    <x v="0"/>
    <x v="653"/>
    <s v="EK 020_2022-07-29T03x25x00"/>
    <s v="A380/8"/>
    <x v="4"/>
    <x v="103"/>
    <x v="3"/>
    <s v="Operational"/>
    <s v="EK 020"/>
    <m/>
    <m/>
    <m/>
    <m/>
    <x v="0"/>
    <x v="0"/>
  </r>
  <r>
    <n v="27808462"/>
    <x v="0"/>
    <x v="654"/>
    <s v="EK 010_2022-07-29T03x35x00"/>
    <s v="A380/8"/>
    <x v="3"/>
    <x v="134"/>
    <x v="2"/>
    <s v="Operational"/>
    <s v="EK 010"/>
    <m/>
    <m/>
    <m/>
    <m/>
    <x v="0"/>
    <x v="0"/>
  </r>
  <r>
    <n v="27808471"/>
    <x v="0"/>
    <x v="655"/>
    <s v="EK 020_2022-07-29T03x25x00"/>
    <s v="A380/8"/>
    <x v="4"/>
    <x v="103"/>
    <x v="28"/>
    <s v="Operational"/>
    <s v="EK 020"/>
    <m/>
    <m/>
    <m/>
    <m/>
    <x v="0"/>
    <x v="0"/>
  </r>
  <r>
    <n v="27808473"/>
    <x v="0"/>
    <x v="656"/>
    <s v="EK 020_2022-07-29T03x25x00"/>
    <s v="A380/8"/>
    <x v="4"/>
    <x v="103"/>
    <x v="5"/>
    <s v="Operational"/>
    <s v="EK 020"/>
    <m/>
    <m/>
    <m/>
    <m/>
    <x v="0"/>
    <x v="0"/>
  </r>
  <r>
    <n v="27808475"/>
    <x v="0"/>
    <x v="657"/>
    <m/>
    <m/>
    <x v="4"/>
    <x v="103"/>
    <x v="12"/>
    <s v="Operational"/>
    <m/>
    <m/>
    <m/>
    <m/>
    <m/>
    <x v="0"/>
    <x v="0"/>
  </r>
  <r>
    <n v="27808487"/>
    <x v="0"/>
    <x v="658"/>
    <s v="EK 010_2022-07-29T03x35x00"/>
    <s v="A380/8"/>
    <x v="3"/>
    <x v="134"/>
    <x v="0"/>
    <s v="Operational"/>
    <s v="EK 010"/>
    <m/>
    <m/>
    <m/>
    <m/>
    <x v="0"/>
    <x v="0"/>
  </r>
  <r>
    <n v="27808495"/>
    <x v="0"/>
    <x v="658"/>
    <s v="EK 159_2022-07-29T03x25x00"/>
    <s v="B777/3-ER"/>
    <x v="3"/>
    <x v="118"/>
    <x v="1"/>
    <s v="Operational"/>
    <s v="EK 159"/>
    <m/>
    <m/>
    <m/>
    <m/>
    <x v="0"/>
    <x v="0"/>
  </r>
  <r>
    <n v="27808509"/>
    <x v="0"/>
    <x v="659"/>
    <s v="EK 017_2022-07-29T03x25x00"/>
    <s v="A380"/>
    <x v="3"/>
    <x v="37"/>
    <x v="1"/>
    <s v="Operational"/>
    <s v="EK 017"/>
    <m/>
    <m/>
    <m/>
    <m/>
    <x v="0"/>
    <x v="0"/>
  </r>
  <r>
    <n v="27808532"/>
    <x v="0"/>
    <x v="660"/>
    <s v="EK 797_2022-07-29T03x45x00"/>
    <s v="B777/3-ER"/>
    <x v="3"/>
    <x v="104"/>
    <x v="2"/>
    <s v="Operational"/>
    <s v="EK 797"/>
    <m/>
    <m/>
    <m/>
    <m/>
    <x v="0"/>
    <x v="0"/>
  </r>
  <r>
    <n v="27808534"/>
    <x v="0"/>
    <x v="661"/>
    <m/>
    <m/>
    <x v="4"/>
    <x v="103"/>
    <x v="5"/>
    <s v="Operational"/>
    <m/>
    <m/>
    <m/>
    <m/>
    <m/>
    <x v="0"/>
    <x v="0"/>
  </r>
  <r>
    <n v="27816819"/>
    <x v="0"/>
    <x v="662"/>
    <s v="EK 358_2022-07-29T06x45x00"/>
    <s v="B777/3-ER"/>
    <x v="4"/>
    <x v="136"/>
    <x v="1"/>
    <s v="Operational"/>
    <s v="EK 358"/>
    <m/>
    <m/>
    <m/>
    <m/>
    <x v="0"/>
    <x v="0"/>
  </r>
  <r>
    <n v="27808540"/>
    <x v="0"/>
    <x v="663"/>
    <s v="EK 020_2022-07-29T03x25x00"/>
    <s v="A380/8"/>
    <x v="4"/>
    <x v="103"/>
    <x v="3"/>
    <s v="Operational"/>
    <s v="EK 020"/>
    <m/>
    <m/>
    <m/>
    <m/>
    <x v="0"/>
    <x v="0"/>
  </r>
  <r>
    <n v="27808548"/>
    <x v="0"/>
    <x v="664"/>
    <s v="EK 020_2022-07-29T03x25x00"/>
    <s v="A380/8"/>
    <x v="4"/>
    <x v="103"/>
    <x v="4"/>
    <s v="Operational"/>
    <s v="EK 020"/>
    <m/>
    <m/>
    <m/>
    <m/>
    <x v="0"/>
    <x v="0"/>
  </r>
  <r>
    <n v="27808552"/>
    <x v="0"/>
    <x v="665"/>
    <s v="EK 797_2022-07-29T03x45x00"/>
    <s v="B777/3-ER"/>
    <x v="3"/>
    <x v="104"/>
    <x v="0"/>
    <s v="Operational"/>
    <s v="EK 797"/>
    <m/>
    <m/>
    <m/>
    <m/>
    <x v="0"/>
    <x v="0"/>
  </r>
  <r>
    <n v="27808598"/>
    <x v="0"/>
    <x v="666"/>
    <s v="FZ 1695_2022-07-29T03x10x00"/>
    <s v="B737/8"/>
    <x v="1"/>
    <x v="137"/>
    <x v="1"/>
    <s v="Operational"/>
    <s v="FZ 1695"/>
    <m/>
    <m/>
    <m/>
    <m/>
    <x v="0"/>
    <x v="0"/>
  </r>
  <r>
    <n v="27808633"/>
    <x v="0"/>
    <x v="667"/>
    <s v="EK 020_2022-07-29T03x25x00"/>
    <s v="A380/8"/>
    <x v="4"/>
    <x v="103"/>
    <x v="2"/>
    <s v="Operational"/>
    <s v="EK 020"/>
    <m/>
    <m/>
    <m/>
    <m/>
    <x v="0"/>
    <x v="0"/>
  </r>
  <r>
    <n v="27808642"/>
    <x v="0"/>
    <x v="668"/>
    <s v="EK 702_2022-07-29T03x10x00"/>
    <s v="A380/8"/>
    <x v="5"/>
    <x v="95"/>
    <x v="1"/>
    <s v="Operational"/>
    <s v="EK 702"/>
    <m/>
    <m/>
    <m/>
    <m/>
    <x v="0"/>
    <x v="0"/>
  </r>
  <r>
    <n v="27808651"/>
    <x v="0"/>
    <x v="669"/>
    <s v="EK 020_2022-07-29T03x25x00"/>
    <s v="A380/8"/>
    <x v="4"/>
    <x v="103"/>
    <x v="0"/>
    <s v="Operational"/>
    <s v="EK 020"/>
    <m/>
    <m/>
    <m/>
    <m/>
    <x v="0"/>
    <x v="0"/>
  </r>
  <r>
    <n v="27808695"/>
    <x v="0"/>
    <x v="670"/>
    <s v="FZ 053_2022-07-29T03x00x00"/>
    <s v="B737/8"/>
    <x v="1"/>
    <x v="35"/>
    <x v="1"/>
    <s v="Operational"/>
    <s v="FZ 053"/>
    <m/>
    <m/>
    <m/>
    <m/>
    <x v="0"/>
    <x v="0"/>
  </r>
  <r>
    <n v="27808716"/>
    <x v="0"/>
    <x v="671"/>
    <s v="EK 513_2022-07-29T02x20x00"/>
    <s v="B777/3-ER"/>
    <x v="6"/>
    <x v="127"/>
    <x v="1"/>
    <s v="Operational"/>
    <m/>
    <m/>
    <m/>
    <m/>
    <m/>
    <x v="0"/>
    <x v="0"/>
  </r>
  <r>
    <n v="27808719"/>
    <x v="0"/>
    <x v="671"/>
    <s v="EK 978_2022-07-29T03x15x00"/>
    <s v="B777/3-ER"/>
    <x v="3"/>
    <x v="131"/>
    <x v="2"/>
    <s v="Operational"/>
    <m/>
    <m/>
    <m/>
    <m/>
    <m/>
    <x v="0"/>
    <x v="0"/>
  </r>
  <r>
    <n v="27808732"/>
    <x v="0"/>
    <x v="672"/>
    <s v="EK 978_2022-07-29T03x15x00"/>
    <s v="B777/3-ER"/>
    <x v="3"/>
    <x v="131"/>
    <x v="0"/>
    <s v="Operational"/>
    <m/>
    <m/>
    <m/>
    <m/>
    <m/>
    <x v="0"/>
    <x v="0"/>
  </r>
  <r>
    <n v="27816835"/>
    <x v="0"/>
    <x v="673"/>
    <s v="J9 121_2022-07-29T06x05x00"/>
    <s v="A320"/>
    <x v="0"/>
    <x v="29"/>
    <x v="27"/>
    <s v="Operational"/>
    <s v="J9 121"/>
    <m/>
    <m/>
    <m/>
    <m/>
    <x v="0"/>
    <x v="0"/>
  </r>
  <r>
    <n v="27808791"/>
    <x v="0"/>
    <x v="674"/>
    <s v="FZ 438_2022-07-29T02x20x00"/>
    <s v="B737/8"/>
    <x v="1"/>
    <x v="121"/>
    <x v="3"/>
    <s v="Operational"/>
    <s v="FZ 438"/>
    <m/>
    <m/>
    <m/>
    <m/>
    <x v="0"/>
    <x v="0"/>
  </r>
  <r>
    <n v="27808796"/>
    <x v="0"/>
    <x v="675"/>
    <s v="FZ 438_2022-07-29T02x20x00"/>
    <s v="B737/8"/>
    <x v="1"/>
    <x v="121"/>
    <x v="4"/>
    <s v="Operational"/>
    <s v="FZ 438"/>
    <m/>
    <m/>
    <m/>
    <m/>
    <x v="0"/>
    <x v="0"/>
  </r>
  <r>
    <n v="27808804"/>
    <x v="0"/>
    <x v="676"/>
    <s v="FZ 8625_2022-07-29T03x00x00"/>
    <s v="B737/8"/>
    <x v="1"/>
    <x v="52"/>
    <x v="1"/>
    <s v="Operational"/>
    <s v="FZ 8625"/>
    <m/>
    <m/>
    <m/>
    <m/>
    <x v="0"/>
    <x v="0"/>
  </r>
  <r>
    <n v="27808842"/>
    <x v="0"/>
    <x v="677"/>
    <s v="FZ 333_2022-07-29T03x30x00"/>
    <s v="B737/8"/>
    <x v="1"/>
    <x v="101"/>
    <x v="1"/>
    <s v="Operational"/>
    <s v="FZ 333"/>
    <m/>
    <m/>
    <m/>
    <m/>
    <x v="0"/>
    <x v="0"/>
  </r>
  <r>
    <n v="27808849"/>
    <x v="0"/>
    <x v="678"/>
    <s v="EK 530_2022-07-29T23x20x00"/>
    <s v="B777/3-ER"/>
    <x v="6"/>
    <x v="138"/>
    <x v="1"/>
    <s v="Operational"/>
    <m/>
    <m/>
    <m/>
    <m/>
    <m/>
    <x v="0"/>
    <x v="0"/>
  </r>
  <r>
    <n v="27808887"/>
    <x v="0"/>
    <x v="679"/>
    <s v="FZ 1722_2022-07-29T03x25x00"/>
    <s v="B737/8"/>
    <x v="5"/>
    <x v="139"/>
    <x v="3"/>
    <s v="Operational"/>
    <s v="FZ 1722"/>
    <m/>
    <m/>
    <m/>
    <m/>
    <x v="0"/>
    <x v="0"/>
  </r>
  <r>
    <n v="27808896"/>
    <x v="0"/>
    <x v="680"/>
    <m/>
    <m/>
    <x v="3"/>
    <x v="37"/>
    <x v="6"/>
    <s v="Operational"/>
    <m/>
    <m/>
    <m/>
    <m/>
    <m/>
    <x v="0"/>
    <x v="0"/>
  </r>
  <r>
    <n v="27808917"/>
    <x v="0"/>
    <x v="681"/>
    <m/>
    <m/>
    <x v="3"/>
    <x v="118"/>
    <x v="6"/>
    <s v="Operational"/>
    <m/>
    <m/>
    <m/>
    <m/>
    <m/>
    <x v="0"/>
    <x v="0"/>
  </r>
  <r>
    <n v="27808952"/>
    <x v="0"/>
    <x v="682"/>
    <s v="FZ 1501_2022-07-29T03x40x00"/>
    <s v="B737/8-MAX"/>
    <x v="5"/>
    <x v="140"/>
    <x v="1"/>
    <s v="Operational"/>
    <s v="FZ 1501"/>
    <m/>
    <m/>
    <m/>
    <m/>
    <x v="0"/>
    <x v="0"/>
  </r>
  <r>
    <n v="27816852"/>
    <x v="0"/>
    <x v="683"/>
    <s v="EK 037_2022-07-29T10x55x00"/>
    <s v="B777/3-ER"/>
    <x v="3"/>
    <x v="94"/>
    <x v="2"/>
    <s v="Operational"/>
    <s v="EK 037"/>
    <m/>
    <m/>
    <m/>
    <m/>
    <x v="0"/>
    <x v="0"/>
  </r>
  <r>
    <n v="27816860"/>
    <x v="0"/>
    <x v="684"/>
    <s v="EK 123_2022-07-29T06x45x00"/>
    <s v="A380/8"/>
    <x v="4"/>
    <x v="141"/>
    <x v="1"/>
    <s v="Operational"/>
    <s v="EK 123"/>
    <m/>
    <m/>
    <m/>
    <m/>
    <x v="0"/>
    <x v="0"/>
  </r>
  <r>
    <n v="27809030"/>
    <x v="0"/>
    <x v="685"/>
    <s v="EK 751_2022-07-29T03x30x00"/>
    <s v="B777/3-ER"/>
    <x v="4"/>
    <x v="55"/>
    <x v="1"/>
    <s v="Operational"/>
    <s v="EK 751"/>
    <m/>
    <m/>
    <m/>
    <m/>
    <x v="0"/>
    <x v="0"/>
  </r>
  <r>
    <n v="27809053"/>
    <x v="0"/>
    <x v="686"/>
    <s v="FZ 865_2022-07-29T03x40x00"/>
    <s v="B737/8"/>
    <x v="1"/>
    <x v="69"/>
    <x v="1"/>
    <s v="Operational"/>
    <s v="FZ 865"/>
    <m/>
    <m/>
    <m/>
    <m/>
    <x v="0"/>
    <x v="0"/>
  </r>
  <r>
    <n v="27809089"/>
    <x v="0"/>
    <x v="687"/>
    <s v="FZ 1787_2022-07-29T03x35x00"/>
    <s v="B737/8-MAX"/>
    <x v="5"/>
    <x v="23"/>
    <x v="1"/>
    <s v="Operational"/>
    <s v="FZ 1787"/>
    <m/>
    <m/>
    <m/>
    <m/>
    <x v="0"/>
    <x v="0"/>
  </r>
  <r>
    <n v="27809117"/>
    <x v="0"/>
    <x v="688"/>
    <s v="FZ 438_2022-07-29T02x20x00"/>
    <s v="B737/8"/>
    <x v="1"/>
    <x v="121"/>
    <x v="2"/>
    <s v="Operational"/>
    <s v="FZ 438"/>
    <m/>
    <m/>
    <m/>
    <m/>
    <x v="0"/>
    <x v="0"/>
  </r>
  <r>
    <n v="27809122"/>
    <x v="0"/>
    <x v="689"/>
    <s v="FZ 1304_2022-07-29T04x20x00"/>
    <s v="B737/8-MAX"/>
    <x v="5"/>
    <x v="140"/>
    <x v="3"/>
    <s v="Operational"/>
    <s v="FZ 1304"/>
    <m/>
    <m/>
    <m/>
    <m/>
    <x v="0"/>
    <x v="0"/>
  </r>
  <r>
    <n v="27809142"/>
    <x v="0"/>
    <x v="690"/>
    <s v="FZ 438_2022-07-29T02x20x00"/>
    <s v="B737/8"/>
    <x v="1"/>
    <x v="121"/>
    <x v="0"/>
    <s v="Operational"/>
    <s v="FZ 438"/>
    <m/>
    <m/>
    <m/>
    <m/>
    <x v="0"/>
    <x v="0"/>
  </r>
  <r>
    <n v="27809174"/>
    <x v="0"/>
    <x v="691"/>
    <s v="EK 001_2022-07-29T03x45x00"/>
    <s v="A380/8"/>
    <x v="3"/>
    <x v="142"/>
    <x v="1"/>
    <s v="Operational"/>
    <s v="EK 001"/>
    <m/>
    <m/>
    <m/>
    <m/>
    <x v="0"/>
    <x v="0"/>
  </r>
  <r>
    <n v="27809185"/>
    <x v="0"/>
    <x v="692"/>
    <s v="EK 006_2022-07-29T04x05x00"/>
    <s v="A380/8"/>
    <x v="3"/>
    <x v="142"/>
    <x v="3"/>
    <s v="Operational"/>
    <s v="EK 006"/>
    <m/>
    <m/>
    <m/>
    <m/>
    <x v="0"/>
    <x v="0"/>
  </r>
  <r>
    <n v="27809200"/>
    <x v="0"/>
    <x v="693"/>
    <s v="GF 501_2022-07-29T04x00x00"/>
    <s v="A320"/>
    <x v="0"/>
    <x v="9"/>
    <x v="1"/>
    <s v="Operational"/>
    <s v="GF 501"/>
    <m/>
    <m/>
    <m/>
    <m/>
    <x v="0"/>
    <x v="0"/>
  </r>
  <r>
    <n v="27809211"/>
    <x v="0"/>
    <x v="694"/>
    <s v="FZ 1722_2022-07-29T03x25x00"/>
    <s v="B737/8"/>
    <x v="5"/>
    <x v="139"/>
    <x v="4"/>
    <s v="Operational"/>
    <s v="FZ 1722"/>
    <m/>
    <m/>
    <m/>
    <m/>
    <x v="0"/>
    <x v="0"/>
  </r>
  <r>
    <n v="27809215"/>
    <x v="0"/>
    <x v="695"/>
    <s v="EK 957_2022-07-29T03x30x00"/>
    <s v="B777/3-ER"/>
    <x v="3"/>
    <x v="30"/>
    <x v="1"/>
    <s v="Operational"/>
    <s v="EK 957"/>
    <m/>
    <m/>
    <m/>
    <m/>
    <x v="0"/>
    <x v="0"/>
  </r>
  <r>
    <n v="27809223"/>
    <x v="0"/>
    <x v="696"/>
    <s v="EK 232_2022-07-29T04x10x00"/>
    <s v="A380/8"/>
    <x v="3"/>
    <x v="30"/>
    <x v="3"/>
    <s v="Operational"/>
    <s v="EK 232"/>
    <m/>
    <m/>
    <m/>
    <m/>
    <x v="0"/>
    <x v="0"/>
  </r>
  <r>
    <n v="27809234"/>
    <x v="0"/>
    <x v="697"/>
    <s v="EK 006_2022-07-29T04x05x00"/>
    <s v="A380/8"/>
    <x v="3"/>
    <x v="142"/>
    <x v="4"/>
    <s v="Operational"/>
    <s v="EK 006"/>
    <m/>
    <m/>
    <m/>
    <m/>
    <x v="0"/>
    <x v="0"/>
  </r>
  <r>
    <n v="27809239"/>
    <x v="0"/>
    <x v="698"/>
    <s v="EK 232_2022-07-29T04x10x00"/>
    <s v="A380/8"/>
    <x v="3"/>
    <x v="30"/>
    <x v="28"/>
    <s v="Operational"/>
    <s v="EK 232"/>
    <m/>
    <m/>
    <m/>
    <m/>
    <x v="0"/>
    <x v="0"/>
  </r>
  <r>
    <n v="27809246"/>
    <x v="0"/>
    <x v="699"/>
    <s v="EK 235_2022-07-29T05x55x00"/>
    <s v="B777/3-ER"/>
    <x v="3"/>
    <x v="118"/>
    <x v="2"/>
    <s v="Operational"/>
    <s v="EK 235"/>
    <m/>
    <m/>
    <m/>
    <m/>
    <x v="0"/>
    <x v="0"/>
  </r>
  <r>
    <n v="27809256"/>
    <x v="0"/>
    <x v="700"/>
    <s v="FZ 756_2022-07-29T03x30x00"/>
    <s v="B737/8-MAX"/>
    <x v="1"/>
    <x v="1"/>
    <x v="3"/>
    <s v="Operational"/>
    <s v="FZ 756"/>
    <m/>
    <m/>
    <m/>
    <m/>
    <x v="0"/>
    <x v="0"/>
  </r>
  <r>
    <n v="27809258"/>
    <x v="0"/>
    <x v="701"/>
    <s v="EK 141_2022-07-29T03x40x00"/>
    <s v="A380/8"/>
    <x v="3"/>
    <x v="51"/>
    <x v="1"/>
    <s v="Operational"/>
    <s v="EK 141"/>
    <m/>
    <m/>
    <m/>
    <m/>
    <x v="0"/>
    <x v="0"/>
  </r>
  <r>
    <n v="27809268"/>
    <x v="0"/>
    <x v="702"/>
    <s v="FZ 756_2022-07-29T03x30x00"/>
    <s v="B737/8-MAX"/>
    <x v="1"/>
    <x v="1"/>
    <x v="4"/>
    <s v="Operational"/>
    <s v="FZ 756"/>
    <m/>
    <m/>
    <m/>
    <m/>
    <x v="0"/>
    <x v="0"/>
  </r>
  <r>
    <n v="27809278"/>
    <x v="0"/>
    <x v="703"/>
    <s v="FZ 756_2022-07-29T03x30x00"/>
    <s v="B737/8-MAX"/>
    <x v="1"/>
    <x v="1"/>
    <x v="15"/>
    <s v="Technical"/>
    <s v="FZ 756"/>
    <m/>
    <m/>
    <m/>
    <m/>
    <x v="0"/>
    <x v="0"/>
  </r>
  <r>
    <n v="27809296"/>
    <x v="0"/>
    <x v="704"/>
    <s v="EK 235_2022-07-29T05x55x00"/>
    <s v="B777/3-ER"/>
    <x v="3"/>
    <x v="118"/>
    <x v="0"/>
    <s v="Operational"/>
    <s v="EK 235"/>
    <m/>
    <m/>
    <m/>
    <m/>
    <x v="0"/>
    <x v="0"/>
  </r>
  <r>
    <n v="27809304"/>
    <x v="0"/>
    <x v="705"/>
    <s v="FZ 1745_2022-07-29T05x05x00"/>
    <s v="B737/8-MAX"/>
    <x v="5"/>
    <x v="82"/>
    <x v="24"/>
    <s v="Operational"/>
    <m/>
    <m/>
    <m/>
    <m/>
    <m/>
    <x v="0"/>
    <x v="0"/>
  </r>
  <r>
    <n v="27809308"/>
    <x v="0"/>
    <x v="706"/>
    <s v="FZ 756_2022-07-29T03x30x00"/>
    <s v="B737/8-MAX"/>
    <x v="1"/>
    <x v="1"/>
    <x v="17"/>
    <s v="Technical"/>
    <s v="FZ 756"/>
    <m/>
    <m/>
    <m/>
    <m/>
    <x v="0"/>
    <x v="0"/>
  </r>
  <r>
    <n v="27809311"/>
    <x v="0"/>
    <x v="707"/>
    <s v="FZ 756_2022-07-29T03x30x00"/>
    <s v="B737/8-MAX"/>
    <x v="1"/>
    <x v="1"/>
    <x v="15"/>
    <s v="Technical"/>
    <s v="FZ 756"/>
    <m/>
    <m/>
    <m/>
    <m/>
    <x v="0"/>
    <x v="0"/>
  </r>
  <r>
    <n v="27809317"/>
    <x v="0"/>
    <x v="708"/>
    <m/>
    <m/>
    <x v="5"/>
    <x v="82"/>
    <x v="25"/>
    <s v="Operational"/>
    <m/>
    <m/>
    <m/>
    <m/>
    <m/>
    <x v="0"/>
    <x v="0"/>
  </r>
  <r>
    <n v="27809328"/>
    <x v="0"/>
    <x v="709"/>
    <s v="FZ 756_2022-07-29T03x30x00"/>
    <s v="B737/8-MAX"/>
    <x v="1"/>
    <x v="1"/>
    <x v="17"/>
    <s v="Technical"/>
    <s v="FZ 756"/>
    <m/>
    <m/>
    <m/>
    <m/>
    <x v="0"/>
    <x v="0"/>
  </r>
  <r>
    <n v="27809332"/>
    <x v="0"/>
    <x v="710"/>
    <s v="FZ 756_2022-07-29T03x30x00"/>
    <s v="B737/8-MAX"/>
    <x v="1"/>
    <x v="1"/>
    <x v="15"/>
    <s v="Technical"/>
    <s v="FZ 756"/>
    <m/>
    <m/>
    <m/>
    <m/>
    <x v="0"/>
    <x v="0"/>
  </r>
  <r>
    <n v="27816884"/>
    <x v="0"/>
    <x v="711"/>
    <s v="FX 5033_2022-07-29T07x15x00"/>
    <s v="MD11"/>
    <x v="1"/>
    <x v="93"/>
    <x v="26"/>
    <s v="Operational"/>
    <s v="FX 5033"/>
    <m/>
    <m/>
    <m/>
    <m/>
    <x v="0"/>
    <x v="0"/>
  </r>
  <r>
    <n v="27809337"/>
    <x v="0"/>
    <x v="710"/>
    <s v="FZ 756_2022-07-29T03x30x00"/>
    <s v="B737/8-MAX"/>
    <x v="1"/>
    <x v="1"/>
    <x v="17"/>
    <s v="Technical"/>
    <s v="FZ 756"/>
    <m/>
    <m/>
    <m/>
    <m/>
    <x v="0"/>
    <x v="0"/>
  </r>
  <r>
    <n v="27809342"/>
    <x v="0"/>
    <x v="712"/>
    <s v="EK 205_2022-07-29T05x45x00"/>
    <s v="A380/8"/>
    <x v="3"/>
    <x v="37"/>
    <x v="2"/>
    <s v="Operational"/>
    <s v="EK 205"/>
    <m/>
    <m/>
    <m/>
    <m/>
    <x v="0"/>
    <x v="0"/>
  </r>
  <r>
    <n v="27809348"/>
    <x v="0"/>
    <x v="713"/>
    <s v="FZ 1304_2022-07-29T04x20x00"/>
    <s v="B737/8-MAX"/>
    <x v="5"/>
    <x v="140"/>
    <x v="4"/>
    <s v="Operational"/>
    <s v="FZ 1304"/>
    <m/>
    <m/>
    <m/>
    <m/>
    <x v="0"/>
    <x v="0"/>
  </r>
  <r>
    <n v="27809353"/>
    <x v="0"/>
    <x v="714"/>
    <s v="ES 269_2022-07-29T04x30x00"/>
    <s v="B767/2"/>
    <x v="1"/>
    <x v="117"/>
    <x v="3"/>
    <s v="Operational"/>
    <s v="ES 269"/>
    <m/>
    <m/>
    <m/>
    <m/>
    <x v="0"/>
    <x v="0"/>
  </r>
  <r>
    <n v="27809359"/>
    <x v="0"/>
    <x v="715"/>
    <s v="ES 269_2022-07-29T04x30x00"/>
    <s v="B767/2"/>
    <x v="1"/>
    <x v="117"/>
    <x v="4"/>
    <s v="Operational"/>
    <s v="ES 269"/>
    <m/>
    <m/>
    <m/>
    <m/>
    <x v="0"/>
    <x v="0"/>
  </r>
  <r>
    <n v="27809367"/>
    <x v="0"/>
    <x v="716"/>
    <s v="ES 269_2022-07-29T04x30x00"/>
    <s v="B767/2"/>
    <x v="1"/>
    <x v="117"/>
    <x v="15"/>
    <s v="Technical"/>
    <s v="ES 269"/>
    <m/>
    <m/>
    <m/>
    <m/>
    <x v="0"/>
    <x v="0"/>
  </r>
  <r>
    <n v="27809373"/>
    <x v="0"/>
    <x v="717"/>
    <s v="ES 269_2022-07-29T04x30x00"/>
    <s v="B767/2"/>
    <x v="1"/>
    <x v="117"/>
    <x v="16"/>
    <s v="Technical"/>
    <s v="ES 269"/>
    <m/>
    <m/>
    <m/>
    <m/>
    <x v="0"/>
    <x v="0"/>
  </r>
  <r>
    <n v="27809377"/>
    <x v="0"/>
    <x v="718"/>
    <s v="ES 269_2022-07-29T04x30x00"/>
    <s v="B767/2"/>
    <x v="1"/>
    <x v="117"/>
    <x v="3"/>
    <s v="Operational"/>
    <s v="ES 269"/>
    <m/>
    <m/>
    <m/>
    <m/>
    <x v="0"/>
    <x v="0"/>
  </r>
  <r>
    <n v="27809392"/>
    <x v="0"/>
    <x v="719"/>
    <s v="EK 205_2022-07-29T05x45x00"/>
    <s v="A380/8"/>
    <x v="3"/>
    <x v="37"/>
    <x v="0"/>
    <s v="Operational"/>
    <s v="EK 205"/>
    <m/>
    <m/>
    <m/>
    <m/>
    <x v="0"/>
    <x v="0"/>
  </r>
  <r>
    <n v="27809427"/>
    <x v="0"/>
    <x v="720"/>
    <s v="EK 204_2022-07-29T03x50x00"/>
    <s v="A380/8"/>
    <x v="2"/>
    <x v="27"/>
    <x v="3"/>
    <s v="Operational"/>
    <s v="EK 204"/>
    <m/>
    <m/>
    <m/>
    <m/>
    <x v="0"/>
    <x v="0"/>
  </r>
  <r>
    <n v="27809432"/>
    <x v="0"/>
    <x v="721"/>
    <s v="ES 269_2022-07-29T04x30x00"/>
    <s v="B767/2"/>
    <x v="1"/>
    <x v="117"/>
    <x v="4"/>
    <s v="Operational"/>
    <s v="ES 269"/>
    <m/>
    <m/>
    <m/>
    <m/>
    <x v="0"/>
    <x v="0"/>
  </r>
  <r>
    <n v="27809441"/>
    <x v="0"/>
    <x v="722"/>
    <s v="ES 269_2022-07-29T04x30x00"/>
    <s v="B767/2"/>
    <x v="1"/>
    <x v="117"/>
    <x v="15"/>
    <s v="Technical"/>
    <s v="ES 269"/>
    <m/>
    <m/>
    <m/>
    <m/>
    <x v="0"/>
    <x v="0"/>
  </r>
  <r>
    <n v="27809446"/>
    <x v="0"/>
    <x v="723"/>
    <s v="ES 269_2022-07-29T04x30x00"/>
    <s v="B767/2"/>
    <x v="1"/>
    <x v="117"/>
    <x v="16"/>
    <s v="Technical"/>
    <s v="ES 269"/>
    <m/>
    <m/>
    <m/>
    <m/>
    <x v="0"/>
    <x v="0"/>
  </r>
  <r>
    <n v="27809451"/>
    <x v="0"/>
    <x v="724"/>
    <s v="ES 269_2022-07-29T04x30x00"/>
    <s v="B767/2"/>
    <x v="1"/>
    <x v="117"/>
    <x v="3"/>
    <s v="Operational"/>
    <s v="ES 269"/>
    <m/>
    <m/>
    <m/>
    <m/>
    <x v="0"/>
    <x v="0"/>
  </r>
  <r>
    <n v="27809473"/>
    <x v="0"/>
    <x v="725"/>
    <s v="FZ 1688_2022-07-29T01x00x00"/>
    <s v="B737/8-MAX"/>
    <x v="5"/>
    <x v="107"/>
    <x v="1"/>
    <s v="Operational"/>
    <m/>
    <m/>
    <m/>
    <m/>
    <m/>
    <x v="0"/>
    <x v="0"/>
  </r>
  <r>
    <n v="27809478"/>
    <x v="0"/>
    <x v="726"/>
    <s v="FZ 1750_2022-07-29T03x05x00"/>
    <s v="B737/8-MAX"/>
    <x v="5"/>
    <x v="107"/>
    <x v="3"/>
    <s v="Operational"/>
    <s v="FZ 1750"/>
    <m/>
    <m/>
    <m/>
    <m/>
    <x v="0"/>
    <x v="0"/>
  </r>
  <r>
    <n v="27809501"/>
    <x v="0"/>
    <x v="727"/>
    <s v="FZ 1722_2022-07-29T03x25x00"/>
    <s v="B737/8"/>
    <x v="5"/>
    <x v="139"/>
    <x v="2"/>
    <s v="Operational"/>
    <s v="FZ 1722"/>
    <m/>
    <m/>
    <m/>
    <m/>
    <x v="0"/>
    <x v="0"/>
  </r>
  <r>
    <n v="27816895"/>
    <x v="0"/>
    <x v="728"/>
    <s v="EK 037_2022-07-29T10x55x00"/>
    <s v="B777/3-ER"/>
    <x v="3"/>
    <x v="94"/>
    <x v="0"/>
    <s v="Operational"/>
    <s v="EK 037"/>
    <m/>
    <m/>
    <m/>
    <m/>
    <x v="0"/>
    <x v="0"/>
  </r>
  <r>
    <n v="27809533"/>
    <x v="0"/>
    <x v="729"/>
    <s v="FZ 338_2022-07-29T03x50x00"/>
    <s v="B737/8"/>
    <x v="1"/>
    <x v="137"/>
    <x v="3"/>
    <s v="Operational"/>
    <s v="FZ 338"/>
    <m/>
    <m/>
    <m/>
    <m/>
    <x v="0"/>
    <x v="0"/>
  </r>
  <r>
    <n v="27809555"/>
    <x v="0"/>
    <x v="730"/>
    <s v="FZ 1722_2022-07-29T03x25x00"/>
    <s v="B737/8"/>
    <x v="5"/>
    <x v="139"/>
    <x v="0"/>
    <s v="Operational"/>
    <s v="FZ 1722"/>
    <m/>
    <m/>
    <m/>
    <m/>
    <x v="0"/>
    <x v="0"/>
  </r>
  <r>
    <n v="27809578"/>
    <x v="0"/>
    <x v="731"/>
    <s v="FZ 1750_2022-07-29T03x05x00"/>
    <s v="B737/8-MAX"/>
    <x v="5"/>
    <x v="107"/>
    <x v="4"/>
    <s v="Operational"/>
    <s v="FZ 1750"/>
    <m/>
    <m/>
    <m/>
    <m/>
    <x v="0"/>
    <x v="0"/>
  </r>
  <r>
    <n v="27809582"/>
    <x v="0"/>
    <x v="732"/>
    <s v="EK 204_2022-07-29T03x50x00"/>
    <s v="A380/8"/>
    <x v="2"/>
    <x v="27"/>
    <x v="4"/>
    <s v="Operational"/>
    <s v="EK 204"/>
    <m/>
    <m/>
    <m/>
    <m/>
    <x v="0"/>
    <x v="0"/>
  </r>
  <r>
    <n v="27809587"/>
    <x v="0"/>
    <x v="733"/>
    <s v="ES 269_2022-07-29T04x30x00"/>
    <s v="B767/2"/>
    <x v="1"/>
    <x v="117"/>
    <x v="4"/>
    <s v="Operational"/>
    <s v="ES 269"/>
    <m/>
    <m/>
    <m/>
    <m/>
    <x v="0"/>
    <x v="0"/>
  </r>
  <r>
    <n v="27809589"/>
    <x v="0"/>
    <x v="734"/>
    <s v="EK 039_2022-07-29T03x50x00"/>
    <s v="B777/3-ER"/>
    <x v="2"/>
    <x v="56"/>
    <x v="1"/>
    <s v="Operational"/>
    <s v="EK 039"/>
    <m/>
    <m/>
    <m/>
    <m/>
    <x v="0"/>
    <x v="0"/>
  </r>
  <r>
    <n v="27809596"/>
    <x v="0"/>
    <x v="735"/>
    <s v="FZ 338_2022-07-29T03x50x00"/>
    <s v="B737/8"/>
    <x v="1"/>
    <x v="137"/>
    <x v="4"/>
    <s v="Operational"/>
    <s v="FZ 338"/>
    <m/>
    <m/>
    <m/>
    <m/>
    <x v="0"/>
    <x v="0"/>
  </r>
  <r>
    <n v="27817997"/>
    <x v="0"/>
    <x v="736"/>
    <s v="6E 056_2022-07-29T07x25x00"/>
    <s v="A320-NEO"/>
    <x v="0"/>
    <x v="0"/>
    <x v="1"/>
    <s v="Operational"/>
    <s v="6E 056"/>
    <m/>
    <m/>
    <m/>
    <m/>
    <x v="0"/>
    <x v="0"/>
  </r>
  <r>
    <n v="27809611"/>
    <x v="0"/>
    <x v="737"/>
    <s v="ES 269_2022-07-29T04x30x00"/>
    <s v="B767/2"/>
    <x v="1"/>
    <x v="117"/>
    <x v="15"/>
    <s v="Technical"/>
    <s v="ES 269"/>
    <m/>
    <m/>
    <m/>
    <m/>
    <x v="0"/>
    <x v="0"/>
  </r>
  <r>
    <n v="27809614"/>
    <x v="0"/>
    <x v="738"/>
    <s v="ES 269_2022-07-29T04x30x00"/>
    <s v="B767/2"/>
    <x v="1"/>
    <x v="117"/>
    <x v="16"/>
    <s v="Technical"/>
    <s v="ES 269"/>
    <m/>
    <m/>
    <m/>
    <m/>
    <x v="0"/>
    <x v="0"/>
  </r>
  <r>
    <n v="27809618"/>
    <x v="0"/>
    <x v="739"/>
    <s v="EK 795_2022-07-29T03x55x00"/>
    <s v="B777/3-ER"/>
    <x v="2"/>
    <x v="79"/>
    <x v="1"/>
    <s v="Operational"/>
    <s v="EK 795"/>
    <m/>
    <m/>
    <m/>
    <m/>
    <x v="0"/>
    <x v="0"/>
  </r>
  <r>
    <n v="27809625"/>
    <x v="0"/>
    <x v="740"/>
    <s v="ES 269_2022-07-29T04x30x00"/>
    <s v="B767/2"/>
    <x v="1"/>
    <x v="117"/>
    <x v="3"/>
    <s v="Operational"/>
    <s v="ES 269"/>
    <m/>
    <m/>
    <m/>
    <m/>
    <x v="0"/>
    <x v="0"/>
  </r>
  <r>
    <n v="27809646"/>
    <x v="0"/>
    <x v="741"/>
    <s v="ES 269_2022-07-29T04x30x00"/>
    <s v="B767/2"/>
    <x v="1"/>
    <x v="117"/>
    <x v="4"/>
    <s v="Operational"/>
    <s v="ES 269"/>
    <m/>
    <m/>
    <m/>
    <m/>
    <x v="0"/>
    <x v="0"/>
  </r>
  <r>
    <n v="27809649"/>
    <x v="0"/>
    <x v="742"/>
    <s v="FZ 1304_2022-07-29T04x20x00"/>
    <s v="B737/8-MAX"/>
    <x v="5"/>
    <x v="140"/>
    <x v="2"/>
    <s v="Operational"/>
    <s v="FZ 1304"/>
    <m/>
    <m/>
    <m/>
    <m/>
    <x v="0"/>
    <x v="0"/>
  </r>
  <r>
    <n v="27809653"/>
    <x v="0"/>
    <x v="743"/>
    <s v="ES 269_2022-07-29T04x30x00"/>
    <s v="B767/2"/>
    <x v="1"/>
    <x v="117"/>
    <x v="15"/>
    <s v="Technical"/>
    <s v="ES 269"/>
    <m/>
    <m/>
    <m/>
    <m/>
    <x v="0"/>
    <x v="0"/>
  </r>
  <r>
    <n v="27809664"/>
    <x v="0"/>
    <x v="744"/>
    <s v="ES 269_2022-07-29T04x30x00"/>
    <s v="B767/2"/>
    <x v="1"/>
    <x v="117"/>
    <x v="16"/>
    <s v="Technical"/>
    <s v="ES 269"/>
    <m/>
    <m/>
    <m/>
    <m/>
    <x v="0"/>
    <x v="0"/>
  </r>
  <r>
    <n v="27809671"/>
    <x v="0"/>
    <x v="745"/>
    <s v="ES 269_2022-07-29T04x30x00"/>
    <s v="B767/2"/>
    <x v="1"/>
    <x v="117"/>
    <x v="3"/>
    <s v="Operational"/>
    <s v="ES 269"/>
    <m/>
    <m/>
    <m/>
    <m/>
    <x v="0"/>
    <x v="0"/>
  </r>
  <r>
    <n v="27809685"/>
    <x v="0"/>
    <x v="746"/>
    <s v="FZ 1304_2022-07-29T04x20x00"/>
    <s v="B737/8-MAX"/>
    <x v="5"/>
    <x v="140"/>
    <x v="0"/>
    <s v="Operational"/>
    <s v="FZ 1304"/>
    <m/>
    <m/>
    <m/>
    <m/>
    <x v="0"/>
    <x v="0"/>
  </r>
  <r>
    <n v="27809700"/>
    <x v="0"/>
    <x v="747"/>
    <s v="TK 763_2022-07-29T03x40x00"/>
    <s v="A350/9"/>
    <x v="0"/>
    <x v="22"/>
    <x v="1"/>
    <s v="Operational"/>
    <s v="TK 763"/>
    <m/>
    <m/>
    <m/>
    <m/>
    <x v="0"/>
    <x v="0"/>
  </r>
  <r>
    <n v="27809710"/>
    <x v="0"/>
    <x v="748"/>
    <s v="EK 006_2022-07-29T04x05x00"/>
    <s v="A380/8"/>
    <x v="3"/>
    <x v="142"/>
    <x v="2"/>
    <s v="Operational"/>
    <s v="EK 006"/>
    <m/>
    <m/>
    <m/>
    <m/>
    <x v="0"/>
    <x v="0"/>
  </r>
  <r>
    <n v="27809712"/>
    <x v="0"/>
    <x v="748"/>
    <s v="FZ 756_2022-07-29T03x30x00"/>
    <s v="B737/8-MAX"/>
    <x v="1"/>
    <x v="1"/>
    <x v="2"/>
    <s v="Operational"/>
    <s v="FZ 756"/>
    <m/>
    <m/>
    <m/>
    <m/>
    <x v="0"/>
    <x v="0"/>
  </r>
  <r>
    <n v="27809726"/>
    <x v="0"/>
    <x v="749"/>
    <s v="EK 529_2022-07-29T04x10x00"/>
    <s v="B777/3-ER"/>
    <x v="5"/>
    <x v="143"/>
    <x v="1"/>
    <s v="Operational"/>
    <s v="EK 529"/>
    <m/>
    <m/>
    <m/>
    <m/>
    <x v="0"/>
    <x v="0"/>
  </r>
  <r>
    <n v="27809739"/>
    <x v="0"/>
    <x v="750"/>
    <s v="EK 006_2022-07-29T04x05x00"/>
    <s v="A380/8"/>
    <x v="3"/>
    <x v="142"/>
    <x v="0"/>
    <s v="Operational"/>
    <s v="EK 006"/>
    <m/>
    <m/>
    <m/>
    <m/>
    <x v="0"/>
    <x v="0"/>
  </r>
  <r>
    <n v="27809743"/>
    <x v="0"/>
    <x v="750"/>
    <s v="FZ 756_2022-07-29T03x30x00"/>
    <s v="B737/8-MAX"/>
    <x v="1"/>
    <x v="1"/>
    <x v="0"/>
    <s v="Operational"/>
    <s v="FZ 756"/>
    <m/>
    <m/>
    <m/>
    <m/>
    <x v="0"/>
    <x v="0"/>
  </r>
  <r>
    <n v="27809763"/>
    <x v="0"/>
    <x v="751"/>
    <s v="EK 232_2022-07-29T04x10x00"/>
    <s v="A380/8"/>
    <x v="3"/>
    <x v="30"/>
    <x v="5"/>
    <s v="Operational"/>
    <s v="EK 232"/>
    <m/>
    <m/>
    <m/>
    <m/>
    <x v="0"/>
    <x v="0"/>
  </r>
  <r>
    <n v="27809769"/>
    <x v="0"/>
    <x v="752"/>
    <s v="EK 232_2022-07-29T04x10x00"/>
    <s v="A380/8"/>
    <x v="3"/>
    <x v="30"/>
    <x v="3"/>
    <s v="Operational"/>
    <s v="EK 232"/>
    <m/>
    <m/>
    <m/>
    <m/>
    <x v="0"/>
    <x v="0"/>
  </r>
  <r>
    <n v="27809791"/>
    <x v="0"/>
    <x v="753"/>
    <s v="EK 232_2022-07-29T04x10x00"/>
    <s v="A380/8"/>
    <x v="3"/>
    <x v="30"/>
    <x v="4"/>
    <s v="Operational"/>
    <s v="EK 232"/>
    <m/>
    <m/>
    <m/>
    <m/>
    <x v="0"/>
    <x v="0"/>
  </r>
  <r>
    <n v="27809800"/>
    <x v="0"/>
    <x v="754"/>
    <s v="FZ 1750_2022-07-29T03x05x00"/>
    <s v="B737/8-MAX"/>
    <x v="5"/>
    <x v="107"/>
    <x v="2"/>
    <s v="Operational"/>
    <s v="FZ 1750"/>
    <m/>
    <m/>
    <m/>
    <m/>
    <x v="0"/>
    <x v="0"/>
  </r>
  <r>
    <n v="27809810"/>
    <x v="0"/>
    <x v="755"/>
    <s v="EK 232_2022-07-29T04x10x00"/>
    <s v="A380/8"/>
    <x v="3"/>
    <x v="30"/>
    <x v="2"/>
    <s v="Operational"/>
    <s v="EK 232"/>
    <m/>
    <m/>
    <m/>
    <m/>
    <x v="0"/>
    <x v="0"/>
  </r>
  <r>
    <n v="27809828"/>
    <x v="0"/>
    <x v="756"/>
    <s v="FZ 1750_2022-07-29T03x05x00"/>
    <s v="B737/8-MAX"/>
    <x v="5"/>
    <x v="107"/>
    <x v="0"/>
    <s v="Operational"/>
    <s v="FZ 1750"/>
    <m/>
    <m/>
    <m/>
    <m/>
    <x v="0"/>
    <x v="0"/>
  </r>
  <r>
    <n v="27809846"/>
    <x v="0"/>
    <x v="757"/>
    <s v="ES 269_2022-07-29T04x30x00"/>
    <s v="B767/2"/>
    <x v="1"/>
    <x v="117"/>
    <x v="4"/>
    <s v="Operational"/>
    <s v="ES 269"/>
    <m/>
    <m/>
    <m/>
    <m/>
    <x v="0"/>
    <x v="0"/>
  </r>
  <r>
    <n v="27809855"/>
    <x v="0"/>
    <x v="758"/>
    <s v="ES 269_2022-07-29T04x30x00"/>
    <s v="B767/2"/>
    <x v="1"/>
    <x v="117"/>
    <x v="15"/>
    <s v="Technical"/>
    <s v="ES 269"/>
    <m/>
    <m/>
    <m/>
    <m/>
    <x v="0"/>
    <x v="0"/>
  </r>
  <r>
    <n v="27809858"/>
    <x v="0"/>
    <x v="759"/>
    <s v="ES 269_2022-07-29T04x30x00"/>
    <s v="B767/2"/>
    <x v="1"/>
    <x v="117"/>
    <x v="16"/>
    <s v="Technical"/>
    <s v="ES 269"/>
    <m/>
    <m/>
    <m/>
    <m/>
    <x v="0"/>
    <x v="0"/>
  </r>
  <r>
    <n v="27809866"/>
    <x v="0"/>
    <x v="760"/>
    <s v="ES 269_2022-07-29T04x30x00"/>
    <s v="B767/2"/>
    <x v="1"/>
    <x v="117"/>
    <x v="3"/>
    <s v="Operational"/>
    <s v="ES 269"/>
    <m/>
    <m/>
    <m/>
    <m/>
    <x v="0"/>
    <x v="0"/>
  </r>
  <r>
    <n v="27816917"/>
    <x v="0"/>
    <x v="761"/>
    <s v="IA 127_2022-07-29T07x40x00"/>
    <s v="B737/8"/>
    <x v="1"/>
    <x v="11"/>
    <x v="3"/>
    <s v="Operational"/>
    <s v="IA 127"/>
    <m/>
    <m/>
    <m/>
    <m/>
    <x v="0"/>
    <x v="0"/>
  </r>
  <r>
    <n v="27809873"/>
    <x v="0"/>
    <x v="762"/>
    <s v="EK 232_2022-07-29T04x10x00"/>
    <s v="A380/8"/>
    <x v="3"/>
    <x v="30"/>
    <x v="0"/>
    <s v="Operational"/>
    <s v="EK 232"/>
    <m/>
    <m/>
    <m/>
    <m/>
    <x v="0"/>
    <x v="0"/>
  </r>
  <r>
    <n v="27809897"/>
    <x v="0"/>
    <x v="763"/>
    <s v="FZ 916_2022-07-29T03x50x00"/>
    <s v="B737/8"/>
    <x v="1"/>
    <x v="35"/>
    <x v="3"/>
    <s v="Operational"/>
    <s v="FZ 916"/>
    <m/>
    <m/>
    <m/>
    <m/>
    <x v="0"/>
    <x v="0"/>
  </r>
  <r>
    <n v="27809909"/>
    <x v="0"/>
    <x v="764"/>
    <s v="EK 787_2022-07-29T03x30x00"/>
    <s v="B777/3-ER"/>
    <x v="3"/>
    <x v="44"/>
    <x v="1"/>
    <s v="Operational"/>
    <s v="EK 787"/>
    <m/>
    <m/>
    <m/>
    <m/>
    <x v="0"/>
    <x v="0"/>
  </r>
  <r>
    <n v="27809923"/>
    <x v="0"/>
    <x v="765"/>
    <s v="EK 600_2022-07-29T03x50x00"/>
    <s v="B777/3-ER"/>
    <x v="3"/>
    <x v="78"/>
    <x v="1"/>
    <s v="Operational"/>
    <s v="EK 600"/>
    <m/>
    <m/>
    <m/>
    <m/>
    <x v="0"/>
    <x v="0"/>
  </r>
  <r>
    <n v="27809930"/>
    <x v="0"/>
    <x v="766"/>
    <s v="ES 269_2022-07-29T04x30x00"/>
    <s v="B767/2"/>
    <x v="1"/>
    <x v="117"/>
    <x v="4"/>
    <s v="Operational"/>
    <s v="ES 269"/>
    <m/>
    <m/>
    <m/>
    <m/>
    <x v="0"/>
    <x v="0"/>
  </r>
  <r>
    <n v="27809953"/>
    <x v="0"/>
    <x v="767"/>
    <s v="FZ 916_2022-07-29T03x50x00"/>
    <s v="B737/8"/>
    <x v="1"/>
    <x v="35"/>
    <x v="4"/>
    <s v="Operational"/>
    <s v="FZ 916"/>
    <m/>
    <m/>
    <m/>
    <m/>
    <x v="0"/>
    <x v="0"/>
  </r>
  <r>
    <n v="27809962"/>
    <x v="0"/>
    <x v="768"/>
    <s v="ES 269_2022-07-29T04x30x00"/>
    <s v="B767/2"/>
    <x v="1"/>
    <x v="117"/>
    <x v="15"/>
    <s v="Technical"/>
    <s v="ES 269"/>
    <m/>
    <m/>
    <m/>
    <m/>
    <x v="0"/>
    <x v="0"/>
  </r>
  <r>
    <n v="27809970"/>
    <x v="0"/>
    <x v="769"/>
    <s v="ES 269_2022-07-29T04x30x00"/>
    <s v="B767/2"/>
    <x v="1"/>
    <x v="117"/>
    <x v="16"/>
    <s v="Technical"/>
    <s v="ES 269"/>
    <m/>
    <m/>
    <m/>
    <m/>
    <x v="0"/>
    <x v="0"/>
  </r>
  <r>
    <n v="27809979"/>
    <x v="0"/>
    <x v="770"/>
    <s v="ES 269_2022-07-29T04x30x00"/>
    <s v="B767/2"/>
    <x v="1"/>
    <x v="117"/>
    <x v="3"/>
    <s v="Operational"/>
    <s v="ES 269"/>
    <m/>
    <m/>
    <m/>
    <m/>
    <x v="0"/>
    <x v="0"/>
  </r>
  <r>
    <n v="27809985"/>
    <x v="0"/>
    <x v="771"/>
    <s v="EK 109_2022-07-29T04x00x00"/>
    <s v="B777/3-ER"/>
    <x v="2"/>
    <x v="4"/>
    <x v="1"/>
    <s v="Operational"/>
    <s v="EK 109"/>
    <m/>
    <m/>
    <m/>
    <m/>
    <x v="0"/>
    <x v="0"/>
  </r>
  <r>
    <n v="27809987"/>
    <x v="0"/>
    <x v="771"/>
    <s v="EK 2551_2022-07-29T04x00x00"/>
    <s v="A380/8"/>
    <x v="5"/>
    <x v="62"/>
    <x v="1"/>
    <s v="Operational"/>
    <s v="EK 2551"/>
    <m/>
    <m/>
    <m/>
    <m/>
    <x v="0"/>
    <x v="0"/>
  </r>
  <r>
    <n v="27810000"/>
    <x v="0"/>
    <x v="772"/>
    <s v="FZ 338_2022-07-29T03x50x00"/>
    <s v="B737/8"/>
    <x v="1"/>
    <x v="137"/>
    <x v="2"/>
    <s v="Operational"/>
    <s v="FZ 338"/>
    <m/>
    <m/>
    <m/>
    <m/>
    <x v="0"/>
    <x v="0"/>
  </r>
  <r>
    <n v="27810013"/>
    <x v="0"/>
    <x v="773"/>
    <s v="FZ 338_2022-07-29T03x50x00"/>
    <s v="B737/8"/>
    <x v="1"/>
    <x v="137"/>
    <x v="0"/>
    <s v="Operational"/>
    <s v="FZ 338"/>
    <m/>
    <m/>
    <m/>
    <m/>
    <x v="0"/>
    <x v="0"/>
  </r>
  <r>
    <n v="27810021"/>
    <x v="0"/>
    <x v="774"/>
    <m/>
    <m/>
    <x v="4"/>
    <x v="55"/>
    <x v="6"/>
    <s v="Operational"/>
    <m/>
    <m/>
    <m/>
    <m/>
    <m/>
    <x v="0"/>
    <x v="0"/>
  </r>
  <r>
    <n v="27810035"/>
    <x v="0"/>
    <x v="775"/>
    <s v="FZ 1462_2022-07-29T04x10x00"/>
    <s v="B737/8-MAX"/>
    <x v="5"/>
    <x v="23"/>
    <x v="3"/>
    <s v="Operational"/>
    <s v="FZ 1462"/>
    <m/>
    <m/>
    <m/>
    <m/>
    <x v="0"/>
    <x v="0"/>
  </r>
  <r>
    <n v="27810054"/>
    <x v="0"/>
    <x v="776"/>
    <s v="RJ 613_2022-07-29T03x00x00"/>
    <s v="A320"/>
    <x v="0"/>
    <x v="17"/>
    <x v="1"/>
    <s v="Operational"/>
    <s v="RJ 613"/>
    <m/>
    <m/>
    <m/>
    <m/>
    <x v="0"/>
    <x v="0"/>
  </r>
  <r>
    <n v="27816925"/>
    <x v="0"/>
    <x v="777"/>
    <s v="IA 127_2022-07-29T07x40x00"/>
    <s v="B737/8"/>
    <x v="1"/>
    <x v="11"/>
    <x v="4"/>
    <s v="Operational"/>
    <s v="IA 127"/>
    <m/>
    <m/>
    <m/>
    <m/>
    <x v="0"/>
    <x v="0"/>
  </r>
  <r>
    <n v="27810108"/>
    <x v="0"/>
    <x v="778"/>
    <s v="EK 204_2022-07-29T03x50x00"/>
    <s v="A380/8"/>
    <x v="2"/>
    <x v="27"/>
    <x v="2"/>
    <s v="Operational"/>
    <s v="EK 204"/>
    <m/>
    <m/>
    <m/>
    <m/>
    <x v="0"/>
    <x v="0"/>
  </r>
  <r>
    <n v="27810112"/>
    <x v="0"/>
    <x v="779"/>
    <s v="EK 818_2022-07-29T03x55x00"/>
    <s v="B777/3-ER"/>
    <x v="6"/>
    <x v="144"/>
    <x v="1"/>
    <s v="Operational"/>
    <s v="EK 818"/>
    <m/>
    <m/>
    <m/>
    <m/>
    <x v="0"/>
    <x v="0"/>
  </r>
  <r>
    <n v="27810118"/>
    <x v="0"/>
    <x v="780"/>
    <s v="FZ 847_2022-07-29T03x50x00"/>
    <s v="B737/8-MAX"/>
    <x v="1"/>
    <x v="6"/>
    <x v="1"/>
    <s v="Operational"/>
    <s v="FZ 847"/>
    <m/>
    <m/>
    <m/>
    <m/>
    <x v="0"/>
    <x v="0"/>
  </r>
  <r>
    <n v="27810133"/>
    <x v="0"/>
    <x v="781"/>
    <s v="EK 204_2022-07-29T03x50x00"/>
    <s v="A380/8"/>
    <x v="2"/>
    <x v="27"/>
    <x v="0"/>
    <s v="Operational"/>
    <s v="EK 204"/>
    <m/>
    <m/>
    <m/>
    <m/>
    <x v="0"/>
    <x v="0"/>
  </r>
  <r>
    <n v="27810168"/>
    <x v="0"/>
    <x v="782"/>
    <s v="EK 782_2022-07-29T03x25x00"/>
    <s v="B777/3-ER"/>
    <x v="5"/>
    <x v="145"/>
    <x v="1"/>
    <s v="Operational"/>
    <s v="EK 782"/>
    <m/>
    <m/>
    <m/>
    <m/>
    <x v="0"/>
    <x v="0"/>
  </r>
  <r>
    <n v="27810201"/>
    <x v="0"/>
    <x v="783"/>
    <s v="EK 133_2022-07-29T06x10x00"/>
    <s v="A380/8"/>
    <x v="4"/>
    <x v="55"/>
    <x v="2"/>
    <s v="Operational"/>
    <s v="EK 133"/>
    <m/>
    <m/>
    <m/>
    <m/>
    <x v="0"/>
    <x v="0"/>
  </r>
  <r>
    <n v="27810210"/>
    <x v="0"/>
    <x v="784"/>
    <s v="EK 942_2022-07-29T03x50x00"/>
    <s v="B777/3-ER"/>
    <x v="7"/>
    <x v="38"/>
    <x v="1"/>
    <s v="Operational"/>
    <s v="EK 942"/>
    <m/>
    <m/>
    <m/>
    <m/>
    <x v="0"/>
    <x v="0"/>
  </r>
  <r>
    <n v="27816933"/>
    <x v="0"/>
    <x v="785"/>
    <s v="FX 5279_2022-07-29T06x55x00"/>
    <s v="B777/2"/>
    <x v="1"/>
    <x v="15"/>
    <x v="3"/>
    <s v="Operational"/>
    <s v="FX 5279"/>
    <m/>
    <m/>
    <m/>
    <m/>
    <x v="0"/>
    <x v="0"/>
  </r>
  <r>
    <n v="27810230"/>
    <x v="0"/>
    <x v="786"/>
    <s v="EK 133_2022-07-29T06x10x00"/>
    <s v="A380/8"/>
    <x v="4"/>
    <x v="55"/>
    <x v="0"/>
    <s v="Operational"/>
    <s v="EK 133"/>
    <m/>
    <m/>
    <m/>
    <m/>
    <x v="0"/>
    <x v="0"/>
  </r>
  <r>
    <n v="27816939"/>
    <x v="0"/>
    <x v="787"/>
    <m/>
    <m/>
    <x v="4"/>
    <x v="20"/>
    <x v="6"/>
    <s v="Operational"/>
    <m/>
    <m/>
    <m/>
    <m/>
    <m/>
    <x v="0"/>
    <x v="0"/>
  </r>
  <r>
    <n v="27810240"/>
    <x v="0"/>
    <x v="788"/>
    <s v="ES 269_2022-07-29T04x30x00"/>
    <s v="B767/2"/>
    <x v="1"/>
    <x v="117"/>
    <x v="26"/>
    <s v="Operational"/>
    <s v="ES 269"/>
    <m/>
    <m/>
    <m/>
    <m/>
    <x v="0"/>
    <x v="0"/>
  </r>
  <r>
    <n v="27810288"/>
    <x v="0"/>
    <x v="789"/>
    <s v="EK 015_2022-07-29T04x00x00"/>
    <s v="A380/8"/>
    <x v="4"/>
    <x v="86"/>
    <x v="1"/>
    <s v="Operational"/>
    <s v="EK 015"/>
    <m/>
    <m/>
    <m/>
    <m/>
    <x v="0"/>
    <x v="0"/>
  </r>
  <r>
    <n v="27810300"/>
    <x v="0"/>
    <x v="790"/>
    <s v="FZ 916_2022-07-29T03x50x00"/>
    <s v="B737/8"/>
    <x v="1"/>
    <x v="35"/>
    <x v="2"/>
    <s v="Operational"/>
    <s v="FZ 916"/>
    <m/>
    <m/>
    <m/>
    <m/>
    <x v="0"/>
    <x v="0"/>
  </r>
  <r>
    <n v="27810314"/>
    <x v="0"/>
    <x v="791"/>
    <s v="FZ 1462_2022-07-29T04x10x00"/>
    <s v="B737/8-MAX"/>
    <x v="5"/>
    <x v="23"/>
    <x v="4"/>
    <s v="Operational"/>
    <s v="FZ 1462"/>
    <m/>
    <m/>
    <m/>
    <m/>
    <x v="0"/>
    <x v="0"/>
  </r>
  <r>
    <n v="27810319"/>
    <x v="0"/>
    <x v="792"/>
    <s v="EK 147_2022-07-29T04x05x00"/>
    <s v="A380/8"/>
    <x v="4"/>
    <x v="141"/>
    <x v="1"/>
    <s v="Operational"/>
    <s v="EK 147"/>
    <m/>
    <m/>
    <m/>
    <m/>
    <x v="0"/>
    <x v="0"/>
  </r>
  <r>
    <n v="27810325"/>
    <x v="0"/>
    <x v="793"/>
    <s v="XY 216_2022-07-29T04x20x00"/>
    <s v="A320-NEO"/>
    <x v="0"/>
    <x v="9"/>
    <x v="1"/>
    <s v="Operational"/>
    <s v="XY 216"/>
    <m/>
    <m/>
    <m/>
    <m/>
    <x v="0"/>
    <x v="0"/>
  </r>
  <r>
    <n v="27816949"/>
    <x v="0"/>
    <x v="794"/>
    <s v="FX 5279_2022-07-29T06x55x00"/>
    <s v="B777/2"/>
    <x v="1"/>
    <x v="15"/>
    <x v="4"/>
    <s v="Operational"/>
    <s v="FX 5279"/>
    <m/>
    <m/>
    <m/>
    <m/>
    <x v="0"/>
    <x v="0"/>
  </r>
  <r>
    <n v="27816953"/>
    <x v="0"/>
    <x v="795"/>
    <s v="EK 2551_2022-07-29T07x45x00"/>
    <s v="A380/8"/>
    <x v="5"/>
    <x v="95"/>
    <x v="4"/>
    <s v="Operational"/>
    <s v="EK 2551"/>
    <m/>
    <m/>
    <m/>
    <m/>
    <x v="0"/>
    <x v="0"/>
  </r>
  <r>
    <n v="27810332"/>
    <x v="0"/>
    <x v="796"/>
    <m/>
    <s v="B777/3-ER"/>
    <x v="6"/>
    <x v="146"/>
    <x v="1"/>
    <s v="Operational"/>
    <m/>
    <m/>
    <m/>
    <m/>
    <m/>
    <x v="0"/>
    <x v="0"/>
  </r>
  <r>
    <n v="27810334"/>
    <x v="0"/>
    <x v="796"/>
    <s v="FZ 916_2022-07-29T03x50x00"/>
    <s v="B737/8"/>
    <x v="1"/>
    <x v="35"/>
    <x v="0"/>
    <s v="Operational"/>
    <s v="FZ 916"/>
    <m/>
    <m/>
    <m/>
    <m/>
    <x v="0"/>
    <x v="0"/>
  </r>
  <r>
    <n v="27816959"/>
    <x v="0"/>
    <x v="797"/>
    <s v="EK 2551_2022-07-29T07x45x00"/>
    <s v="A380/8"/>
    <x v="5"/>
    <x v="95"/>
    <x v="2"/>
    <s v="Operational"/>
    <s v="EK 2551"/>
    <m/>
    <m/>
    <m/>
    <m/>
    <x v="0"/>
    <x v="0"/>
  </r>
  <r>
    <n v="27810379"/>
    <x v="0"/>
    <x v="798"/>
    <m/>
    <m/>
    <x v="2"/>
    <x v="4"/>
    <x v="6"/>
    <s v="Operational"/>
    <m/>
    <m/>
    <m/>
    <m/>
    <m/>
    <x v="0"/>
    <x v="0"/>
  </r>
  <r>
    <n v="27810390"/>
    <x v="0"/>
    <x v="799"/>
    <m/>
    <m/>
    <x v="3"/>
    <x v="51"/>
    <x v="6"/>
    <s v="Operational"/>
    <m/>
    <m/>
    <m/>
    <m/>
    <m/>
    <x v="0"/>
    <x v="0"/>
  </r>
  <r>
    <n v="27810401"/>
    <x v="0"/>
    <x v="800"/>
    <m/>
    <m/>
    <x v="2"/>
    <x v="56"/>
    <x v="6"/>
    <s v="Operational"/>
    <m/>
    <m/>
    <m/>
    <m/>
    <m/>
    <x v="0"/>
    <x v="0"/>
  </r>
  <r>
    <n v="27810410"/>
    <x v="0"/>
    <x v="801"/>
    <m/>
    <m/>
    <x v="3"/>
    <x v="44"/>
    <x v="6"/>
    <s v="Operational"/>
    <m/>
    <m/>
    <m/>
    <m/>
    <m/>
    <x v="0"/>
    <x v="0"/>
  </r>
  <r>
    <n v="27810420"/>
    <x v="0"/>
    <x v="802"/>
    <m/>
    <m/>
    <x v="2"/>
    <x v="79"/>
    <x v="6"/>
    <s v="Operational"/>
    <m/>
    <m/>
    <m/>
    <m/>
    <m/>
    <x v="0"/>
    <x v="0"/>
  </r>
  <r>
    <n v="27810431"/>
    <x v="0"/>
    <x v="803"/>
    <m/>
    <m/>
    <x v="4"/>
    <x v="86"/>
    <x v="6"/>
    <s v="Operational"/>
    <m/>
    <m/>
    <m/>
    <m/>
    <m/>
    <x v="0"/>
    <x v="0"/>
  </r>
  <r>
    <n v="27810478"/>
    <x v="0"/>
    <x v="804"/>
    <s v="EK 927_2022-07-29T04x15x00"/>
    <s v="A380/8"/>
    <x v="4"/>
    <x v="136"/>
    <x v="1"/>
    <s v="Operational"/>
    <s v="EK 927"/>
    <m/>
    <m/>
    <m/>
    <m/>
    <x v="0"/>
    <x v="0"/>
  </r>
  <r>
    <n v="27810542"/>
    <x v="0"/>
    <x v="805"/>
    <s v="EK 027_2022-07-29T03x50x00"/>
    <s v="B777/3-ER"/>
    <x v="2"/>
    <x v="81"/>
    <x v="1"/>
    <s v="Operational"/>
    <s v="EK 027"/>
    <m/>
    <m/>
    <m/>
    <m/>
    <x v="0"/>
    <x v="0"/>
  </r>
  <r>
    <n v="27810578"/>
    <x v="0"/>
    <x v="806"/>
    <s v="FZ 1462_2022-07-29T04x10x00"/>
    <s v="B737/8-MAX"/>
    <x v="5"/>
    <x v="23"/>
    <x v="2"/>
    <s v="Operational"/>
    <s v="FZ 1462"/>
    <m/>
    <m/>
    <m/>
    <m/>
    <x v="0"/>
    <x v="0"/>
  </r>
  <r>
    <n v="27810592"/>
    <x v="0"/>
    <x v="807"/>
    <s v="FZ 1462_2022-07-29T04x10x00"/>
    <s v="B737/8-MAX"/>
    <x v="5"/>
    <x v="23"/>
    <x v="0"/>
    <s v="Operational"/>
    <s v="FZ 1462"/>
    <m/>
    <m/>
    <m/>
    <m/>
    <x v="0"/>
    <x v="0"/>
  </r>
  <r>
    <n v="27810602"/>
    <x v="0"/>
    <x v="808"/>
    <s v="EK 923_2022-07-29T11x15x00"/>
    <s v="A380/8"/>
    <x v="3"/>
    <x v="30"/>
    <x v="19"/>
    <s v="Operational"/>
    <s v="EK 923"/>
    <m/>
    <m/>
    <m/>
    <m/>
    <x v="0"/>
    <x v="0"/>
  </r>
  <r>
    <n v="27810612"/>
    <x v="0"/>
    <x v="809"/>
    <s v="EK 185_2022-07-29T04x15x00"/>
    <s v="B777/3-ER"/>
    <x v="2"/>
    <x v="100"/>
    <x v="1"/>
    <s v="Operational"/>
    <s v="EK 185"/>
    <m/>
    <m/>
    <m/>
    <m/>
    <x v="0"/>
    <x v="0"/>
  </r>
  <r>
    <n v="27816970"/>
    <x v="0"/>
    <x v="810"/>
    <s v="IX 435_2022-07-29T07x20x00"/>
    <s v="B737/8"/>
    <x v="1"/>
    <x v="96"/>
    <x v="2"/>
    <s v="Operational"/>
    <s v="IX 435"/>
    <m/>
    <m/>
    <m/>
    <m/>
    <x v="0"/>
    <x v="0"/>
  </r>
  <r>
    <n v="27810642"/>
    <x v="0"/>
    <x v="811"/>
    <s v="EK 923_2022-07-29T11x15x00"/>
    <s v="A380/8"/>
    <x v="3"/>
    <x v="30"/>
    <x v="9"/>
    <s v="Operational"/>
    <m/>
    <m/>
    <m/>
    <m/>
    <m/>
    <x v="0"/>
    <x v="0"/>
  </r>
  <r>
    <n v="27810649"/>
    <x v="0"/>
    <x v="812"/>
    <s v="FZ 734_2022-07-28T15x05x00"/>
    <s v="B737/8"/>
    <x v="5"/>
    <x v="147"/>
    <x v="1"/>
    <s v="Operational"/>
    <m/>
    <m/>
    <m/>
    <m/>
    <m/>
    <x v="0"/>
    <x v="0"/>
  </r>
  <r>
    <n v="27810714"/>
    <x v="0"/>
    <x v="813"/>
    <s v="EK 854_2022-07-29T03x40x00"/>
    <s v="B777/3-ER"/>
    <x v="5"/>
    <x v="48"/>
    <x v="1"/>
    <s v="Operational"/>
    <s v="EK 854"/>
    <m/>
    <m/>
    <m/>
    <m/>
    <x v="0"/>
    <x v="0"/>
  </r>
  <r>
    <n v="27810717"/>
    <x v="0"/>
    <x v="813"/>
    <s v="EK 783_2022-07-29T06x20x00"/>
    <s v="B777/3-ER"/>
    <x v="2"/>
    <x v="4"/>
    <x v="2"/>
    <s v="Operational"/>
    <s v="EK 783"/>
    <m/>
    <m/>
    <m/>
    <m/>
    <x v="0"/>
    <x v="0"/>
  </r>
  <r>
    <n v="27816972"/>
    <x v="0"/>
    <x v="814"/>
    <m/>
    <m/>
    <x v="5"/>
    <x v="82"/>
    <x v="13"/>
    <s v="Operational"/>
    <m/>
    <m/>
    <m/>
    <m/>
    <m/>
    <x v="0"/>
    <x v="0"/>
  </r>
  <r>
    <n v="27810736"/>
    <x v="0"/>
    <x v="815"/>
    <s v="EK 703_2022-07-29T06x05x00"/>
    <s v="A380/8"/>
    <x v="3"/>
    <x v="51"/>
    <x v="2"/>
    <s v="Operational"/>
    <s v="EK 703"/>
    <m/>
    <m/>
    <m/>
    <m/>
    <x v="0"/>
    <x v="0"/>
  </r>
  <r>
    <n v="27810737"/>
    <x v="0"/>
    <x v="816"/>
    <s v="EK 703_2022-07-29T06x05x00"/>
    <s v="A380/8"/>
    <x v="3"/>
    <x v="51"/>
    <x v="29"/>
    <s v="Operational"/>
    <s v="EK 703"/>
    <m/>
    <m/>
    <m/>
    <m/>
    <x v="0"/>
    <x v="0"/>
  </r>
  <r>
    <n v="27810739"/>
    <x v="0"/>
    <x v="817"/>
    <s v="EK 703_2022-07-29T06x05x00"/>
    <s v="A380/8"/>
    <x v="3"/>
    <x v="51"/>
    <x v="2"/>
    <s v="Operational"/>
    <s v="EK 703"/>
    <m/>
    <m/>
    <m/>
    <m/>
    <x v="0"/>
    <x v="0"/>
  </r>
  <r>
    <n v="27810746"/>
    <x v="0"/>
    <x v="818"/>
    <s v="FZ 370_2022-07-28T09x20x00"/>
    <s v="B737/8"/>
    <x v="1"/>
    <x v="34"/>
    <x v="3"/>
    <s v="Operational"/>
    <s v="FZ 370"/>
    <m/>
    <m/>
    <m/>
    <m/>
    <x v="0"/>
    <x v="0"/>
  </r>
  <r>
    <n v="27810749"/>
    <x v="0"/>
    <x v="819"/>
    <s v="FZ 370_2022-07-28T09x20x00"/>
    <s v="B737/8"/>
    <x v="1"/>
    <x v="34"/>
    <x v="4"/>
    <s v="Operational"/>
    <s v="FZ 370"/>
    <m/>
    <m/>
    <m/>
    <m/>
    <x v="0"/>
    <x v="0"/>
  </r>
  <r>
    <n v="27810776"/>
    <x v="0"/>
    <x v="820"/>
    <s v="EK 783_2022-07-29T06x20x00"/>
    <s v="B777/3-ER"/>
    <x v="2"/>
    <x v="4"/>
    <x v="0"/>
    <s v="Operational"/>
    <s v="EK 783"/>
    <m/>
    <m/>
    <m/>
    <m/>
    <x v="0"/>
    <x v="0"/>
  </r>
  <r>
    <n v="27810792"/>
    <x v="0"/>
    <x v="821"/>
    <m/>
    <s v="A380/8"/>
    <x v="0"/>
    <x v="3"/>
    <x v="1"/>
    <s v="Operational"/>
    <m/>
    <m/>
    <m/>
    <m/>
    <m/>
    <x v="0"/>
    <x v="0"/>
  </r>
  <r>
    <n v="27810796"/>
    <x v="0"/>
    <x v="822"/>
    <s v="EK 703_2022-07-29T06x05x00"/>
    <s v="A380/8"/>
    <x v="3"/>
    <x v="51"/>
    <x v="0"/>
    <s v="Operational"/>
    <s v="EK 703"/>
    <m/>
    <m/>
    <m/>
    <m/>
    <x v="0"/>
    <x v="0"/>
  </r>
  <r>
    <n v="27810805"/>
    <x v="0"/>
    <x v="823"/>
    <s v="EK 775_2022-07-29T06x15x00"/>
    <s v="B777/3-ER"/>
    <x v="4"/>
    <x v="86"/>
    <x v="2"/>
    <s v="Operational"/>
    <s v="EK 775"/>
    <m/>
    <m/>
    <m/>
    <m/>
    <x v="0"/>
    <x v="0"/>
  </r>
  <r>
    <n v="27810814"/>
    <x v="0"/>
    <x v="824"/>
    <s v="FZ 1745_2022-07-29T05x05x00"/>
    <s v="B737/8-MAX"/>
    <x v="5"/>
    <x v="82"/>
    <x v="24"/>
    <s v="Operational"/>
    <s v="FZ 1745"/>
    <m/>
    <m/>
    <m/>
    <m/>
    <x v="0"/>
    <x v="0"/>
  </r>
  <r>
    <n v="27810821"/>
    <x v="0"/>
    <x v="825"/>
    <m/>
    <m/>
    <x v="5"/>
    <x v="82"/>
    <x v="25"/>
    <s v="Operational"/>
    <m/>
    <m/>
    <m/>
    <m/>
    <m/>
    <x v="0"/>
    <x v="0"/>
  </r>
  <r>
    <n v="27810826"/>
    <x v="0"/>
    <x v="826"/>
    <s v="ES 268_2022-07-29T09x45x00"/>
    <s v="B767/2"/>
    <x v="1"/>
    <x v="117"/>
    <x v="24"/>
    <s v="Operational"/>
    <m/>
    <m/>
    <m/>
    <m/>
    <m/>
    <x v="0"/>
    <x v="0"/>
  </r>
  <r>
    <n v="27810830"/>
    <x v="0"/>
    <x v="827"/>
    <s v="EK 775_2022-07-29T06x15x00"/>
    <s v="B777/3-ER"/>
    <x v="4"/>
    <x v="86"/>
    <x v="0"/>
    <s v="Operational"/>
    <s v="EK 775"/>
    <m/>
    <m/>
    <m/>
    <m/>
    <x v="0"/>
    <x v="0"/>
  </r>
  <r>
    <n v="27810849"/>
    <x v="0"/>
    <x v="828"/>
    <m/>
    <m/>
    <x v="3"/>
    <x v="78"/>
    <x v="6"/>
    <s v="Operational"/>
    <m/>
    <m/>
    <m/>
    <m/>
    <m/>
    <x v="0"/>
    <x v="0"/>
  </r>
  <r>
    <n v="27810874"/>
    <x v="0"/>
    <x v="829"/>
    <m/>
    <m/>
    <x v="4"/>
    <x v="141"/>
    <x v="6"/>
    <s v="Operational"/>
    <m/>
    <m/>
    <m/>
    <m/>
    <m/>
    <x v="0"/>
    <x v="0"/>
  </r>
  <r>
    <n v="27816986"/>
    <x v="0"/>
    <x v="830"/>
    <m/>
    <m/>
    <x v="5"/>
    <x v="82"/>
    <x v="14"/>
    <s v="Operational"/>
    <m/>
    <m/>
    <m/>
    <m/>
    <m/>
    <x v="0"/>
    <x v="0"/>
  </r>
  <r>
    <n v="27810909"/>
    <x v="0"/>
    <x v="831"/>
    <s v="EK 729_2022-07-29T05x55x00"/>
    <s v="B777/3-ER"/>
    <x v="3"/>
    <x v="44"/>
    <x v="2"/>
    <s v="Operational"/>
    <s v="EK 729"/>
    <m/>
    <m/>
    <m/>
    <m/>
    <x v="0"/>
    <x v="0"/>
  </r>
  <r>
    <n v="27810912"/>
    <x v="0"/>
    <x v="832"/>
    <s v="EK 818_2022-07-29T04x40x00"/>
    <s v="B777/3-ER"/>
    <x v="2"/>
    <x v="56"/>
    <x v="2"/>
    <s v="Operational"/>
    <s v="EK 660"/>
    <m/>
    <m/>
    <m/>
    <m/>
    <x v="0"/>
    <x v="0"/>
  </r>
  <r>
    <n v="27810927"/>
    <x v="0"/>
    <x v="833"/>
    <m/>
    <m/>
    <x v="1"/>
    <x v="117"/>
    <x v="25"/>
    <s v="Operational"/>
    <m/>
    <m/>
    <m/>
    <m/>
    <m/>
    <x v="0"/>
    <x v="0"/>
  </r>
  <r>
    <n v="27810930"/>
    <x v="0"/>
    <x v="833"/>
    <s v="EK 012_2022-07-29T04x55x00"/>
    <s v="B777/3-ER"/>
    <x v="2"/>
    <x v="81"/>
    <x v="3"/>
    <s v="Operational"/>
    <s v="EK 012"/>
    <m/>
    <m/>
    <m/>
    <m/>
    <x v="0"/>
    <x v="0"/>
  </r>
  <r>
    <n v="27810935"/>
    <x v="0"/>
    <x v="834"/>
    <s v="EK 012_2022-07-29T04x55x00"/>
    <s v="B777/3-ER"/>
    <x v="2"/>
    <x v="81"/>
    <x v="4"/>
    <s v="Operational"/>
    <s v="EK 012"/>
    <m/>
    <m/>
    <m/>
    <m/>
    <x v="0"/>
    <x v="0"/>
  </r>
  <r>
    <n v="27810953"/>
    <x v="0"/>
    <x v="835"/>
    <s v="EK 818_2022-07-29T04x40x00"/>
    <s v="B777/3-ER"/>
    <x v="2"/>
    <x v="56"/>
    <x v="0"/>
    <s v="Operational"/>
    <s v="EK 660"/>
    <m/>
    <m/>
    <m/>
    <m/>
    <x v="0"/>
    <x v="0"/>
  </r>
  <r>
    <n v="27810967"/>
    <x v="0"/>
    <x v="836"/>
    <s v="EK 729_2022-07-29T05x55x00"/>
    <s v="B777/3-ER"/>
    <x v="3"/>
    <x v="44"/>
    <x v="0"/>
    <s v="Operational"/>
    <s v="EK 729"/>
    <m/>
    <m/>
    <m/>
    <m/>
    <x v="0"/>
    <x v="0"/>
  </r>
  <r>
    <n v="27816998"/>
    <x v="0"/>
    <x v="837"/>
    <s v="EK 2551_2022-07-29T07x45x00"/>
    <s v="A380/8"/>
    <x v="5"/>
    <x v="95"/>
    <x v="0"/>
    <s v="Operational"/>
    <s v="EK 2551"/>
    <m/>
    <m/>
    <m/>
    <m/>
    <x v="0"/>
    <x v="0"/>
  </r>
  <r>
    <n v="27811057"/>
    <x v="0"/>
    <x v="838"/>
    <s v="FZ 370_2022-07-28T09x20x00"/>
    <s v="B737/8"/>
    <x v="1"/>
    <x v="34"/>
    <x v="2"/>
    <s v="Operational"/>
    <s v="FZ 370"/>
    <m/>
    <m/>
    <m/>
    <m/>
    <x v="0"/>
    <x v="0"/>
  </r>
  <r>
    <n v="27811074"/>
    <x v="0"/>
    <x v="839"/>
    <s v="FZ 370_2022-07-28T09x20x00"/>
    <s v="B737/8"/>
    <x v="1"/>
    <x v="34"/>
    <x v="0"/>
    <s v="Operational"/>
    <s v="FZ 370"/>
    <m/>
    <m/>
    <m/>
    <m/>
    <x v="0"/>
    <x v="0"/>
  </r>
  <r>
    <n v="27811088"/>
    <x v="0"/>
    <x v="840"/>
    <s v="FZ 717_2022-07-29T04x00x00"/>
    <s v="B737/8"/>
    <x v="1"/>
    <x v="116"/>
    <x v="1"/>
    <s v="Operational"/>
    <s v="FZ 717"/>
    <m/>
    <m/>
    <m/>
    <m/>
    <x v="0"/>
    <x v="0"/>
  </r>
  <r>
    <n v="27811112"/>
    <x v="0"/>
    <x v="841"/>
    <s v="EK 012_2022-07-29T04x10x00"/>
    <s v="B777/3-ER"/>
    <x v="6"/>
    <x v="99"/>
    <x v="1"/>
    <s v="Operational"/>
    <s v="EK 012"/>
    <m/>
    <m/>
    <m/>
    <m/>
    <x v="0"/>
    <x v="0"/>
  </r>
  <r>
    <n v="27811159"/>
    <x v="0"/>
    <x v="842"/>
    <s v="EK 045_2022-07-29T04x25x00"/>
    <s v="B777/3-ER"/>
    <x v="2"/>
    <x v="10"/>
    <x v="1"/>
    <s v="Operational"/>
    <s v="EK 045"/>
    <m/>
    <m/>
    <m/>
    <m/>
    <x v="0"/>
    <x v="0"/>
  </r>
  <r>
    <n v="27811186"/>
    <x v="0"/>
    <x v="843"/>
    <s v="FZ 831_2022-07-29T04x15x00"/>
    <s v="B737/8-MAX"/>
    <x v="1"/>
    <x v="96"/>
    <x v="1"/>
    <s v="Operational"/>
    <s v="FZ 831"/>
    <m/>
    <m/>
    <m/>
    <m/>
    <x v="0"/>
    <x v="0"/>
  </r>
  <r>
    <n v="27811243"/>
    <x v="0"/>
    <x v="844"/>
    <s v="EK 179_2022-07-29T04x10x00"/>
    <s v="B777/3-ER"/>
    <x v="2"/>
    <x v="90"/>
    <x v="1"/>
    <s v="Operational"/>
    <s v="EK 179"/>
    <m/>
    <m/>
    <m/>
    <m/>
    <x v="0"/>
    <x v="0"/>
  </r>
  <r>
    <n v="27817013"/>
    <x v="0"/>
    <x v="845"/>
    <s v="IX 435_2022-07-29T07x20x00"/>
    <s v="B737/8"/>
    <x v="1"/>
    <x v="96"/>
    <x v="0"/>
    <s v="Operational"/>
    <s v="IX 435"/>
    <m/>
    <m/>
    <m/>
    <m/>
    <x v="0"/>
    <x v="0"/>
  </r>
  <r>
    <n v="27811275"/>
    <x v="0"/>
    <x v="846"/>
    <s v="EK 516_2022-07-29T05x50x00"/>
    <s v="B777/3-ER"/>
    <x v="3"/>
    <x v="78"/>
    <x v="2"/>
    <s v="Operational"/>
    <s v="EK 516"/>
    <m/>
    <m/>
    <m/>
    <m/>
    <x v="0"/>
    <x v="0"/>
  </r>
  <r>
    <n v="27811302"/>
    <x v="0"/>
    <x v="847"/>
    <s v="EK 048_2022-07-29T04x20x00"/>
    <s v="B777/3-ER"/>
    <x v="5"/>
    <x v="16"/>
    <x v="1"/>
    <s v="Operational"/>
    <s v="EK 048"/>
    <m/>
    <m/>
    <m/>
    <m/>
    <x v="0"/>
    <x v="0"/>
  </r>
  <r>
    <n v="27811309"/>
    <x v="0"/>
    <x v="848"/>
    <s v="EK 516_2022-07-29T05x50x00"/>
    <s v="B777/3-ER"/>
    <x v="3"/>
    <x v="78"/>
    <x v="0"/>
    <s v="Operational"/>
    <s v="EK 516"/>
    <m/>
    <m/>
    <m/>
    <m/>
    <x v="0"/>
    <x v="0"/>
  </r>
  <r>
    <n v="27811328"/>
    <x v="0"/>
    <x v="849"/>
    <m/>
    <m/>
    <x v="2"/>
    <x v="90"/>
    <x v="6"/>
    <s v="Operational"/>
    <m/>
    <m/>
    <m/>
    <m/>
    <m/>
    <x v="0"/>
    <x v="0"/>
  </r>
  <r>
    <n v="27811335"/>
    <x v="0"/>
    <x v="850"/>
    <s v="EK 089_2022-07-29T04x30x00"/>
    <s v="B777/3-ER"/>
    <x v="6"/>
    <x v="148"/>
    <x v="1"/>
    <s v="Operational"/>
    <s v="EK 089"/>
    <m/>
    <m/>
    <m/>
    <m/>
    <x v="0"/>
    <x v="0"/>
  </r>
  <r>
    <n v="27811360"/>
    <x v="0"/>
    <x v="851"/>
    <s v="FZ 8213_2022-07-29T04x30x00"/>
    <s v="B737/8-MAX"/>
    <x v="1"/>
    <x v="83"/>
    <x v="1"/>
    <s v="Operational"/>
    <s v="FZ 8213"/>
    <m/>
    <m/>
    <m/>
    <m/>
    <x v="0"/>
    <x v="0"/>
  </r>
  <r>
    <n v="27817025"/>
    <x v="0"/>
    <x v="852"/>
    <s v="FZ 204_2022-07-28T20x30x00"/>
    <s v="B737/8"/>
    <x v="8"/>
    <x v="149"/>
    <x v="1"/>
    <s v="Operational"/>
    <m/>
    <m/>
    <m/>
    <m/>
    <m/>
    <x v="0"/>
    <x v="0"/>
  </r>
  <r>
    <n v="27811395"/>
    <x v="0"/>
    <x v="853"/>
    <s v="6E 026_2022-07-29T05x10x00"/>
    <s v="A320-NEO"/>
    <x v="0"/>
    <x v="3"/>
    <x v="3"/>
    <s v="Operational"/>
    <s v="6E 026"/>
    <m/>
    <m/>
    <m/>
    <m/>
    <x v="0"/>
    <x v="0"/>
  </r>
  <r>
    <n v="27811409"/>
    <x v="0"/>
    <x v="854"/>
    <s v="EK 151_2022-07-29T04x20x00"/>
    <s v="B777/3-ER"/>
    <x v="3"/>
    <x v="19"/>
    <x v="1"/>
    <s v="Operational"/>
    <s v="EK 151"/>
    <m/>
    <m/>
    <m/>
    <m/>
    <x v="0"/>
    <x v="0"/>
  </r>
  <r>
    <n v="27811426"/>
    <x v="0"/>
    <x v="855"/>
    <s v="EK 904_2022-07-29T04x45x00"/>
    <s v="A380/8"/>
    <x v="4"/>
    <x v="141"/>
    <x v="2"/>
    <s v="Operational"/>
    <s v="EK 123"/>
    <m/>
    <m/>
    <m/>
    <m/>
    <x v="0"/>
    <x v="0"/>
  </r>
  <r>
    <n v="27811432"/>
    <x v="0"/>
    <x v="856"/>
    <s v="EK 904_2022-07-29T04x45x00"/>
    <s v="A380/8"/>
    <x v="4"/>
    <x v="141"/>
    <x v="0"/>
    <s v="Operational"/>
    <s v="EK 123"/>
    <m/>
    <m/>
    <m/>
    <m/>
    <x v="0"/>
    <x v="0"/>
  </r>
  <r>
    <n v="27811443"/>
    <x v="0"/>
    <x v="857"/>
    <s v="EK 139_2022-07-29T04x35x00"/>
    <s v="B777/3-ER"/>
    <x v="2"/>
    <x v="112"/>
    <x v="1"/>
    <s v="Operational"/>
    <s v="EK 139"/>
    <m/>
    <m/>
    <m/>
    <m/>
    <x v="0"/>
    <x v="0"/>
  </r>
  <r>
    <n v="27811459"/>
    <x v="0"/>
    <x v="858"/>
    <s v="6E 026_2022-07-29T05x10x00"/>
    <s v="A320-NEO"/>
    <x v="0"/>
    <x v="3"/>
    <x v="10"/>
    <s v="Operational"/>
    <s v="6E 026"/>
    <m/>
    <m/>
    <m/>
    <m/>
    <x v="0"/>
    <x v="0"/>
  </r>
  <r>
    <n v="27811460"/>
    <x v="0"/>
    <x v="859"/>
    <s v="6E 026_2022-07-29T05x10x00"/>
    <s v="A320-NEO"/>
    <x v="0"/>
    <x v="3"/>
    <x v="11"/>
    <s v="Operational"/>
    <s v="6E 026"/>
    <m/>
    <m/>
    <m/>
    <m/>
    <x v="0"/>
    <x v="0"/>
  </r>
  <r>
    <n v="27811504"/>
    <x v="0"/>
    <x v="860"/>
    <s v="EK 448_2022-07-29T04x30x00"/>
    <s v="B777/3-ER"/>
    <x v="4"/>
    <x v="119"/>
    <x v="1"/>
    <s v="Operational"/>
    <s v="EK 448"/>
    <m/>
    <m/>
    <m/>
    <m/>
    <x v="0"/>
    <x v="0"/>
  </r>
  <r>
    <n v="27811545"/>
    <x v="0"/>
    <x v="861"/>
    <s v="EK 073_2022-07-29T04x20x00"/>
    <s v="A380/8"/>
    <x v="3"/>
    <x v="106"/>
    <x v="1"/>
    <s v="Operational"/>
    <s v="EK 073"/>
    <m/>
    <m/>
    <m/>
    <m/>
    <x v="0"/>
    <x v="0"/>
  </r>
  <r>
    <n v="27811555"/>
    <x v="0"/>
    <x v="862"/>
    <s v="EK 111_2022-07-29T06x30x00"/>
    <s v="B777/3-ER"/>
    <x v="2"/>
    <x v="79"/>
    <x v="23"/>
    <s v="Operational"/>
    <s v="EK 111"/>
    <m/>
    <m/>
    <m/>
    <m/>
    <x v="0"/>
    <x v="0"/>
  </r>
  <r>
    <n v="27811579"/>
    <x v="0"/>
    <x v="863"/>
    <m/>
    <m/>
    <x v="5"/>
    <x v="16"/>
    <x v="13"/>
    <s v="Operational"/>
    <m/>
    <m/>
    <m/>
    <m/>
    <m/>
    <x v="0"/>
    <x v="0"/>
  </r>
  <r>
    <n v="27811583"/>
    <x v="0"/>
    <x v="864"/>
    <m/>
    <m/>
    <x v="5"/>
    <x v="16"/>
    <x v="14"/>
    <s v="Operational"/>
    <m/>
    <m/>
    <m/>
    <m/>
    <m/>
    <x v="0"/>
    <x v="0"/>
  </r>
  <r>
    <n v="27811610"/>
    <x v="0"/>
    <x v="865"/>
    <s v="FZ 539_2022-07-29T04x30x00"/>
    <s v="B737/8"/>
    <x v="1"/>
    <x v="87"/>
    <x v="1"/>
    <s v="Operational"/>
    <s v="FZ 539"/>
    <m/>
    <m/>
    <m/>
    <m/>
    <x v="0"/>
    <x v="0"/>
  </r>
  <r>
    <n v="27811642"/>
    <x v="0"/>
    <x v="866"/>
    <s v="FZ 1465_2022-07-29T04x10x00"/>
    <s v="B737/8-MAX"/>
    <x v="5"/>
    <x v="77"/>
    <x v="1"/>
    <s v="Operational"/>
    <s v="FZ 1465"/>
    <m/>
    <m/>
    <m/>
    <m/>
    <x v="0"/>
    <x v="0"/>
  </r>
  <r>
    <n v="27817043"/>
    <x v="0"/>
    <x v="867"/>
    <s v="FX 5040_2022-07-29T12x15x00"/>
    <s v="B737/8-MAX"/>
    <x v="1"/>
    <x v="150"/>
    <x v="1"/>
    <s v="Operational"/>
    <m/>
    <m/>
    <m/>
    <m/>
    <m/>
    <x v="0"/>
    <x v="0"/>
  </r>
  <r>
    <n v="27811682"/>
    <x v="0"/>
    <x v="868"/>
    <s v="6E 026_2022-07-29T05x10x00"/>
    <s v="A320-NEO"/>
    <x v="0"/>
    <x v="3"/>
    <x v="2"/>
    <s v="Operational"/>
    <s v="6E 026"/>
    <m/>
    <m/>
    <m/>
    <m/>
    <x v="0"/>
    <x v="0"/>
  </r>
  <r>
    <n v="27811696"/>
    <x v="0"/>
    <x v="869"/>
    <s v="EK 012_2022-07-29T04x55x00"/>
    <s v="B777/3-ER"/>
    <x v="2"/>
    <x v="81"/>
    <x v="2"/>
    <s v="Operational"/>
    <s v="EK 012"/>
    <m/>
    <m/>
    <m/>
    <m/>
    <x v="0"/>
    <x v="0"/>
  </r>
  <r>
    <n v="27811724"/>
    <x v="0"/>
    <x v="870"/>
    <s v="EK 012_2022-07-29T04x55x00"/>
    <s v="B777/3-ER"/>
    <x v="2"/>
    <x v="81"/>
    <x v="0"/>
    <s v="Operational"/>
    <s v="EK 012"/>
    <m/>
    <m/>
    <m/>
    <m/>
    <x v="0"/>
    <x v="0"/>
  </r>
  <r>
    <n v="27811741"/>
    <x v="0"/>
    <x v="871"/>
    <s v="6E 026_2022-07-29T05x10x00"/>
    <s v="A320-NEO"/>
    <x v="0"/>
    <x v="3"/>
    <x v="0"/>
    <s v="Operational"/>
    <s v="6E 026"/>
    <m/>
    <m/>
    <m/>
    <m/>
    <x v="0"/>
    <x v="0"/>
  </r>
  <r>
    <n v="27811804"/>
    <x v="0"/>
    <x v="872"/>
    <s v="EK 048_2022-07-29T05x00x00"/>
    <s v="B777/3-ER"/>
    <x v="2"/>
    <x v="90"/>
    <x v="2"/>
    <s v="Operational"/>
    <s v="EK 586"/>
    <m/>
    <m/>
    <m/>
    <m/>
    <x v="0"/>
    <x v="0"/>
  </r>
  <r>
    <n v="27811841"/>
    <x v="0"/>
    <x v="873"/>
    <s v="EK 048_2022-07-29T05x00x00"/>
    <s v="B777/3-ER"/>
    <x v="2"/>
    <x v="90"/>
    <x v="0"/>
    <s v="Operational"/>
    <s v="EK 586"/>
    <m/>
    <m/>
    <m/>
    <m/>
    <x v="0"/>
    <x v="0"/>
  </r>
  <r>
    <n v="27811877"/>
    <x v="0"/>
    <x v="874"/>
    <s v="EK 201_2022-07-29T04x30x00"/>
    <s v="A380/8"/>
    <x v="4"/>
    <x v="20"/>
    <x v="1"/>
    <s v="Operational"/>
    <s v="EK 201"/>
    <m/>
    <m/>
    <m/>
    <m/>
    <x v="0"/>
    <x v="0"/>
  </r>
  <r>
    <n v="27811904"/>
    <x v="0"/>
    <x v="875"/>
    <s v="EK 087_2022-07-29T04x40x00"/>
    <s v="A380/8"/>
    <x v="2"/>
    <x v="21"/>
    <x v="1"/>
    <s v="Operational"/>
    <s v="EK 087"/>
    <m/>
    <m/>
    <m/>
    <m/>
    <x v="0"/>
    <x v="0"/>
  </r>
  <r>
    <n v="27811930"/>
    <x v="0"/>
    <x v="876"/>
    <s v="EK 077_2022-07-29T04x45x00"/>
    <s v="B777/3-ER"/>
    <x v="2"/>
    <x v="54"/>
    <x v="1"/>
    <s v="Operational"/>
    <s v="EK 077"/>
    <m/>
    <m/>
    <m/>
    <m/>
    <x v="0"/>
    <x v="0"/>
  </r>
  <r>
    <n v="27811953"/>
    <x v="0"/>
    <x v="877"/>
    <s v="EK 157_2022-07-29T04x40x00"/>
    <s v="B777/3-ER"/>
    <x v="4"/>
    <x v="123"/>
    <x v="1"/>
    <s v="Operational"/>
    <s v="EK 157"/>
    <m/>
    <m/>
    <m/>
    <m/>
    <x v="0"/>
    <x v="0"/>
  </r>
  <r>
    <n v="27811977"/>
    <x v="0"/>
    <x v="878"/>
    <s v="FZ 1745_2022-07-29T05x05x00"/>
    <s v="B737/8-MAX"/>
    <x v="5"/>
    <x v="82"/>
    <x v="24"/>
    <s v="Operational"/>
    <s v="FZ 1745"/>
    <m/>
    <m/>
    <m/>
    <m/>
    <x v="0"/>
    <x v="0"/>
  </r>
  <r>
    <n v="27811983"/>
    <x v="0"/>
    <x v="879"/>
    <m/>
    <m/>
    <x v="5"/>
    <x v="82"/>
    <x v="25"/>
    <s v="Operational"/>
    <m/>
    <m/>
    <m/>
    <m/>
    <m/>
    <x v="0"/>
    <x v="0"/>
  </r>
  <r>
    <n v="27812047"/>
    <x v="0"/>
    <x v="880"/>
    <s v="GF 502_2022-07-29T05x30x00"/>
    <s v="A320"/>
    <x v="0"/>
    <x v="9"/>
    <x v="3"/>
    <s v="Operational"/>
    <s v="GF 502"/>
    <m/>
    <m/>
    <m/>
    <m/>
    <x v="0"/>
    <x v="0"/>
  </r>
  <r>
    <n v="27812091"/>
    <x v="0"/>
    <x v="881"/>
    <s v="ES 268_2022-07-29T09x45x00"/>
    <s v="B767/2"/>
    <x v="1"/>
    <x v="117"/>
    <x v="24"/>
    <s v="Operational"/>
    <m/>
    <m/>
    <m/>
    <m/>
    <m/>
    <x v="0"/>
    <x v="0"/>
  </r>
  <r>
    <n v="27812097"/>
    <x v="0"/>
    <x v="882"/>
    <m/>
    <m/>
    <x v="2"/>
    <x v="79"/>
    <x v="7"/>
    <s v="Operational"/>
    <m/>
    <m/>
    <m/>
    <m/>
    <m/>
    <x v="0"/>
    <x v="0"/>
  </r>
  <r>
    <n v="27812108"/>
    <x v="0"/>
    <x v="883"/>
    <s v="GF 502_2022-07-29T05x30x00"/>
    <s v="A320"/>
    <x v="0"/>
    <x v="9"/>
    <x v="10"/>
    <s v="Operational"/>
    <s v="GF 502"/>
    <m/>
    <m/>
    <m/>
    <m/>
    <x v="0"/>
    <x v="0"/>
  </r>
  <r>
    <n v="27812109"/>
    <x v="0"/>
    <x v="883"/>
    <s v="GF 502_2022-07-29T05x30x00"/>
    <s v="A320"/>
    <x v="0"/>
    <x v="9"/>
    <x v="11"/>
    <s v="Operational"/>
    <s v="GF 502"/>
    <m/>
    <m/>
    <m/>
    <m/>
    <x v="0"/>
    <x v="0"/>
  </r>
  <r>
    <n v="27812145"/>
    <x v="0"/>
    <x v="884"/>
    <m/>
    <s v="B777/3-ER"/>
    <x v="6"/>
    <x v="75"/>
    <x v="1"/>
    <s v="Operational"/>
    <m/>
    <m/>
    <m/>
    <m/>
    <m/>
    <x v="0"/>
    <x v="0"/>
  </r>
  <r>
    <n v="27812149"/>
    <x v="0"/>
    <x v="885"/>
    <s v="EK 730_2022-07-27T20x42x00"/>
    <s v="B777/3-ER"/>
    <x v="6"/>
    <x v="75"/>
    <x v="3"/>
    <s v="Operational"/>
    <s v="EK 730"/>
    <m/>
    <m/>
    <m/>
    <m/>
    <x v="0"/>
    <x v="0"/>
  </r>
  <r>
    <n v="27812152"/>
    <x v="0"/>
    <x v="886"/>
    <m/>
    <s v="B777/3-ER"/>
    <x v="6"/>
    <x v="75"/>
    <x v="27"/>
    <s v="Operational"/>
    <s v="EK 730"/>
    <m/>
    <m/>
    <m/>
    <m/>
    <x v="0"/>
    <x v="0"/>
  </r>
  <r>
    <n v="27812180"/>
    <x v="0"/>
    <x v="887"/>
    <s v="WY 603_2022-07-29T05x25x00"/>
    <s v="B737/8-MAX"/>
    <x v="0"/>
    <x v="3"/>
    <x v="3"/>
    <s v="Operational"/>
    <s v="WY 603"/>
    <m/>
    <m/>
    <m/>
    <m/>
    <x v="0"/>
    <x v="0"/>
  </r>
  <r>
    <n v="27812185"/>
    <x v="0"/>
    <x v="888"/>
    <m/>
    <m/>
    <x v="1"/>
    <x v="117"/>
    <x v="25"/>
    <s v="Operational"/>
    <m/>
    <m/>
    <m/>
    <m/>
    <m/>
    <x v="0"/>
    <x v="0"/>
  </r>
  <r>
    <n v="27812190"/>
    <x v="0"/>
    <x v="889"/>
    <s v="EK 747_2022-07-29T04x45x00"/>
    <s v="B777/3-ER"/>
    <x v="2"/>
    <x v="53"/>
    <x v="1"/>
    <s v="Operational"/>
    <s v="EK 747"/>
    <m/>
    <m/>
    <m/>
    <m/>
    <x v="0"/>
    <x v="0"/>
  </r>
  <r>
    <n v="27812196"/>
    <x v="0"/>
    <x v="890"/>
    <s v="WY 603_2022-07-29T05x25x00"/>
    <s v="B737/8-MAX"/>
    <x v="0"/>
    <x v="3"/>
    <x v="10"/>
    <s v="Operational"/>
    <s v="WY 603"/>
    <m/>
    <m/>
    <m/>
    <m/>
    <x v="0"/>
    <x v="0"/>
  </r>
  <r>
    <n v="27812197"/>
    <x v="0"/>
    <x v="891"/>
    <s v="WY 603_2022-07-29T05x25x00"/>
    <s v="B737/8-MAX"/>
    <x v="0"/>
    <x v="3"/>
    <x v="11"/>
    <s v="Operational"/>
    <s v="WY 603"/>
    <m/>
    <m/>
    <m/>
    <m/>
    <x v="0"/>
    <x v="0"/>
  </r>
  <r>
    <n v="27812202"/>
    <x v="0"/>
    <x v="892"/>
    <s v="EK 219_2022-07-29T04x55x00"/>
    <s v="B777/3-ER"/>
    <x v="3"/>
    <x v="94"/>
    <x v="1"/>
    <s v="Operational"/>
    <s v="EK 219"/>
    <m/>
    <m/>
    <m/>
    <m/>
    <x v="0"/>
    <x v="0"/>
  </r>
  <r>
    <n v="27812283"/>
    <x v="0"/>
    <x v="893"/>
    <s v="EK 237_2022-07-29T04x15x00"/>
    <s v="B777/3-ER"/>
    <x v="4"/>
    <x v="97"/>
    <x v="1"/>
    <s v="Operational"/>
    <s v="EK 237"/>
    <m/>
    <m/>
    <m/>
    <m/>
    <x v="0"/>
    <x v="0"/>
  </r>
  <r>
    <n v="27817101"/>
    <x v="0"/>
    <x v="894"/>
    <m/>
    <m/>
    <x v="3"/>
    <x v="44"/>
    <x v="12"/>
    <s v="Operational"/>
    <m/>
    <m/>
    <m/>
    <m/>
    <m/>
    <x v="0"/>
    <x v="0"/>
  </r>
  <r>
    <n v="27812290"/>
    <x v="0"/>
    <x v="895"/>
    <s v="SV 562_2022-07-29T05x25x00"/>
    <s v="A320"/>
    <x v="0"/>
    <x v="63"/>
    <x v="3"/>
    <s v="Operational"/>
    <s v="SV 562"/>
    <m/>
    <m/>
    <m/>
    <m/>
    <x v="0"/>
    <x v="0"/>
  </r>
  <r>
    <n v="27812347"/>
    <x v="0"/>
    <x v="896"/>
    <s v="ME 2426_2022-07-29T05x25x00"/>
    <s v="A320"/>
    <x v="0"/>
    <x v="88"/>
    <x v="3"/>
    <s v="Operational"/>
    <s v="ME 2426"/>
    <m/>
    <m/>
    <m/>
    <m/>
    <x v="0"/>
    <x v="0"/>
  </r>
  <r>
    <n v="27812359"/>
    <x v="0"/>
    <x v="897"/>
    <m/>
    <m/>
    <x v="0"/>
    <x v="50"/>
    <x v="13"/>
    <s v="Operational"/>
    <m/>
    <m/>
    <m/>
    <m/>
    <m/>
    <x v="0"/>
    <x v="0"/>
  </r>
  <r>
    <n v="27812361"/>
    <x v="0"/>
    <x v="898"/>
    <s v="EK 049_2022-07-29T04x50x00"/>
    <s v="B777/3-ER"/>
    <x v="4"/>
    <x v="70"/>
    <x v="1"/>
    <s v="Operational"/>
    <s v="EK 049"/>
    <m/>
    <m/>
    <m/>
    <m/>
    <x v="0"/>
    <x v="0"/>
  </r>
  <r>
    <n v="27812383"/>
    <x v="0"/>
    <x v="899"/>
    <s v="J9 122_2022-07-29T06x50x00"/>
    <s v="A380/8"/>
    <x v="0"/>
    <x v="29"/>
    <x v="1"/>
    <s v="Operational"/>
    <m/>
    <m/>
    <m/>
    <m/>
    <m/>
    <x v="0"/>
    <x v="0"/>
  </r>
  <r>
    <n v="27812435"/>
    <x v="0"/>
    <x v="900"/>
    <m/>
    <m/>
    <x v="4"/>
    <x v="97"/>
    <x v="6"/>
    <s v="Operational"/>
    <m/>
    <m/>
    <m/>
    <m/>
    <m/>
    <x v="0"/>
    <x v="0"/>
  </r>
  <r>
    <n v="27812440"/>
    <x v="0"/>
    <x v="901"/>
    <m/>
    <s v="B777/3-ER"/>
    <x v="4"/>
    <x v="97"/>
    <x v="15"/>
    <s v="Technical"/>
    <m/>
    <m/>
    <m/>
    <m/>
    <m/>
    <x v="0"/>
    <x v="0"/>
  </r>
  <r>
    <n v="27812450"/>
    <x v="0"/>
    <x v="902"/>
    <s v="EK 183_2022-07-29T04x20x00"/>
    <s v="B777/3-ER"/>
    <x v="2"/>
    <x v="7"/>
    <x v="1"/>
    <s v="Operational"/>
    <s v="EK 183"/>
    <m/>
    <m/>
    <m/>
    <m/>
    <x v="0"/>
    <x v="0"/>
  </r>
  <r>
    <n v="27812459"/>
    <x v="0"/>
    <x v="903"/>
    <m/>
    <m/>
    <x v="4"/>
    <x v="119"/>
    <x v="6"/>
    <s v="Operational"/>
    <m/>
    <m/>
    <m/>
    <m/>
    <m/>
    <x v="0"/>
    <x v="0"/>
  </r>
  <r>
    <n v="27812476"/>
    <x v="0"/>
    <x v="904"/>
    <m/>
    <s v="B777/3-ER"/>
    <x v="4"/>
    <x v="97"/>
    <x v="16"/>
    <s v="Technical"/>
    <m/>
    <m/>
    <m/>
    <m/>
    <m/>
    <x v="0"/>
    <x v="0"/>
  </r>
  <r>
    <n v="27812488"/>
    <x v="0"/>
    <x v="905"/>
    <m/>
    <m/>
    <x v="4"/>
    <x v="97"/>
    <x v="6"/>
    <s v="Operational"/>
    <m/>
    <m/>
    <m/>
    <m/>
    <m/>
    <x v="0"/>
    <x v="0"/>
  </r>
  <r>
    <n v="27812490"/>
    <x v="0"/>
    <x v="906"/>
    <s v="EK 785_2022-07-29T06x50x00"/>
    <s v="B777/3-ER"/>
    <x v="4"/>
    <x v="97"/>
    <x v="15"/>
    <s v="Technical"/>
    <s v="EK 785"/>
    <m/>
    <m/>
    <m/>
    <m/>
    <x v="0"/>
    <x v="0"/>
  </r>
  <r>
    <n v="27812511"/>
    <x v="0"/>
    <x v="907"/>
    <s v="FZ 714_2022-07-29T05x00x00"/>
    <s v="B737/8-MAX"/>
    <x v="5"/>
    <x v="77"/>
    <x v="3"/>
    <s v="Operational"/>
    <s v="FZ 714"/>
    <m/>
    <m/>
    <m/>
    <m/>
    <x v="0"/>
    <x v="0"/>
  </r>
  <r>
    <n v="27812513"/>
    <x v="0"/>
    <x v="908"/>
    <s v="SV 562_2022-07-29T05x25x00"/>
    <s v="A320"/>
    <x v="0"/>
    <x v="63"/>
    <x v="10"/>
    <s v="Operational"/>
    <s v="SV 562"/>
    <m/>
    <m/>
    <m/>
    <m/>
    <x v="0"/>
    <x v="0"/>
  </r>
  <r>
    <n v="27812514"/>
    <x v="0"/>
    <x v="908"/>
    <s v="SV 562_2022-07-29T05x25x00"/>
    <s v="A320"/>
    <x v="0"/>
    <x v="63"/>
    <x v="11"/>
    <s v="Operational"/>
    <s v="SV 562"/>
    <m/>
    <m/>
    <m/>
    <m/>
    <x v="0"/>
    <x v="0"/>
  </r>
  <r>
    <n v="27812522"/>
    <x v="0"/>
    <x v="909"/>
    <s v="FZ 001_2022-07-29T04x45x00"/>
    <s v="B737/8-MAX"/>
    <x v="5"/>
    <x v="122"/>
    <x v="1"/>
    <s v="Operational"/>
    <s v="FZ 001"/>
    <m/>
    <m/>
    <m/>
    <m/>
    <x v="0"/>
    <x v="0"/>
  </r>
  <r>
    <n v="27812531"/>
    <x v="0"/>
    <x v="910"/>
    <m/>
    <m/>
    <x v="0"/>
    <x v="50"/>
    <x v="14"/>
    <s v="Operational"/>
    <m/>
    <m/>
    <m/>
    <m/>
    <m/>
    <x v="0"/>
    <x v="0"/>
  </r>
  <r>
    <n v="27812544"/>
    <x v="0"/>
    <x v="911"/>
    <s v="FZ 1745_2022-07-29T05x05x00"/>
    <s v="B737/8-MAX"/>
    <x v="5"/>
    <x v="82"/>
    <x v="1"/>
    <s v="Operational"/>
    <s v="FZ 1745"/>
    <m/>
    <m/>
    <m/>
    <m/>
    <x v="0"/>
    <x v="0"/>
  </r>
  <r>
    <n v="27812565"/>
    <x v="0"/>
    <x v="912"/>
    <s v="EK 316_2022-07-29T23x00x00"/>
    <s v="B777/3-ER"/>
    <x v="6"/>
    <x v="151"/>
    <x v="1"/>
    <s v="Operational"/>
    <m/>
    <m/>
    <m/>
    <m/>
    <m/>
    <x v="0"/>
    <x v="0"/>
  </r>
  <r>
    <n v="27812604"/>
    <x v="0"/>
    <x v="913"/>
    <s v="ME 2426_2022-07-29T05x25x00"/>
    <s v="A320"/>
    <x v="0"/>
    <x v="88"/>
    <x v="4"/>
    <s v="Operational"/>
    <s v="ME 2426"/>
    <m/>
    <m/>
    <m/>
    <m/>
    <x v="0"/>
    <x v="0"/>
  </r>
  <r>
    <n v="27812609"/>
    <x v="0"/>
    <x v="914"/>
    <s v="EK 707_2022-07-29T04x55x00"/>
    <s v="B777/3-ER"/>
    <x v="6"/>
    <x v="129"/>
    <x v="1"/>
    <s v="Operational"/>
    <s v="EK 707"/>
    <m/>
    <m/>
    <m/>
    <m/>
    <x v="0"/>
    <x v="0"/>
  </r>
  <r>
    <n v="27812636"/>
    <x v="0"/>
    <x v="915"/>
    <s v="EK 785_2022-07-29T06x50x00"/>
    <s v="B777/3-ER"/>
    <x v="4"/>
    <x v="97"/>
    <x v="16"/>
    <s v="Technical"/>
    <s v="EK 785"/>
    <m/>
    <m/>
    <m/>
    <m/>
    <x v="0"/>
    <x v="0"/>
  </r>
  <r>
    <n v="27812641"/>
    <x v="0"/>
    <x v="916"/>
    <s v="FZ 225_2022-07-29T03x30x00"/>
    <s v="B737/8"/>
    <x v="1"/>
    <x v="152"/>
    <x v="1"/>
    <s v="Operational"/>
    <s v="FZ 225"/>
    <m/>
    <m/>
    <m/>
    <m/>
    <x v="0"/>
    <x v="0"/>
  </r>
  <r>
    <n v="27817140"/>
    <x v="0"/>
    <x v="917"/>
    <s v="EK 533_2022-07-29T05x55x00"/>
    <s v="B777/2-LR"/>
    <x v="2"/>
    <x v="10"/>
    <x v="3"/>
    <s v="Operational"/>
    <s v="EK 533"/>
    <m/>
    <m/>
    <m/>
    <m/>
    <x v="0"/>
    <x v="0"/>
  </r>
  <r>
    <n v="27812674"/>
    <x v="0"/>
    <x v="918"/>
    <s v="GF 502_2022-07-29T05x30x00"/>
    <s v="A320"/>
    <x v="0"/>
    <x v="9"/>
    <x v="2"/>
    <s v="Operational"/>
    <s v="GF 502"/>
    <m/>
    <m/>
    <m/>
    <m/>
    <x v="0"/>
    <x v="0"/>
  </r>
  <r>
    <n v="27812703"/>
    <x v="0"/>
    <x v="919"/>
    <s v="FZ 585_2022-07-29T05x00x00"/>
    <s v="B737/8"/>
    <x v="1"/>
    <x v="121"/>
    <x v="1"/>
    <s v="Operational"/>
    <s v="FZ 585"/>
    <m/>
    <m/>
    <m/>
    <m/>
    <x v="0"/>
    <x v="0"/>
  </r>
  <r>
    <n v="27812724"/>
    <x v="0"/>
    <x v="920"/>
    <s v="GF 502_2022-07-29T05x30x00"/>
    <s v="A320"/>
    <x v="0"/>
    <x v="9"/>
    <x v="0"/>
    <s v="Operational"/>
    <s v="GF 502"/>
    <m/>
    <m/>
    <m/>
    <m/>
    <x v="0"/>
    <x v="0"/>
  </r>
  <r>
    <n v="27812751"/>
    <x v="0"/>
    <x v="921"/>
    <s v="6E 023_2022-07-29T05x40x00"/>
    <s v="A320-NEO"/>
    <x v="0"/>
    <x v="91"/>
    <x v="3"/>
    <s v="Operational"/>
    <s v="6E 023"/>
    <m/>
    <m/>
    <m/>
    <m/>
    <x v="0"/>
    <x v="0"/>
  </r>
  <r>
    <n v="27812763"/>
    <x v="0"/>
    <x v="922"/>
    <s v="WY 603_2022-07-29T05x25x00"/>
    <s v="B737/8-MAX"/>
    <x v="0"/>
    <x v="3"/>
    <x v="2"/>
    <s v="Operational"/>
    <s v="WY 603"/>
    <m/>
    <m/>
    <m/>
    <m/>
    <x v="0"/>
    <x v="0"/>
  </r>
  <r>
    <n v="27812764"/>
    <x v="0"/>
    <x v="923"/>
    <s v="EK 334_2022-07-29T05x10x00"/>
    <s v="B777/3-ER"/>
    <x v="3"/>
    <x v="84"/>
    <x v="1"/>
    <s v="Operational"/>
    <s v="EK 334"/>
    <m/>
    <m/>
    <m/>
    <m/>
    <x v="0"/>
    <x v="0"/>
  </r>
  <r>
    <n v="27817155"/>
    <x v="0"/>
    <x v="924"/>
    <s v="SG 006_2022-07-29T06x50x00"/>
    <s v="B737/8-MAX"/>
    <x v="0"/>
    <x v="29"/>
    <x v="1"/>
    <s v="Operational"/>
    <s v="SG 006"/>
    <m/>
    <m/>
    <m/>
    <m/>
    <x v="0"/>
    <x v="0"/>
  </r>
  <r>
    <n v="27812780"/>
    <x v="0"/>
    <x v="925"/>
    <s v="6E 023_2022-07-29T05x40x00"/>
    <s v="A320-NEO"/>
    <x v="0"/>
    <x v="91"/>
    <x v="4"/>
    <s v="Operational"/>
    <s v="6E 023"/>
    <m/>
    <m/>
    <m/>
    <m/>
    <x v="0"/>
    <x v="0"/>
  </r>
  <r>
    <n v="27812784"/>
    <x v="0"/>
    <x v="926"/>
    <s v="WY 603_2022-07-29T05x25x00"/>
    <s v="B737/8-MAX"/>
    <x v="0"/>
    <x v="3"/>
    <x v="0"/>
    <s v="Operational"/>
    <s v="WY 603"/>
    <m/>
    <m/>
    <m/>
    <m/>
    <x v="0"/>
    <x v="0"/>
  </r>
  <r>
    <n v="27812867"/>
    <x v="0"/>
    <x v="927"/>
    <m/>
    <m/>
    <x v="3"/>
    <x v="106"/>
    <x v="6"/>
    <s v="Operational"/>
    <m/>
    <m/>
    <m/>
    <m/>
    <m/>
    <x v="0"/>
    <x v="0"/>
  </r>
  <r>
    <n v="27812880"/>
    <x v="0"/>
    <x v="928"/>
    <s v="3S 513_2022-07-29T05x50x00"/>
    <s v="B777/2"/>
    <x v="1"/>
    <x v="110"/>
    <x v="3"/>
    <s v="Operational"/>
    <s v="3S 513"/>
    <m/>
    <m/>
    <m/>
    <m/>
    <x v="0"/>
    <x v="0"/>
  </r>
  <r>
    <n v="27812887"/>
    <x v="0"/>
    <x v="929"/>
    <s v="3S 513_2022-07-29T05x50x00"/>
    <s v="B777/2"/>
    <x v="1"/>
    <x v="110"/>
    <x v="4"/>
    <s v="Operational"/>
    <s v="3S 513"/>
    <m/>
    <m/>
    <m/>
    <m/>
    <x v="0"/>
    <x v="0"/>
  </r>
  <r>
    <n v="27812908"/>
    <x v="0"/>
    <x v="930"/>
    <s v="ME 2426_2022-07-29T05x25x00"/>
    <s v="A320"/>
    <x v="0"/>
    <x v="88"/>
    <x v="2"/>
    <s v="Operational"/>
    <s v="ME 2426"/>
    <m/>
    <m/>
    <m/>
    <m/>
    <x v="0"/>
    <x v="0"/>
  </r>
  <r>
    <n v="27817163"/>
    <x v="0"/>
    <x v="931"/>
    <s v="SV 566_2022-07-29T06x45x00"/>
    <s v="A320"/>
    <x v="0"/>
    <x v="3"/>
    <x v="2"/>
    <s v="Operational"/>
    <s v="SV 566"/>
    <m/>
    <m/>
    <m/>
    <m/>
    <x v="0"/>
    <x v="0"/>
  </r>
  <r>
    <n v="27812917"/>
    <x v="0"/>
    <x v="932"/>
    <m/>
    <m/>
    <x v="4"/>
    <x v="136"/>
    <x v="6"/>
    <s v="Operational"/>
    <m/>
    <m/>
    <m/>
    <m/>
    <m/>
    <x v="0"/>
    <x v="0"/>
  </r>
  <r>
    <n v="27812926"/>
    <x v="0"/>
    <x v="933"/>
    <s v="ME 2426_2022-07-29T05x25x00"/>
    <s v="A320"/>
    <x v="0"/>
    <x v="88"/>
    <x v="0"/>
    <s v="Operational"/>
    <s v="ME 2426"/>
    <m/>
    <m/>
    <m/>
    <m/>
    <x v="0"/>
    <x v="0"/>
  </r>
  <r>
    <n v="27812940"/>
    <x v="0"/>
    <x v="934"/>
    <s v="SV 562_2022-07-29T05x25x00"/>
    <s v="A320"/>
    <x v="0"/>
    <x v="63"/>
    <x v="2"/>
    <s v="Operational"/>
    <s v="SV 562"/>
    <m/>
    <m/>
    <m/>
    <m/>
    <x v="0"/>
    <x v="0"/>
  </r>
  <r>
    <n v="27812951"/>
    <x v="0"/>
    <x v="935"/>
    <s v="EK 173_2022-07-29T05x10x00"/>
    <s v="B777/3-ER"/>
    <x v="3"/>
    <x v="102"/>
    <x v="1"/>
    <s v="Operational"/>
    <s v="EK 173"/>
    <m/>
    <m/>
    <m/>
    <m/>
    <x v="0"/>
    <x v="0"/>
  </r>
  <r>
    <n v="27812965"/>
    <x v="0"/>
    <x v="936"/>
    <s v="SV 562_2022-07-29T05x25x00"/>
    <s v="A320"/>
    <x v="0"/>
    <x v="63"/>
    <x v="0"/>
    <s v="Operational"/>
    <s v="SV 562"/>
    <m/>
    <m/>
    <m/>
    <m/>
    <x v="0"/>
    <x v="0"/>
  </r>
  <r>
    <n v="27812979"/>
    <x v="0"/>
    <x v="937"/>
    <s v="FZ 761_2022-07-29T05x15x00"/>
    <s v="B737/8-MAX"/>
    <x v="5"/>
    <x v="33"/>
    <x v="1"/>
    <s v="Operational"/>
    <s v="FZ 761"/>
    <m/>
    <m/>
    <m/>
    <m/>
    <x v="0"/>
    <x v="0"/>
  </r>
  <r>
    <n v="27812990"/>
    <x v="0"/>
    <x v="938"/>
    <s v="EK 094_2022-07-29T04x40x00"/>
    <s v="B777/3-ER"/>
    <x v="6"/>
    <x v="153"/>
    <x v="1"/>
    <s v="Operational"/>
    <s v="EK 094"/>
    <m/>
    <m/>
    <m/>
    <m/>
    <x v="0"/>
    <x v="0"/>
  </r>
  <r>
    <n v="27813011"/>
    <x v="0"/>
    <x v="939"/>
    <m/>
    <m/>
    <x v="2"/>
    <x v="7"/>
    <x v="6"/>
    <s v="Operational"/>
    <m/>
    <m/>
    <m/>
    <m/>
    <m/>
    <x v="0"/>
    <x v="0"/>
  </r>
  <r>
    <n v="27813021"/>
    <x v="0"/>
    <x v="940"/>
    <s v="EK 607_2022-07-29T05x00x00"/>
    <s v="B777/3-ER"/>
    <x v="5"/>
    <x v="114"/>
    <x v="1"/>
    <s v="Operational"/>
    <s v="EK 607"/>
    <m/>
    <m/>
    <m/>
    <m/>
    <x v="0"/>
    <x v="0"/>
  </r>
  <r>
    <n v="27817172"/>
    <x v="0"/>
    <x v="941"/>
    <m/>
    <m/>
    <x v="0"/>
    <x v="29"/>
    <x v="7"/>
    <s v="Operational"/>
    <m/>
    <m/>
    <m/>
    <m/>
    <m/>
    <x v="0"/>
    <x v="0"/>
  </r>
  <r>
    <n v="27813073"/>
    <x v="0"/>
    <x v="942"/>
    <s v="FZ 611_2022-07-29T05x05x00"/>
    <s v="B737/8-MAX"/>
    <x v="1"/>
    <x v="1"/>
    <x v="1"/>
    <s v="Operational"/>
    <s v="FZ 611"/>
    <m/>
    <m/>
    <m/>
    <m/>
    <x v="0"/>
    <x v="0"/>
  </r>
  <r>
    <n v="27813077"/>
    <x v="0"/>
    <x v="942"/>
    <s v="PK 283_2022-07-29T05x45x00"/>
    <s v="A320"/>
    <x v="0"/>
    <x v="12"/>
    <x v="3"/>
    <s v="Operational"/>
    <s v="PK 283"/>
    <m/>
    <m/>
    <m/>
    <m/>
    <x v="0"/>
    <x v="0"/>
  </r>
  <r>
    <n v="27813087"/>
    <x v="0"/>
    <x v="943"/>
    <s v="FZ 8706_2022-07-29T04x15x00"/>
    <s v="B737/8"/>
    <x v="1"/>
    <x v="135"/>
    <x v="3"/>
    <s v="Operational"/>
    <s v="FZ 8706"/>
    <m/>
    <m/>
    <m/>
    <m/>
    <x v="0"/>
    <x v="0"/>
  </r>
  <r>
    <n v="27813098"/>
    <x v="0"/>
    <x v="944"/>
    <s v="FZ 8706_2022-07-29T04x15x00"/>
    <s v="B737/8"/>
    <x v="1"/>
    <x v="135"/>
    <x v="4"/>
    <s v="Operational"/>
    <s v="FZ 8706"/>
    <m/>
    <m/>
    <m/>
    <m/>
    <x v="0"/>
    <x v="0"/>
  </r>
  <r>
    <n v="27813100"/>
    <x v="0"/>
    <x v="945"/>
    <s v="FZ 714_2022-07-29T05x00x00"/>
    <s v="B737/8-MAX"/>
    <x v="5"/>
    <x v="77"/>
    <x v="4"/>
    <s v="Operational"/>
    <s v="FZ 714"/>
    <m/>
    <m/>
    <m/>
    <m/>
    <x v="0"/>
    <x v="0"/>
  </r>
  <r>
    <n v="27813121"/>
    <x v="0"/>
    <x v="946"/>
    <s v="FZ 714_2022-07-29T05x00x00"/>
    <s v="B737/8-MAX"/>
    <x v="5"/>
    <x v="77"/>
    <x v="2"/>
    <s v="Operational"/>
    <s v="FZ 714"/>
    <m/>
    <m/>
    <m/>
    <m/>
    <x v="0"/>
    <x v="0"/>
  </r>
  <r>
    <n v="27813131"/>
    <x v="0"/>
    <x v="947"/>
    <s v="EK 127_2022-07-29T04x55x00"/>
    <s v="A380/8"/>
    <x v="2"/>
    <x v="105"/>
    <x v="1"/>
    <s v="Operational"/>
    <s v="EK 127"/>
    <m/>
    <m/>
    <m/>
    <m/>
    <x v="0"/>
    <x v="0"/>
  </r>
  <r>
    <n v="27813151"/>
    <x v="0"/>
    <x v="948"/>
    <s v="FZ 714_2022-07-29T05x00x00"/>
    <s v="B737/8-MAX"/>
    <x v="5"/>
    <x v="77"/>
    <x v="0"/>
    <s v="Operational"/>
    <s v="FZ 714"/>
    <m/>
    <m/>
    <m/>
    <m/>
    <x v="0"/>
    <x v="0"/>
  </r>
  <r>
    <n v="27813171"/>
    <x v="0"/>
    <x v="949"/>
    <s v="EK 209_2022-07-29T06x50x00"/>
    <s v="B777/3-ER"/>
    <x v="3"/>
    <x v="106"/>
    <x v="2"/>
    <s v="Operational"/>
    <s v="EK 209"/>
    <m/>
    <m/>
    <m/>
    <m/>
    <x v="0"/>
    <x v="0"/>
  </r>
  <r>
    <n v="27813200"/>
    <x v="0"/>
    <x v="950"/>
    <s v="EK 352_2022-07-29T05x20x00"/>
    <s v="B777/3-ER"/>
    <x v="3"/>
    <x v="26"/>
    <x v="1"/>
    <s v="Operational"/>
    <s v="EK 352"/>
    <m/>
    <m/>
    <m/>
    <m/>
    <x v="0"/>
    <x v="0"/>
  </r>
  <r>
    <n v="27813219"/>
    <x v="0"/>
    <x v="951"/>
    <s v="EK 209_2022-07-29T06x50x00"/>
    <s v="B777/3-ER"/>
    <x v="3"/>
    <x v="106"/>
    <x v="0"/>
    <s v="Operational"/>
    <s v="EK 209"/>
    <m/>
    <m/>
    <m/>
    <m/>
    <x v="0"/>
    <x v="0"/>
  </r>
  <r>
    <n v="27813229"/>
    <x v="0"/>
    <x v="952"/>
    <s v="3S 513_2022-07-29T05x50x00"/>
    <s v="B777/2"/>
    <x v="1"/>
    <x v="110"/>
    <x v="2"/>
    <s v="Operational"/>
    <s v="3S 513"/>
    <m/>
    <m/>
    <m/>
    <m/>
    <x v="0"/>
    <x v="0"/>
  </r>
  <r>
    <n v="27813241"/>
    <x v="0"/>
    <x v="953"/>
    <s v="3S 513_2022-07-29T05x50x00"/>
    <s v="B777/2"/>
    <x v="1"/>
    <x v="110"/>
    <x v="0"/>
    <s v="Operational"/>
    <s v="3S 513"/>
    <m/>
    <m/>
    <m/>
    <m/>
    <x v="0"/>
    <x v="0"/>
  </r>
  <r>
    <n v="27813255"/>
    <x v="0"/>
    <x v="954"/>
    <s v="EK 097_2022-07-29T05x10x00"/>
    <s v="A380/8"/>
    <x v="4"/>
    <x v="49"/>
    <x v="1"/>
    <s v="Operational"/>
    <s v="EK 097"/>
    <m/>
    <m/>
    <m/>
    <m/>
    <x v="0"/>
    <x v="0"/>
  </r>
  <r>
    <n v="27813269"/>
    <x v="0"/>
    <x v="955"/>
    <m/>
    <m/>
    <x v="5"/>
    <x v="82"/>
    <x v="13"/>
    <s v="Operational"/>
    <m/>
    <m/>
    <m/>
    <m/>
    <m/>
    <x v="0"/>
    <x v="0"/>
  </r>
  <r>
    <n v="27813273"/>
    <x v="0"/>
    <x v="956"/>
    <m/>
    <m/>
    <x v="5"/>
    <x v="154"/>
    <x v="7"/>
    <s v="Operational"/>
    <m/>
    <m/>
    <m/>
    <m/>
    <m/>
    <x v="0"/>
    <x v="0"/>
  </r>
  <r>
    <n v="27813276"/>
    <x v="0"/>
    <x v="956"/>
    <s v="EK 031_2022-07-29T07x25x00"/>
    <s v="A380/8"/>
    <x v="4"/>
    <x v="119"/>
    <x v="2"/>
    <s v="Operational"/>
    <s v="EK 031"/>
    <m/>
    <m/>
    <m/>
    <m/>
    <x v="0"/>
    <x v="0"/>
  </r>
  <r>
    <n v="27813287"/>
    <x v="0"/>
    <x v="957"/>
    <m/>
    <m/>
    <x v="5"/>
    <x v="82"/>
    <x v="14"/>
    <s v="Operational"/>
    <m/>
    <m/>
    <m/>
    <m/>
    <m/>
    <x v="0"/>
    <x v="0"/>
  </r>
  <r>
    <n v="27813293"/>
    <x v="0"/>
    <x v="958"/>
    <m/>
    <m/>
    <x v="4"/>
    <x v="97"/>
    <x v="7"/>
    <s v="Operational"/>
    <m/>
    <m/>
    <m/>
    <m/>
    <m/>
    <x v="0"/>
    <x v="0"/>
  </r>
  <r>
    <n v="27813300"/>
    <x v="0"/>
    <x v="959"/>
    <s v="PK 283_2022-07-29T05x45x00"/>
    <s v="A320"/>
    <x v="0"/>
    <x v="12"/>
    <x v="4"/>
    <s v="Operational"/>
    <s v="PK 283"/>
    <m/>
    <m/>
    <m/>
    <m/>
    <x v="0"/>
    <x v="0"/>
  </r>
  <r>
    <n v="27813307"/>
    <x v="0"/>
    <x v="960"/>
    <s v="6E 023_2022-07-29T05x40x00"/>
    <s v="A320-NEO"/>
    <x v="0"/>
    <x v="91"/>
    <x v="2"/>
    <s v="Operational"/>
    <s v="6E 023"/>
    <m/>
    <m/>
    <m/>
    <m/>
    <x v="0"/>
    <x v="0"/>
  </r>
  <r>
    <n v="27813316"/>
    <x v="0"/>
    <x v="961"/>
    <s v="EK 031_2022-07-29T07x25x00"/>
    <s v="A380/8"/>
    <x v="4"/>
    <x v="119"/>
    <x v="0"/>
    <s v="Operational"/>
    <s v="EK 031"/>
    <m/>
    <m/>
    <m/>
    <m/>
    <x v="0"/>
    <x v="0"/>
  </r>
  <r>
    <n v="27813338"/>
    <x v="0"/>
    <x v="962"/>
    <s v="6E 023_2022-07-29T05x40x00"/>
    <s v="A320-NEO"/>
    <x v="0"/>
    <x v="91"/>
    <x v="0"/>
    <s v="Operational"/>
    <s v="6E 023"/>
    <m/>
    <m/>
    <m/>
    <m/>
    <x v="0"/>
    <x v="0"/>
  </r>
  <r>
    <n v="27813351"/>
    <x v="0"/>
    <x v="963"/>
    <s v="EK 358_2022-07-29T06x45x00"/>
    <s v="B777/3-ER"/>
    <x v="4"/>
    <x v="136"/>
    <x v="2"/>
    <s v="Operational"/>
    <s v="EK 358"/>
    <m/>
    <m/>
    <m/>
    <m/>
    <x v="0"/>
    <x v="0"/>
  </r>
  <r>
    <n v="27813389"/>
    <x v="0"/>
    <x v="964"/>
    <s v="EK 358_2022-07-29T06x45x00"/>
    <s v="B777/3-ER"/>
    <x v="4"/>
    <x v="136"/>
    <x v="0"/>
    <s v="Operational"/>
    <s v="EK 358"/>
    <m/>
    <m/>
    <m/>
    <m/>
    <x v="0"/>
    <x v="0"/>
  </r>
  <r>
    <n v="27813416"/>
    <x v="0"/>
    <x v="965"/>
    <s v="FZ 8706_2022-07-29T04x15x00"/>
    <s v="B737/8"/>
    <x v="1"/>
    <x v="135"/>
    <x v="2"/>
    <s v="Operational"/>
    <s v="FZ 8706"/>
    <m/>
    <m/>
    <m/>
    <m/>
    <x v="0"/>
    <x v="0"/>
  </r>
  <r>
    <n v="27813424"/>
    <x v="0"/>
    <x v="966"/>
    <s v="FZ 8706_2022-07-29T04x15x00"/>
    <s v="B737/8"/>
    <x v="1"/>
    <x v="135"/>
    <x v="0"/>
    <s v="Operational"/>
    <s v="FZ 8706"/>
    <m/>
    <m/>
    <m/>
    <m/>
    <x v="0"/>
    <x v="0"/>
  </r>
  <r>
    <n v="27813504"/>
    <x v="0"/>
    <x v="967"/>
    <s v="EK 572_2022-07-29T09x05x00"/>
    <s v="B777/3-ER"/>
    <x v="2"/>
    <x v="7"/>
    <x v="2"/>
    <s v="Operational"/>
    <s v="EK 572"/>
    <m/>
    <m/>
    <m/>
    <m/>
    <x v="0"/>
    <x v="0"/>
  </r>
  <r>
    <n v="27813518"/>
    <x v="0"/>
    <x v="968"/>
    <s v="PK 283_2022-07-29T05x45x00"/>
    <s v="A320"/>
    <x v="0"/>
    <x v="12"/>
    <x v="2"/>
    <s v="Operational"/>
    <s v="PK 283"/>
    <m/>
    <m/>
    <m/>
    <m/>
    <x v="0"/>
    <x v="0"/>
  </r>
  <r>
    <n v="27813521"/>
    <x v="0"/>
    <x v="969"/>
    <s v="EK 572_2022-07-29T09x05x00"/>
    <s v="B777/3-ER"/>
    <x v="2"/>
    <x v="7"/>
    <x v="0"/>
    <s v="Operational"/>
    <s v="EK 572"/>
    <m/>
    <m/>
    <m/>
    <m/>
    <x v="0"/>
    <x v="0"/>
  </r>
  <r>
    <n v="27813549"/>
    <x v="0"/>
    <x v="970"/>
    <s v="PK 283_2022-07-29T05x45x00"/>
    <s v="A320"/>
    <x v="0"/>
    <x v="12"/>
    <x v="0"/>
    <s v="Operational"/>
    <s v="PK 283"/>
    <m/>
    <m/>
    <m/>
    <m/>
    <x v="0"/>
    <x v="0"/>
  </r>
  <r>
    <n v="27813566"/>
    <x v="0"/>
    <x v="971"/>
    <s v="EK 093_2022-07-29T05x30x00"/>
    <s v="B777/3-ER"/>
    <x v="2"/>
    <x v="109"/>
    <x v="1"/>
    <s v="Operational"/>
    <s v="EK 093"/>
    <m/>
    <m/>
    <m/>
    <m/>
    <x v="0"/>
    <x v="0"/>
  </r>
  <r>
    <n v="27813591"/>
    <x v="0"/>
    <x v="972"/>
    <s v="EK 506_2022-07-29T05x30x00"/>
    <s v="B777/3-ER"/>
    <x v="3"/>
    <x v="85"/>
    <x v="1"/>
    <s v="Operational"/>
    <s v="EK 506"/>
    <m/>
    <m/>
    <m/>
    <m/>
    <x v="0"/>
    <x v="0"/>
  </r>
  <r>
    <n v="27813601"/>
    <x v="0"/>
    <x v="973"/>
    <s v="FX 5217_2022-07-29T06x00x00"/>
    <s v="B777/2"/>
    <x v="1"/>
    <x v="28"/>
    <x v="3"/>
    <s v="Operational"/>
    <s v="FX 5217"/>
    <m/>
    <m/>
    <m/>
    <m/>
    <x v="0"/>
    <x v="0"/>
  </r>
  <r>
    <n v="27813605"/>
    <x v="0"/>
    <x v="974"/>
    <s v="FX 5217_2022-07-29T06x00x00"/>
    <s v="B777/2"/>
    <x v="1"/>
    <x v="28"/>
    <x v="4"/>
    <s v="Operational"/>
    <s v="FX 5217"/>
    <m/>
    <m/>
    <m/>
    <m/>
    <x v="0"/>
    <x v="0"/>
  </r>
  <r>
    <n v="27813682"/>
    <x v="0"/>
    <x v="975"/>
    <s v="SG 011_2022-07-29T05x50x00"/>
    <s v="B737/8-MAX"/>
    <x v="0"/>
    <x v="29"/>
    <x v="3"/>
    <s v="Operational"/>
    <s v="SG 011"/>
    <m/>
    <m/>
    <m/>
    <m/>
    <x v="0"/>
    <x v="0"/>
  </r>
  <r>
    <n v="27813717"/>
    <x v="0"/>
    <x v="976"/>
    <s v="FZ 751_2022-07-29T05x15x00"/>
    <s v="B737/8-MAX"/>
    <x v="1"/>
    <x v="155"/>
    <x v="1"/>
    <s v="Operational"/>
    <s v="FZ 751"/>
    <m/>
    <m/>
    <m/>
    <m/>
    <x v="0"/>
    <x v="0"/>
  </r>
  <r>
    <n v="27813745"/>
    <x v="0"/>
    <x v="977"/>
    <s v="EK 713_2022-07-29T05x25x00"/>
    <s v="B777/3-ER"/>
    <x v="3"/>
    <x v="124"/>
    <x v="1"/>
    <s v="Operational"/>
    <s v="EK 713"/>
    <m/>
    <m/>
    <m/>
    <m/>
    <x v="0"/>
    <x v="0"/>
  </r>
  <r>
    <n v="27813759"/>
    <x v="0"/>
    <x v="978"/>
    <s v="SG 011_2022-07-29T05x50x00"/>
    <s v="B737/8-MAX"/>
    <x v="0"/>
    <x v="29"/>
    <x v="10"/>
    <s v="Operational"/>
    <s v="SG 011"/>
    <m/>
    <m/>
    <m/>
    <m/>
    <x v="0"/>
    <x v="0"/>
  </r>
  <r>
    <n v="27813760"/>
    <x v="0"/>
    <x v="979"/>
    <s v="SG 011_2022-07-29T05x50x00"/>
    <s v="B737/8-MAX"/>
    <x v="0"/>
    <x v="29"/>
    <x v="11"/>
    <s v="Operational"/>
    <s v="SG 011"/>
    <m/>
    <m/>
    <m/>
    <m/>
    <x v="0"/>
    <x v="0"/>
  </r>
  <r>
    <n v="27813805"/>
    <x v="0"/>
    <x v="980"/>
    <s v="EK 719_2022-07-29T05x35x00"/>
    <s v="B777/3-ER"/>
    <x v="3"/>
    <x v="131"/>
    <x v="1"/>
    <s v="Operational"/>
    <s v="EK 719"/>
    <m/>
    <m/>
    <m/>
    <m/>
    <x v="0"/>
    <x v="0"/>
  </r>
  <r>
    <n v="27817227"/>
    <x v="0"/>
    <x v="981"/>
    <s v="HY 333_2022-07-29T07x00x00"/>
    <s v="A320-NEO"/>
    <x v="0"/>
    <x v="9"/>
    <x v="2"/>
    <s v="Operational"/>
    <s v="HY 333"/>
    <m/>
    <m/>
    <m/>
    <m/>
    <x v="0"/>
    <x v="0"/>
  </r>
  <r>
    <n v="27813837"/>
    <x v="0"/>
    <x v="982"/>
    <s v="EK 725_2022-07-29T05x30x00"/>
    <s v="B777/3-ER"/>
    <x v="2"/>
    <x v="115"/>
    <x v="1"/>
    <s v="Operational"/>
    <s v="EK 725"/>
    <m/>
    <m/>
    <m/>
    <m/>
    <x v="0"/>
    <x v="0"/>
  </r>
  <r>
    <n v="27817241"/>
    <x v="0"/>
    <x v="983"/>
    <s v="FZ 866_2022-07-29T07x20x00"/>
    <s v="B737/8"/>
    <x v="1"/>
    <x v="1"/>
    <x v="3"/>
    <s v="Operational"/>
    <s v="FZ 866"/>
    <m/>
    <m/>
    <m/>
    <m/>
    <x v="0"/>
    <x v="0"/>
  </r>
  <r>
    <n v="27813863"/>
    <x v="0"/>
    <x v="984"/>
    <s v="FX 5217_2022-07-29T06x00x00"/>
    <s v="B777/2"/>
    <x v="1"/>
    <x v="28"/>
    <x v="2"/>
    <s v="Operational"/>
    <s v="FX 5217"/>
    <m/>
    <m/>
    <m/>
    <m/>
    <x v="0"/>
    <x v="0"/>
  </r>
  <r>
    <n v="27813881"/>
    <x v="0"/>
    <x v="985"/>
    <s v="FX 5217_2022-07-29T06x00x00"/>
    <s v="B777/2"/>
    <x v="1"/>
    <x v="28"/>
    <x v="0"/>
    <s v="Operational"/>
    <s v="FX 5217"/>
    <m/>
    <m/>
    <m/>
    <m/>
    <x v="0"/>
    <x v="0"/>
  </r>
  <r>
    <n v="27817243"/>
    <x v="0"/>
    <x v="986"/>
    <s v="XY 501_2022-07-29T07x10x00"/>
    <s v="A320-NEO"/>
    <x v="0"/>
    <x v="12"/>
    <x v="3"/>
    <s v="Operational"/>
    <s v="XY 501"/>
    <m/>
    <m/>
    <m/>
    <m/>
    <x v="0"/>
    <x v="0"/>
  </r>
  <r>
    <n v="27813975"/>
    <x v="0"/>
    <x v="987"/>
    <s v="FZ 1407_2022-07-29T13x35x00"/>
    <s v="B777/3-ER"/>
    <x v="5"/>
    <x v="154"/>
    <x v="1"/>
    <s v="Operational"/>
    <m/>
    <m/>
    <m/>
    <m/>
    <m/>
    <x v="0"/>
    <x v="0"/>
  </r>
  <r>
    <n v="27814014"/>
    <x v="0"/>
    <x v="988"/>
    <s v="SG 011_2022-07-29T05x50x00"/>
    <s v="B737/8-MAX"/>
    <x v="0"/>
    <x v="29"/>
    <x v="2"/>
    <s v="Operational"/>
    <s v="SG 011"/>
    <m/>
    <m/>
    <m/>
    <m/>
    <x v="0"/>
    <x v="0"/>
  </r>
  <r>
    <n v="27814021"/>
    <x v="0"/>
    <x v="989"/>
    <s v="EK 211_2022-07-29T05x35x00"/>
    <s v="B777/2-LR"/>
    <x v="4"/>
    <x v="64"/>
    <x v="1"/>
    <s v="Operational"/>
    <s v="EK 211"/>
    <m/>
    <m/>
    <m/>
    <m/>
    <x v="0"/>
    <x v="0"/>
  </r>
  <r>
    <n v="27814031"/>
    <x v="0"/>
    <x v="990"/>
    <s v="6E 065_2022-07-29T06x15x00"/>
    <s v="A320-NEO"/>
    <x v="0"/>
    <x v="0"/>
    <x v="3"/>
    <s v="Operational"/>
    <s v="6E 065"/>
    <m/>
    <m/>
    <m/>
    <m/>
    <x v="0"/>
    <x v="0"/>
  </r>
  <r>
    <n v="27814036"/>
    <x v="0"/>
    <x v="991"/>
    <s v="EK 793_2022-07-29T05x45x00"/>
    <s v="B777/3-ER"/>
    <x v="6"/>
    <x v="156"/>
    <x v="1"/>
    <s v="Operational"/>
    <s v="EK 793"/>
    <m/>
    <m/>
    <m/>
    <m/>
    <x v="0"/>
    <x v="0"/>
  </r>
  <r>
    <n v="27814052"/>
    <x v="0"/>
    <x v="992"/>
    <s v="SG 011_2022-07-29T05x50x00"/>
    <s v="B737/8-MAX"/>
    <x v="0"/>
    <x v="29"/>
    <x v="0"/>
    <s v="Operational"/>
    <s v="SG 011"/>
    <m/>
    <m/>
    <m/>
    <m/>
    <x v="0"/>
    <x v="0"/>
  </r>
  <r>
    <n v="27817255"/>
    <x v="0"/>
    <x v="993"/>
    <s v="EK 613_2022-07-29T07x35x00"/>
    <s v="B777/3-ER"/>
    <x v="4"/>
    <x v="13"/>
    <x v="3"/>
    <s v="Operational"/>
    <s v="EK 613"/>
    <m/>
    <m/>
    <m/>
    <m/>
    <x v="0"/>
    <x v="0"/>
  </r>
  <r>
    <n v="27814117"/>
    <x v="0"/>
    <x v="994"/>
    <s v="FZ 1209_2022-07-29T05x45x00"/>
    <s v="B737/8-MAX"/>
    <x v="5"/>
    <x v="107"/>
    <x v="1"/>
    <s v="Operational"/>
    <s v="FZ 1209"/>
    <m/>
    <m/>
    <m/>
    <m/>
    <x v="0"/>
    <x v="0"/>
  </r>
  <r>
    <n v="27814129"/>
    <x v="0"/>
    <x v="995"/>
    <s v="EK 225_2022-07-29T05x10x00"/>
    <s v="A380/8"/>
    <x v="4"/>
    <x v="13"/>
    <x v="1"/>
    <s v="Operational"/>
    <s v="EK 225"/>
    <m/>
    <m/>
    <m/>
    <m/>
    <x v="0"/>
    <x v="0"/>
  </r>
  <r>
    <n v="27814164"/>
    <x v="0"/>
    <x v="996"/>
    <s v="FZ 745_2022-07-29T05x40x00"/>
    <s v="B737/8-MAX"/>
    <x v="5"/>
    <x v="157"/>
    <x v="1"/>
    <s v="Operational"/>
    <s v="FZ 745"/>
    <m/>
    <m/>
    <m/>
    <m/>
    <x v="0"/>
    <x v="0"/>
  </r>
  <r>
    <n v="27814189"/>
    <x v="0"/>
    <x v="997"/>
    <s v="FZ 1569_2022-07-29T05x20x00"/>
    <s v="B737/9-MAX"/>
    <x v="5"/>
    <x v="111"/>
    <x v="1"/>
    <s v="Operational"/>
    <s v="FZ 1569"/>
    <m/>
    <m/>
    <m/>
    <m/>
    <x v="0"/>
    <x v="0"/>
  </r>
  <r>
    <n v="27814204"/>
    <x v="0"/>
    <x v="998"/>
    <s v="EK 235_2022-07-29T05x55x00"/>
    <s v="B777/3-ER"/>
    <x v="3"/>
    <x v="118"/>
    <x v="30"/>
    <s v="Operational"/>
    <s v="EK 235"/>
    <m/>
    <m/>
    <m/>
    <m/>
    <x v="0"/>
    <x v="0"/>
  </r>
  <r>
    <n v="27814207"/>
    <x v="0"/>
    <x v="999"/>
    <m/>
    <m/>
    <x v="3"/>
    <x v="118"/>
    <x v="31"/>
    <s v="Operational"/>
    <m/>
    <m/>
    <m/>
    <m/>
    <m/>
    <x v="0"/>
    <x v="0"/>
  </r>
  <r>
    <n v="27814234"/>
    <x v="0"/>
    <x v="1000"/>
    <s v="6E 065_2022-07-29T06x15x00"/>
    <s v="A320-NEO"/>
    <x v="0"/>
    <x v="0"/>
    <x v="4"/>
    <s v="Operational"/>
    <s v="6E 065"/>
    <m/>
    <m/>
    <m/>
    <m/>
    <x v="0"/>
    <x v="0"/>
  </r>
  <r>
    <n v="27814261"/>
    <x v="0"/>
    <x v="1001"/>
    <s v="EK 652_2022-07-29T05x45x00"/>
    <s v="B777/3-ER"/>
    <x v="3"/>
    <x v="42"/>
    <x v="1"/>
    <s v="Operational"/>
    <s v="EK 652"/>
    <m/>
    <m/>
    <m/>
    <m/>
    <x v="0"/>
    <x v="0"/>
  </r>
  <r>
    <n v="27814311"/>
    <x v="0"/>
    <x v="1002"/>
    <s v="EK 516_2022-07-29T05x50x00"/>
    <s v="B777/3-ER"/>
    <x v="3"/>
    <x v="78"/>
    <x v="1"/>
    <s v="Operational"/>
    <s v="EK 516"/>
    <m/>
    <m/>
    <m/>
    <m/>
    <x v="0"/>
    <x v="0"/>
  </r>
  <r>
    <n v="27814342"/>
    <x v="0"/>
    <x v="1003"/>
    <s v="SG 055_2022-07-29T06x10x00"/>
    <s v="B737/8-MAX"/>
    <x v="0"/>
    <x v="40"/>
    <x v="3"/>
    <s v="Operational"/>
    <s v="SG 055"/>
    <m/>
    <m/>
    <m/>
    <m/>
    <x v="0"/>
    <x v="0"/>
  </r>
  <r>
    <n v="27814347"/>
    <x v="0"/>
    <x v="1004"/>
    <s v="6E 065_2022-07-29T06x15x00"/>
    <s v="A320-NEO"/>
    <x v="0"/>
    <x v="0"/>
    <x v="2"/>
    <s v="Operational"/>
    <s v="6E 065"/>
    <m/>
    <m/>
    <m/>
    <m/>
    <x v="0"/>
    <x v="0"/>
  </r>
  <r>
    <n v="27818082"/>
    <x v="0"/>
    <x v="1005"/>
    <s v="FZ 8568_2022-07-29T07x10x00"/>
    <s v="B737/8"/>
    <x v="1"/>
    <x v="35"/>
    <x v="0"/>
    <s v="Operational"/>
    <s v="FZ 8568"/>
    <m/>
    <m/>
    <m/>
    <m/>
    <x v="0"/>
    <x v="0"/>
  </r>
  <r>
    <n v="27818112"/>
    <x v="0"/>
    <x v="1006"/>
    <s v="EK 149_2022-07-29T10x45x00"/>
    <s v="B777/3-ER"/>
    <x v="3"/>
    <x v="26"/>
    <x v="15"/>
    <s v="Technical"/>
    <s v="EK 149"/>
    <m/>
    <m/>
    <m/>
    <m/>
    <x v="0"/>
    <x v="0"/>
  </r>
  <r>
    <n v="27818115"/>
    <x v="0"/>
    <x v="1007"/>
    <s v="FZ 843_2022-07-29T15x15x00"/>
    <s v="B777/3-ER"/>
    <x v="5"/>
    <x v="158"/>
    <x v="1"/>
    <s v="Operational"/>
    <m/>
    <m/>
    <m/>
    <m/>
    <m/>
    <x v="0"/>
    <x v="0"/>
  </r>
  <r>
    <n v="27818134"/>
    <x v="0"/>
    <x v="1008"/>
    <s v="ME 426_2022-07-29T07x45x00"/>
    <s v="A321-NEO"/>
    <x v="0"/>
    <x v="29"/>
    <x v="10"/>
    <s v="Operational"/>
    <s v="ME 426"/>
    <m/>
    <m/>
    <m/>
    <m/>
    <x v="0"/>
    <x v="0"/>
  </r>
  <r>
    <n v="27818135"/>
    <x v="0"/>
    <x v="1008"/>
    <s v="ME 426_2022-07-29T07x45x00"/>
    <s v="A321-NEO"/>
    <x v="0"/>
    <x v="29"/>
    <x v="11"/>
    <s v="Operational"/>
    <s v="ME 426"/>
    <m/>
    <m/>
    <m/>
    <m/>
    <x v="0"/>
    <x v="0"/>
  </r>
  <r>
    <n v="27818144"/>
    <x v="0"/>
    <x v="1009"/>
    <s v="ME 426_2022-07-29T07x45x00"/>
    <s v="A321-NEO"/>
    <x v="0"/>
    <x v="29"/>
    <x v="15"/>
    <s v="Technical"/>
    <s v="ME 426"/>
    <m/>
    <m/>
    <m/>
    <m/>
    <x v="0"/>
    <x v="0"/>
  </r>
  <r>
    <n v="27818147"/>
    <x v="0"/>
    <x v="1009"/>
    <s v="EK 149_2022-07-29T10x45x00"/>
    <s v="B777/3-ER"/>
    <x v="3"/>
    <x v="26"/>
    <x v="16"/>
    <s v="Technical"/>
    <s v="EK 149"/>
    <m/>
    <m/>
    <m/>
    <m/>
    <x v="0"/>
    <x v="0"/>
  </r>
  <r>
    <n v="27818152"/>
    <x v="0"/>
    <x v="1010"/>
    <m/>
    <m/>
    <x v="3"/>
    <x v="26"/>
    <x v="7"/>
    <s v="Operational"/>
    <m/>
    <m/>
    <m/>
    <m/>
    <m/>
    <x v="0"/>
    <x v="0"/>
  </r>
  <r>
    <n v="27818179"/>
    <x v="0"/>
    <x v="1011"/>
    <m/>
    <m/>
    <x v="3"/>
    <x v="37"/>
    <x v="6"/>
    <s v="Operational"/>
    <m/>
    <m/>
    <m/>
    <m/>
    <m/>
    <x v="0"/>
    <x v="0"/>
  </r>
  <r>
    <n v="27818189"/>
    <x v="0"/>
    <x v="1012"/>
    <m/>
    <m/>
    <x v="3"/>
    <x v="131"/>
    <x v="6"/>
    <s v="Operational"/>
    <m/>
    <m/>
    <m/>
    <m/>
    <m/>
    <x v="0"/>
    <x v="0"/>
  </r>
  <r>
    <n v="27818202"/>
    <x v="0"/>
    <x v="1013"/>
    <s v="FZ 859_2022-07-29T07x25x00"/>
    <s v="B737/8"/>
    <x v="5"/>
    <x v="139"/>
    <x v="1"/>
    <s v="Operational"/>
    <s v="FZ 859"/>
    <m/>
    <m/>
    <m/>
    <m/>
    <x v="0"/>
    <x v="0"/>
  </r>
  <r>
    <n v="27818215"/>
    <x v="0"/>
    <x v="1014"/>
    <s v="ME 426_2022-07-29T07x45x00"/>
    <s v="A321-NEO"/>
    <x v="0"/>
    <x v="29"/>
    <x v="17"/>
    <s v="Technical"/>
    <s v="ME 426"/>
    <m/>
    <m/>
    <m/>
    <m/>
    <x v="0"/>
    <x v="0"/>
  </r>
  <r>
    <n v="27818223"/>
    <x v="0"/>
    <x v="1015"/>
    <s v="ME 426_2022-07-29T07x45x00"/>
    <s v="A321-NEO"/>
    <x v="0"/>
    <x v="29"/>
    <x v="2"/>
    <s v="Operational"/>
    <s v="ME 426"/>
    <m/>
    <m/>
    <m/>
    <m/>
    <x v="0"/>
    <x v="0"/>
  </r>
  <r>
    <n v="27818231"/>
    <x v="0"/>
    <x v="1016"/>
    <m/>
    <m/>
    <x v="1"/>
    <x v="31"/>
    <x v="8"/>
    <s v="Operational"/>
    <m/>
    <m/>
    <m/>
    <m/>
    <m/>
    <x v="0"/>
    <x v="0"/>
  </r>
  <r>
    <n v="27818233"/>
    <x v="0"/>
    <x v="1016"/>
    <m/>
    <m/>
    <x v="1"/>
    <x v="31"/>
    <x v="9"/>
    <s v="Operational"/>
    <m/>
    <m/>
    <m/>
    <m/>
    <m/>
    <x v="0"/>
    <x v="0"/>
  </r>
  <r>
    <n v="27818238"/>
    <x v="0"/>
    <x v="1017"/>
    <s v="FZ 711_2022-07-29T07x00x00"/>
    <s v="B737/8"/>
    <x v="1"/>
    <x v="43"/>
    <x v="1"/>
    <s v="Operational"/>
    <s v="FZ 711"/>
    <m/>
    <m/>
    <m/>
    <m/>
    <x v="0"/>
    <x v="0"/>
  </r>
  <r>
    <n v="27818254"/>
    <x v="0"/>
    <x v="1018"/>
    <s v="ME 426_2022-07-29T07x45x00"/>
    <s v="A321-NEO"/>
    <x v="0"/>
    <x v="29"/>
    <x v="0"/>
    <s v="Operational"/>
    <s v="ME 426"/>
    <m/>
    <m/>
    <m/>
    <m/>
    <x v="0"/>
    <x v="0"/>
  </r>
  <r>
    <n v="27818268"/>
    <x v="0"/>
    <x v="1019"/>
    <s v="EK 625_2022-07-29T08x00x00"/>
    <s v="B777/3-ER"/>
    <x v="4"/>
    <x v="66"/>
    <x v="3"/>
    <s v="Operational"/>
    <s v="EK 625"/>
    <m/>
    <m/>
    <m/>
    <m/>
    <x v="0"/>
    <x v="0"/>
  </r>
  <r>
    <n v="27818325"/>
    <x v="0"/>
    <x v="1020"/>
    <s v="EK 235_2022-07-29T05x55x00"/>
    <s v="B777/3-ER"/>
    <x v="3"/>
    <x v="118"/>
    <x v="1"/>
    <s v="Operational"/>
    <s v="EK 235"/>
    <m/>
    <m/>
    <m/>
    <m/>
    <x v="0"/>
    <x v="0"/>
  </r>
  <r>
    <n v="27818347"/>
    <x v="0"/>
    <x v="1021"/>
    <s v="EK 222_2022-07-29T08x00x00"/>
    <s v="B777/2-LR"/>
    <x v="2"/>
    <x v="36"/>
    <x v="4"/>
    <s v="Operational"/>
    <s v="EK 222"/>
    <m/>
    <m/>
    <m/>
    <m/>
    <x v="0"/>
    <x v="0"/>
  </r>
  <r>
    <n v="27818376"/>
    <x v="0"/>
    <x v="1022"/>
    <s v="FZ 317_2022-07-29T07x35x00"/>
    <s v="B737/8"/>
    <x v="1"/>
    <x v="34"/>
    <x v="1"/>
    <s v="Operational"/>
    <s v="FZ 317"/>
    <m/>
    <m/>
    <m/>
    <m/>
    <x v="0"/>
    <x v="0"/>
  </r>
  <r>
    <n v="27818392"/>
    <x v="0"/>
    <x v="1023"/>
    <s v="EK 209_2022-07-29T06x50x00"/>
    <s v="B777/3-ER"/>
    <x v="3"/>
    <x v="106"/>
    <x v="1"/>
    <s v="Operational"/>
    <s v="EK 209"/>
    <m/>
    <m/>
    <m/>
    <m/>
    <x v="0"/>
    <x v="0"/>
  </r>
  <r>
    <n v="27818414"/>
    <x v="0"/>
    <x v="1024"/>
    <s v="AI 933_2022-07-29T08x10x00"/>
    <s v="B787/8"/>
    <x v="0"/>
    <x v="91"/>
    <x v="3"/>
    <s v="Operational"/>
    <s v="AI 933"/>
    <m/>
    <m/>
    <m/>
    <m/>
    <x v="0"/>
    <x v="0"/>
  </r>
  <r>
    <n v="27818439"/>
    <x v="0"/>
    <x v="1025"/>
    <s v="6E 063_2022-07-29T06x25x00"/>
    <s v="A320-NEO"/>
    <x v="0"/>
    <x v="61"/>
    <x v="1"/>
    <s v="Operational"/>
    <m/>
    <m/>
    <m/>
    <m/>
    <m/>
    <x v="0"/>
    <x v="0"/>
  </r>
  <r>
    <n v="27818443"/>
    <x v="0"/>
    <x v="1026"/>
    <s v="J2 011_2022-07-29T07x55x00"/>
    <s v="B767/3"/>
    <x v="0"/>
    <x v="61"/>
    <x v="3"/>
    <s v="Operational"/>
    <s v="J2 011"/>
    <m/>
    <m/>
    <m/>
    <m/>
    <x v="0"/>
    <x v="0"/>
  </r>
  <r>
    <n v="27818449"/>
    <x v="0"/>
    <x v="1027"/>
    <s v="XY 202_2022-07-29T07x35x00"/>
    <s v="A320"/>
    <x v="0"/>
    <x v="57"/>
    <x v="1"/>
    <s v="Operational"/>
    <s v="XY 202"/>
    <m/>
    <m/>
    <m/>
    <m/>
    <x v="0"/>
    <x v="0"/>
  </r>
  <r>
    <n v="27818462"/>
    <x v="0"/>
    <x v="1028"/>
    <s v="EK 222_2022-07-29T08x00x00"/>
    <s v="B777/2-LR"/>
    <x v="2"/>
    <x v="36"/>
    <x v="2"/>
    <s v="Operational"/>
    <s v="EK 222"/>
    <m/>
    <m/>
    <m/>
    <m/>
    <x v="0"/>
    <x v="0"/>
  </r>
  <r>
    <n v="27818467"/>
    <x v="0"/>
    <x v="1029"/>
    <s v="SV 596_2022-07-29T08x00x00"/>
    <s v="A320"/>
    <x v="0"/>
    <x v="0"/>
    <x v="3"/>
    <s v="Operational"/>
    <s v="SV 596"/>
    <m/>
    <m/>
    <m/>
    <m/>
    <x v="0"/>
    <x v="0"/>
  </r>
  <r>
    <n v="27818469"/>
    <x v="0"/>
    <x v="1030"/>
    <s v="EK 625_2022-07-29T08x00x00"/>
    <s v="B777/3-ER"/>
    <x v="4"/>
    <x v="66"/>
    <x v="4"/>
    <s v="Operational"/>
    <s v="EK 625"/>
    <m/>
    <m/>
    <m/>
    <m/>
    <x v="0"/>
    <x v="0"/>
  </r>
  <r>
    <n v="27818488"/>
    <x v="0"/>
    <x v="1031"/>
    <s v="EK 222_2022-07-29T08x00x00"/>
    <s v="B777/2-LR"/>
    <x v="2"/>
    <x v="36"/>
    <x v="0"/>
    <s v="Operational"/>
    <s v="EK 222"/>
    <m/>
    <m/>
    <m/>
    <m/>
    <x v="0"/>
    <x v="0"/>
  </r>
  <r>
    <n v="27818523"/>
    <x v="0"/>
    <x v="1032"/>
    <m/>
    <m/>
    <x v="2"/>
    <x v="79"/>
    <x v="6"/>
    <s v="Operational"/>
    <m/>
    <m/>
    <m/>
    <m/>
    <m/>
    <x v="0"/>
    <x v="0"/>
  </r>
  <r>
    <n v="27818534"/>
    <x v="0"/>
    <x v="1033"/>
    <s v="EK 337_2022-07-29T08x10x00"/>
    <s v="B777/3-ER"/>
    <x v="3"/>
    <x v="59"/>
    <x v="3"/>
    <s v="Operational"/>
    <s v="EK 337"/>
    <m/>
    <m/>
    <m/>
    <m/>
    <x v="0"/>
    <x v="0"/>
  </r>
  <r>
    <n v="27818548"/>
    <x v="0"/>
    <x v="1034"/>
    <s v="AI 933_2022-07-29T08x10x00"/>
    <s v="B787/8"/>
    <x v="0"/>
    <x v="91"/>
    <x v="4"/>
    <s v="Operational"/>
    <s v="AI 933"/>
    <m/>
    <m/>
    <m/>
    <m/>
    <x v="0"/>
    <x v="0"/>
  </r>
  <r>
    <n v="27818550"/>
    <x v="0"/>
    <x v="1035"/>
    <s v="J2 011_2022-07-29T07x55x00"/>
    <s v="B767/3"/>
    <x v="0"/>
    <x v="61"/>
    <x v="4"/>
    <s v="Operational"/>
    <s v="J2 011"/>
    <m/>
    <m/>
    <m/>
    <m/>
    <x v="0"/>
    <x v="0"/>
  </r>
  <r>
    <n v="27818552"/>
    <x v="0"/>
    <x v="1036"/>
    <s v="EK 346_2022-07-29T23x10x00"/>
    <s v="B777/3"/>
    <x v="2"/>
    <x v="79"/>
    <x v="22"/>
    <s v="Operational"/>
    <m/>
    <m/>
    <m/>
    <m/>
    <m/>
    <x v="0"/>
    <x v="0"/>
  </r>
  <r>
    <n v="27818562"/>
    <x v="0"/>
    <x v="1037"/>
    <s v="EK 346_2022-07-29T23x10x00"/>
    <s v="B777/3"/>
    <x v="2"/>
    <x v="79"/>
    <x v="5"/>
    <s v="Operational"/>
    <m/>
    <m/>
    <m/>
    <m/>
    <m/>
    <x v="0"/>
    <x v="0"/>
  </r>
  <r>
    <n v="27818590"/>
    <x v="0"/>
    <x v="1038"/>
    <s v="EK 625_2022-07-29T08x00x00"/>
    <s v="B777/3-ER"/>
    <x v="4"/>
    <x v="66"/>
    <x v="2"/>
    <s v="Operational"/>
    <s v="EK 625"/>
    <m/>
    <m/>
    <m/>
    <m/>
    <x v="0"/>
    <x v="0"/>
  </r>
  <r>
    <n v="27818595"/>
    <x v="0"/>
    <x v="1039"/>
    <s v="J2 011_2022-07-29T07x55x00"/>
    <s v="B767/3"/>
    <x v="0"/>
    <x v="61"/>
    <x v="2"/>
    <s v="Operational"/>
    <s v="J2 011"/>
    <m/>
    <m/>
    <m/>
    <m/>
    <x v="0"/>
    <x v="0"/>
  </r>
  <r>
    <n v="27818607"/>
    <x v="0"/>
    <x v="1040"/>
    <s v="J2 011_2022-07-29T07x55x00"/>
    <s v="B767/3"/>
    <x v="0"/>
    <x v="61"/>
    <x v="0"/>
    <s v="Operational"/>
    <s v="J2 011"/>
    <m/>
    <m/>
    <m/>
    <m/>
    <x v="0"/>
    <x v="0"/>
  </r>
  <r>
    <n v="27818617"/>
    <x v="0"/>
    <x v="1041"/>
    <s v="EK 625_2022-07-29T08x00x00"/>
    <s v="B777/3-ER"/>
    <x v="4"/>
    <x v="66"/>
    <x v="0"/>
    <s v="Operational"/>
    <s v="EK 625"/>
    <m/>
    <m/>
    <m/>
    <m/>
    <x v="0"/>
    <x v="0"/>
  </r>
  <r>
    <n v="27818645"/>
    <x v="0"/>
    <x v="1042"/>
    <s v="IR 611_2022-07-29T07x40x00"/>
    <s v="A319"/>
    <x v="0"/>
    <x v="9"/>
    <x v="1"/>
    <s v="Operational"/>
    <s v="IR 611"/>
    <m/>
    <m/>
    <m/>
    <m/>
    <x v="0"/>
    <x v="0"/>
  </r>
  <r>
    <n v="27818657"/>
    <x v="0"/>
    <x v="1043"/>
    <s v="3S 513_2022-07-29T07x50x00"/>
    <s v="B777/2"/>
    <x v="1"/>
    <x v="110"/>
    <x v="1"/>
    <s v="Operational"/>
    <s v="3S 513"/>
    <m/>
    <m/>
    <m/>
    <m/>
    <x v="0"/>
    <x v="0"/>
  </r>
  <r>
    <n v="27818686"/>
    <x v="0"/>
    <x v="1044"/>
    <s v="MS 902_2022-07-29T07x00x00"/>
    <s v="A320-NEO"/>
    <x v="0"/>
    <x v="63"/>
    <x v="1"/>
    <s v="Operational"/>
    <s v="MS 902"/>
    <m/>
    <m/>
    <m/>
    <m/>
    <x v="0"/>
    <x v="0"/>
  </r>
  <r>
    <n v="27818696"/>
    <x v="0"/>
    <x v="1045"/>
    <s v="GF 504_2022-07-29T08x05x00"/>
    <s v="A320-NEO"/>
    <x v="0"/>
    <x v="63"/>
    <x v="3"/>
    <s v="Operational"/>
    <s v="GF 504"/>
    <m/>
    <m/>
    <m/>
    <m/>
    <x v="0"/>
    <x v="0"/>
  </r>
  <r>
    <n v="27818706"/>
    <x v="0"/>
    <x v="1046"/>
    <s v="EK 337_2022-07-29T08x10x00"/>
    <s v="B777/3-ER"/>
    <x v="3"/>
    <x v="59"/>
    <x v="4"/>
    <s v="Operational"/>
    <s v="EK 337"/>
    <m/>
    <m/>
    <m/>
    <m/>
    <x v="0"/>
    <x v="0"/>
  </r>
  <r>
    <n v="27818714"/>
    <x v="0"/>
    <x v="1047"/>
    <s v="EK 527_2022-07-29T08x10x00"/>
    <s v="B777/3-ER"/>
    <x v="4"/>
    <x v="86"/>
    <x v="3"/>
    <s v="Operational"/>
    <s v="EK 527"/>
    <m/>
    <m/>
    <m/>
    <m/>
    <x v="0"/>
    <x v="0"/>
  </r>
  <r>
    <n v="27818747"/>
    <x v="0"/>
    <x v="1048"/>
    <s v="FZ 054_2022-07-29T07x25x00"/>
    <s v="B737/8"/>
    <x v="1"/>
    <x v="116"/>
    <x v="3"/>
    <s v="Operational"/>
    <s v="FZ 054"/>
    <m/>
    <m/>
    <m/>
    <m/>
    <x v="0"/>
    <x v="0"/>
  </r>
  <r>
    <n v="27818751"/>
    <x v="0"/>
    <x v="1049"/>
    <s v="EK 546_2022-07-29T10x50x00"/>
    <s v="B777/3-ER"/>
    <x v="3"/>
    <x v="131"/>
    <x v="2"/>
    <s v="Operational"/>
    <s v="EK 546"/>
    <m/>
    <m/>
    <m/>
    <m/>
    <x v="0"/>
    <x v="0"/>
  </r>
  <r>
    <n v="27818766"/>
    <x v="0"/>
    <x v="1050"/>
    <s v="FZ 054_2022-07-29T07x25x00"/>
    <s v="B737/8"/>
    <x v="1"/>
    <x v="116"/>
    <x v="4"/>
    <s v="Operational"/>
    <s v="FZ 054"/>
    <m/>
    <m/>
    <m/>
    <m/>
    <x v="0"/>
    <x v="0"/>
  </r>
  <r>
    <n v="27818773"/>
    <x v="0"/>
    <x v="1051"/>
    <s v="GF 504_2022-07-29T08x05x00"/>
    <s v="A320-NEO"/>
    <x v="0"/>
    <x v="63"/>
    <x v="10"/>
    <s v="Operational"/>
    <s v="GF 504"/>
    <m/>
    <m/>
    <m/>
    <m/>
    <x v="0"/>
    <x v="0"/>
  </r>
  <r>
    <n v="27818774"/>
    <x v="0"/>
    <x v="1052"/>
    <s v="GF 504_2022-07-29T08x05x00"/>
    <s v="A320-NEO"/>
    <x v="0"/>
    <x v="63"/>
    <x v="11"/>
    <s v="Operational"/>
    <s v="GF 504"/>
    <m/>
    <m/>
    <m/>
    <m/>
    <x v="0"/>
    <x v="0"/>
  </r>
  <r>
    <n v="27818778"/>
    <x v="0"/>
    <x v="1053"/>
    <s v="W5 060_2022-07-29T07x45x00"/>
    <s v="A340/3"/>
    <x v="0"/>
    <x v="22"/>
    <x v="1"/>
    <s v="Operational"/>
    <s v="W5 060"/>
    <m/>
    <m/>
    <m/>
    <m/>
    <x v="0"/>
    <x v="0"/>
  </r>
  <r>
    <n v="27818795"/>
    <x v="0"/>
    <x v="1054"/>
    <s v="EK 546_2022-07-29T10x50x00"/>
    <s v="B777/3-ER"/>
    <x v="3"/>
    <x v="131"/>
    <x v="0"/>
    <s v="Operational"/>
    <s v="EK 546"/>
    <m/>
    <m/>
    <m/>
    <m/>
    <x v="0"/>
    <x v="0"/>
  </r>
  <r>
    <n v="27818820"/>
    <x v="0"/>
    <x v="1055"/>
    <s v="EK 323_2022-07-29T07x50x00"/>
    <s v="A380/8"/>
    <x v="3"/>
    <x v="37"/>
    <x v="2"/>
    <s v="Operational"/>
    <s v="EK 091"/>
    <m/>
    <m/>
    <m/>
    <m/>
    <x v="0"/>
    <x v="0"/>
  </r>
  <r>
    <n v="27818833"/>
    <x v="0"/>
    <x v="1056"/>
    <s v="EK 323_2022-07-29T07x50x00"/>
    <s v="A380/8"/>
    <x v="3"/>
    <x v="37"/>
    <x v="0"/>
    <s v="Operational"/>
    <s v="EK 091"/>
    <m/>
    <m/>
    <m/>
    <m/>
    <x v="0"/>
    <x v="0"/>
  </r>
  <r>
    <n v="27818862"/>
    <x v="0"/>
    <x v="1057"/>
    <s v="EK 527_2022-07-29T08x10x00"/>
    <s v="B777/3-ER"/>
    <x v="4"/>
    <x v="86"/>
    <x v="4"/>
    <s v="Operational"/>
    <s v="EK 527"/>
    <m/>
    <m/>
    <m/>
    <m/>
    <x v="0"/>
    <x v="0"/>
  </r>
  <r>
    <n v="27818895"/>
    <x v="0"/>
    <x v="1058"/>
    <s v="SV 596_2022-07-29T08x00x00"/>
    <s v="A320"/>
    <x v="0"/>
    <x v="0"/>
    <x v="4"/>
    <s v="Operational"/>
    <s v="SV 596"/>
    <m/>
    <m/>
    <m/>
    <m/>
    <x v="0"/>
    <x v="0"/>
  </r>
  <r>
    <n v="27818924"/>
    <x v="0"/>
    <x v="1059"/>
    <s v="AI 933_2022-07-29T08x10x00"/>
    <s v="B787/8"/>
    <x v="0"/>
    <x v="91"/>
    <x v="2"/>
    <s v="Operational"/>
    <s v="AI 933"/>
    <m/>
    <m/>
    <m/>
    <m/>
    <x v="0"/>
    <x v="0"/>
  </r>
  <r>
    <n v="27818937"/>
    <x v="0"/>
    <x v="1060"/>
    <s v="FZ 836_2022-07-29T07x50x00"/>
    <s v="B737/8-MAX"/>
    <x v="1"/>
    <x v="101"/>
    <x v="3"/>
    <s v="Operational"/>
    <s v="FZ 836"/>
    <m/>
    <m/>
    <m/>
    <m/>
    <x v="0"/>
    <x v="0"/>
  </r>
  <r>
    <n v="27818948"/>
    <x v="0"/>
    <x v="1061"/>
    <s v="EK 031_2022-07-29T07x25x00"/>
    <s v="A380/8"/>
    <x v="4"/>
    <x v="119"/>
    <x v="1"/>
    <s v="Operational"/>
    <s v="EK 031"/>
    <m/>
    <m/>
    <m/>
    <m/>
    <x v="0"/>
    <x v="0"/>
  </r>
  <r>
    <n v="27818954"/>
    <x v="0"/>
    <x v="1062"/>
    <s v="AI 933_2022-07-29T08x10x00"/>
    <s v="B787/8"/>
    <x v="0"/>
    <x v="91"/>
    <x v="0"/>
    <s v="Operational"/>
    <s v="AI 933"/>
    <m/>
    <m/>
    <m/>
    <m/>
    <x v="0"/>
    <x v="0"/>
  </r>
  <r>
    <n v="27818965"/>
    <x v="0"/>
    <x v="1063"/>
    <s v="SV 596_2022-07-29T08x00x00"/>
    <s v="A320"/>
    <x v="0"/>
    <x v="0"/>
    <x v="2"/>
    <s v="Operational"/>
    <s v="SV 596"/>
    <m/>
    <m/>
    <m/>
    <m/>
    <x v="0"/>
    <x v="0"/>
  </r>
  <r>
    <n v="27818974"/>
    <x v="0"/>
    <x v="1064"/>
    <s v="EK 527_2022-07-29T08x10x00"/>
    <s v="B777/3-ER"/>
    <x v="4"/>
    <x v="86"/>
    <x v="2"/>
    <s v="Operational"/>
    <s v="EK 527"/>
    <m/>
    <m/>
    <m/>
    <m/>
    <x v="0"/>
    <x v="0"/>
  </r>
  <r>
    <n v="27818977"/>
    <x v="0"/>
    <x v="1065"/>
    <s v="EK 337_2022-07-29T08x10x00"/>
    <s v="B777/3-ER"/>
    <x v="3"/>
    <x v="59"/>
    <x v="2"/>
    <s v="Operational"/>
    <s v="EK 337"/>
    <m/>
    <m/>
    <m/>
    <m/>
    <x v="0"/>
    <x v="0"/>
  </r>
  <r>
    <n v="27818981"/>
    <x v="0"/>
    <x v="1066"/>
    <s v="SV 596_2022-07-29T08x00x00"/>
    <s v="A320"/>
    <x v="0"/>
    <x v="0"/>
    <x v="0"/>
    <s v="Operational"/>
    <s v="SV 596"/>
    <m/>
    <m/>
    <m/>
    <m/>
    <x v="0"/>
    <x v="0"/>
  </r>
  <r>
    <n v="27818990"/>
    <x v="0"/>
    <x v="1067"/>
    <s v="FZ 836_2022-07-29T07x50x00"/>
    <s v="B737/8-MAX"/>
    <x v="1"/>
    <x v="101"/>
    <x v="4"/>
    <s v="Operational"/>
    <s v="FZ 836"/>
    <m/>
    <m/>
    <m/>
    <m/>
    <x v="0"/>
    <x v="0"/>
  </r>
  <r>
    <n v="27819007"/>
    <x v="0"/>
    <x v="1068"/>
    <s v="EK 527_2022-07-29T08x10x00"/>
    <s v="B777/3-ER"/>
    <x v="4"/>
    <x v="86"/>
    <x v="0"/>
    <s v="Operational"/>
    <s v="EK 527"/>
    <m/>
    <m/>
    <m/>
    <m/>
    <x v="0"/>
    <x v="0"/>
  </r>
  <r>
    <n v="27819021"/>
    <x v="0"/>
    <x v="1069"/>
    <s v="GF 504_2022-07-29T08x05x00"/>
    <s v="A320-NEO"/>
    <x v="0"/>
    <x v="63"/>
    <x v="2"/>
    <s v="Operational"/>
    <s v="GF 504"/>
    <m/>
    <m/>
    <m/>
    <m/>
    <x v="0"/>
    <x v="0"/>
  </r>
  <r>
    <n v="27819026"/>
    <x v="0"/>
    <x v="1070"/>
    <s v="FZ 8747_2022-07-29T07x55x00"/>
    <s v="B737/8-MAX"/>
    <x v="1"/>
    <x v="69"/>
    <x v="1"/>
    <s v="Operational"/>
    <s v="FZ 8747"/>
    <m/>
    <m/>
    <m/>
    <m/>
    <x v="0"/>
    <x v="0"/>
  </r>
  <r>
    <n v="27819033"/>
    <x v="0"/>
    <x v="1071"/>
    <s v="EK 337_2022-07-29T08x10x00"/>
    <s v="B777/3-ER"/>
    <x v="3"/>
    <x v="59"/>
    <x v="0"/>
    <s v="Operational"/>
    <s v="EK 337"/>
    <m/>
    <m/>
    <m/>
    <m/>
    <x v="0"/>
    <x v="0"/>
  </r>
  <r>
    <n v="27819046"/>
    <x v="0"/>
    <x v="1072"/>
    <m/>
    <m/>
    <x v="4"/>
    <x v="141"/>
    <x v="6"/>
    <s v="Operational"/>
    <m/>
    <m/>
    <m/>
    <m/>
    <m/>
    <x v="0"/>
    <x v="0"/>
  </r>
  <r>
    <n v="27819081"/>
    <x v="0"/>
    <x v="1073"/>
    <s v="GF 504_2022-07-29T08x05x00"/>
    <s v="A320-NEO"/>
    <x v="0"/>
    <x v="63"/>
    <x v="0"/>
    <s v="Operational"/>
    <s v="GF 504"/>
    <m/>
    <m/>
    <m/>
    <m/>
    <x v="0"/>
    <x v="0"/>
  </r>
  <r>
    <n v="27819094"/>
    <x v="0"/>
    <x v="1074"/>
    <s v="6E 068_2022-07-29T07x50x00"/>
    <s v="A320-NEO"/>
    <x v="0"/>
    <x v="50"/>
    <x v="1"/>
    <s v="Operational"/>
    <s v="6E 068"/>
    <m/>
    <m/>
    <m/>
    <m/>
    <x v="0"/>
    <x v="0"/>
  </r>
  <r>
    <n v="27819106"/>
    <x v="0"/>
    <x v="1075"/>
    <m/>
    <m/>
    <x v="4"/>
    <x v="119"/>
    <x v="12"/>
    <s v="Operational"/>
    <m/>
    <m/>
    <m/>
    <m/>
    <m/>
    <x v="0"/>
    <x v="0"/>
  </r>
  <r>
    <n v="27819126"/>
    <x v="0"/>
    <x v="1076"/>
    <s v="RQ 912_2022-07-29T07x45x00"/>
    <s v="B737/3"/>
    <x v="0"/>
    <x v="92"/>
    <x v="1"/>
    <s v="Operational"/>
    <s v="RQ 912"/>
    <m/>
    <m/>
    <m/>
    <m/>
    <x v="0"/>
    <x v="0"/>
  </r>
  <r>
    <n v="27819135"/>
    <x v="0"/>
    <x v="1077"/>
    <s v="FZ 054_2022-07-29T07x25x00"/>
    <s v="B737/8"/>
    <x v="1"/>
    <x v="116"/>
    <x v="2"/>
    <s v="Operational"/>
    <s v="FZ 054"/>
    <m/>
    <m/>
    <m/>
    <m/>
    <x v="0"/>
    <x v="0"/>
  </r>
  <r>
    <n v="27819142"/>
    <x v="0"/>
    <x v="1078"/>
    <s v="KU 671_2022-07-29T08x10x00"/>
    <s v="A320-NEO"/>
    <x v="0"/>
    <x v="63"/>
    <x v="3"/>
    <s v="Operational"/>
    <s v="KU 671"/>
    <m/>
    <m/>
    <m/>
    <m/>
    <x v="0"/>
    <x v="0"/>
  </r>
  <r>
    <n v="27819148"/>
    <x v="0"/>
    <x v="1079"/>
    <s v="QB 2203_2022-07-29T07x45x00"/>
    <s v="A320"/>
    <x v="1"/>
    <x v="72"/>
    <x v="1"/>
    <s v="Operational"/>
    <s v="QB 2203"/>
    <m/>
    <m/>
    <m/>
    <m/>
    <x v="0"/>
    <x v="0"/>
  </r>
  <r>
    <n v="27819161"/>
    <x v="0"/>
    <x v="1080"/>
    <s v="FZ 054_2022-07-29T07x25x00"/>
    <s v="B737/8"/>
    <x v="1"/>
    <x v="116"/>
    <x v="0"/>
    <s v="Operational"/>
    <s v="FZ 054"/>
    <m/>
    <m/>
    <m/>
    <m/>
    <x v="0"/>
    <x v="0"/>
  </r>
  <r>
    <n v="27819208"/>
    <x v="0"/>
    <x v="1081"/>
    <m/>
    <m/>
    <x v="3"/>
    <x v="44"/>
    <x v="5"/>
    <s v="Operational"/>
    <m/>
    <m/>
    <m/>
    <m/>
    <m/>
    <x v="0"/>
    <x v="0"/>
  </r>
  <r>
    <n v="27819212"/>
    <x v="0"/>
    <x v="1082"/>
    <m/>
    <m/>
    <x v="3"/>
    <x v="44"/>
    <x v="6"/>
    <s v="Operational"/>
    <m/>
    <m/>
    <m/>
    <m/>
    <m/>
    <x v="0"/>
    <x v="0"/>
  </r>
  <r>
    <n v="27819219"/>
    <x v="0"/>
    <x v="1083"/>
    <s v="FZ 836_2022-07-29T07x50x00"/>
    <s v="B737/8-MAX"/>
    <x v="1"/>
    <x v="101"/>
    <x v="15"/>
    <s v="Technical"/>
    <s v="FZ 836"/>
    <m/>
    <m/>
    <m/>
    <m/>
    <x v="0"/>
    <x v="0"/>
  </r>
  <r>
    <n v="27819228"/>
    <x v="0"/>
    <x v="1084"/>
    <s v="FZ 836_2022-07-29T07x50x00"/>
    <s v="B737/8-MAX"/>
    <x v="1"/>
    <x v="101"/>
    <x v="17"/>
    <s v="Technical"/>
    <s v="FZ 836"/>
    <m/>
    <m/>
    <m/>
    <m/>
    <x v="0"/>
    <x v="0"/>
  </r>
  <r>
    <n v="27819234"/>
    <x v="0"/>
    <x v="1085"/>
    <s v="EK 051_2022-07-29T12x30x00"/>
    <s v="A320/2"/>
    <x v="3"/>
    <x v="44"/>
    <x v="23"/>
    <s v="Operational"/>
    <m/>
    <m/>
    <m/>
    <m/>
    <m/>
    <x v="0"/>
    <x v="0"/>
  </r>
  <r>
    <n v="27819237"/>
    <x v="0"/>
    <x v="1086"/>
    <m/>
    <m/>
    <x v="3"/>
    <x v="46"/>
    <x v="6"/>
    <s v="Operational"/>
    <m/>
    <m/>
    <m/>
    <m/>
    <m/>
    <x v="0"/>
    <x v="0"/>
  </r>
  <r>
    <n v="27819275"/>
    <x v="0"/>
    <x v="1087"/>
    <s v="IRB 9720_2022-07-29T08x05x00"/>
    <s v="A300/6"/>
    <x v="0"/>
    <x v="88"/>
    <x v="3"/>
    <s v="Operational"/>
    <s v="IRB 9720"/>
    <m/>
    <m/>
    <m/>
    <m/>
    <x v="0"/>
    <x v="0"/>
  </r>
  <r>
    <n v="27819296"/>
    <x v="0"/>
    <x v="1088"/>
    <s v="FZ 836_2022-07-29T07x50x00"/>
    <s v="B737/8-MAX"/>
    <x v="1"/>
    <x v="101"/>
    <x v="2"/>
    <s v="Operational"/>
    <s v="FZ 836"/>
    <m/>
    <m/>
    <m/>
    <m/>
    <x v="0"/>
    <x v="0"/>
  </r>
  <r>
    <n v="27819305"/>
    <x v="0"/>
    <x v="1089"/>
    <s v="FZ 836_2022-07-29T07x50x00"/>
    <s v="B737/8-MAX"/>
    <x v="1"/>
    <x v="101"/>
    <x v="0"/>
    <s v="Operational"/>
    <s v="FZ 836"/>
    <m/>
    <m/>
    <m/>
    <m/>
    <x v="0"/>
    <x v="0"/>
  </r>
  <r>
    <n v="27819332"/>
    <x v="0"/>
    <x v="1090"/>
    <s v="FX 5170_2022-07-29T08x40x00"/>
    <s v="B777/2"/>
    <x v="1"/>
    <x v="159"/>
    <x v="3"/>
    <s v="Operational"/>
    <s v="FX 5170"/>
    <m/>
    <m/>
    <m/>
    <m/>
    <x v="0"/>
    <x v="0"/>
  </r>
  <r>
    <n v="27819335"/>
    <x v="0"/>
    <x v="1091"/>
    <s v="FX 5170_2022-07-29T08x40x00"/>
    <s v="B777/2"/>
    <x v="1"/>
    <x v="159"/>
    <x v="4"/>
    <s v="Operational"/>
    <s v="FX 5170"/>
    <m/>
    <m/>
    <m/>
    <m/>
    <x v="0"/>
    <x v="0"/>
  </r>
  <r>
    <n v="27819384"/>
    <x v="0"/>
    <x v="1092"/>
    <s v="KU 671_2022-07-29T08x10x00"/>
    <s v="A320-NEO"/>
    <x v="0"/>
    <x v="63"/>
    <x v="10"/>
    <s v="Operational"/>
    <s v="KU 671"/>
    <m/>
    <m/>
    <m/>
    <m/>
    <x v="0"/>
    <x v="0"/>
  </r>
  <r>
    <n v="27819385"/>
    <x v="0"/>
    <x v="1093"/>
    <s v="KU 671_2022-07-29T08x10x00"/>
    <s v="A320-NEO"/>
    <x v="0"/>
    <x v="63"/>
    <x v="11"/>
    <s v="Operational"/>
    <s v="KU 671"/>
    <m/>
    <m/>
    <m/>
    <m/>
    <x v="0"/>
    <x v="0"/>
  </r>
  <r>
    <n v="27819393"/>
    <x v="0"/>
    <x v="1094"/>
    <s v="EK 657_2022-07-29T08x15x00"/>
    <s v="B777/3-ER"/>
    <x v="4"/>
    <x v="97"/>
    <x v="3"/>
    <s v="Operational"/>
    <s v="EK 657"/>
    <m/>
    <m/>
    <m/>
    <m/>
    <x v="0"/>
    <x v="0"/>
  </r>
  <r>
    <n v="27819419"/>
    <x v="0"/>
    <x v="1095"/>
    <s v="IRB 9720_2022-07-29T08x05x00"/>
    <s v="A300/6"/>
    <x v="0"/>
    <x v="88"/>
    <x v="4"/>
    <s v="Operational"/>
    <s v="IRB 9720"/>
    <m/>
    <m/>
    <m/>
    <m/>
    <x v="0"/>
    <x v="0"/>
  </r>
  <r>
    <n v="27819433"/>
    <x v="0"/>
    <x v="1096"/>
    <s v="EK 657_2022-07-29T08x15x00"/>
    <s v="B777/3-ER"/>
    <x v="4"/>
    <x v="97"/>
    <x v="4"/>
    <s v="Operational"/>
    <s v="EK 657"/>
    <m/>
    <m/>
    <m/>
    <m/>
    <x v="0"/>
    <x v="0"/>
  </r>
  <r>
    <n v="27819443"/>
    <x v="0"/>
    <x v="1097"/>
    <s v="AH 4063_2022-07-29T05x50x00"/>
    <s v="A330/2"/>
    <x v="0"/>
    <x v="17"/>
    <x v="1"/>
    <s v="Operational"/>
    <s v="AH 4063"/>
    <m/>
    <m/>
    <m/>
    <m/>
    <x v="0"/>
    <x v="0"/>
  </r>
  <r>
    <n v="27819479"/>
    <x v="0"/>
    <x v="1098"/>
    <s v="SV 567_2022-07-29T08x10x00"/>
    <s v="A320"/>
    <x v="0"/>
    <x v="3"/>
    <x v="1"/>
    <s v="Operational"/>
    <s v="SV 567"/>
    <m/>
    <m/>
    <m/>
    <m/>
    <x v="0"/>
    <x v="0"/>
  </r>
  <r>
    <n v="27819493"/>
    <x v="0"/>
    <x v="1099"/>
    <s v="KU 671_2022-07-29T08x10x00"/>
    <s v="A320-NEO"/>
    <x v="0"/>
    <x v="63"/>
    <x v="2"/>
    <s v="Operational"/>
    <s v="KU 671"/>
    <m/>
    <m/>
    <m/>
    <m/>
    <x v="0"/>
    <x v="0"/>
  </r>
  <r>
    <n v="27819502"/>
    <x v="0"/>
    <x v="1100"/>
    <s v="KU 671_2022-07-29T08x10x00"/>
    <s v="A320-NEO"/>
    <x v="0"/>
    <x v="63"/>
    <x v="0"/>
    <s v="Operational"/>
    <s v="KU 671"/>
    <m/>
    <m/>
    <m/>
    <m/>
    <x v="0"/>
    <x v="0"/>
  </r>
  <r>
    <n v="27819546"/>
    <x v="0"/>
    <x v="1101"/>
    <s v="EK 803_2022-07-29T12x00x00"/>
    <s v="A380/8"/>
    <x v="4"/>
    <x v="141"/>
    <x v="2"/>
    <s v="Operational"/>
    <s v="EK 803"/>
    <m/>
    <m/>
    <m/>
    <m/>
    <x v="0"/>
    <x v="0"/>
  </r>
  <r>
    <n v="27819563"/>
    <x v="0"/>
    <x v="1102"/>
    <s v="EK 820_2022-07-29T08x30x00"/>
    <s v="B777/3-ER"/>
    <x v="4"/>
    <x v="136"/>
    <x v="3"/>
    <s v="Operational"/>
    <s v="EK 820"/>
    <m/>
    <m/>
    <m/>
    <m/>
    <x v="0"/>
    <x v="0"/>
  </r>
  <r>
    <n v="27819577"/>
    <x v="0"/>
    <x v="1103"/>
    <s v="FX 5170_2022-07-29T08x40x00"/>
    <s v="B777/2"/>
    <x v="1"/>
    <x v="159"/>
    <x v="2"/>
    <s v="Operational"/>
    <s v="FX 5170"/>
    <m/>
    <m/>
    <m/>
    <m/>
    <x v="0"/>
    <x v="0"/>
  </r>
  <r>
    <n v="27819585"/>
    <x v="0"/>
    <x v="1104"/>
    <s v="FX 5170_2022-07-29T08x40x00"/>
    <s v="B777/2"/>
    <x v="1"/>
    <x v="159"/>
    <x v="0"/>
    <s v="Operational"/>
    <s v="FX 5170"/>
    <m/>
    <m/>
    <m/>
    <m/>
    <x v="0"/>
    <x v="0"/>
  </r>
  <r>
    <n v="27819596"/>
    <x v="0"/>
    <x v="1105"/>
    <s v="EK 803_2022-07-29T12x00x00"/>
    <s v="A380/8"/>
    <x v="4"/>
    <x v="141"/>
    <x v="0"/>
    <s v="Operational"/>
    <s v="EK 803"/>
    <m/>
    <m/>
    <m/>
    <m/>
    <x v="0"/>
    <x v="0"/>
  </r>
  <r>
    <n v="27819601"/>
    <x v="0"/>
    <x v="1106"/>
    <s v="IRB 9720_2022-07-29T08x05x00"/>
    <s v="A300/6"/>
    <x v="0"/>
    <x v="88"/>
    <x v="2"/>
    <s v="Operational"/>
    <s v="IRB 9720"/>
    <m/>
    <m/>
    <m/>
    <m/>
    <x v="0"/>
    <x v="0"/>
  </r>
  <r>
    <n v="27819611"/>
    <x v="0"/>
    <x v="1107"/>
    <s v="IRB 9720_2022-07-29T08x05x00"/>
    <s v="A300/6"/>
    <x v="0"/>
    <x v="88"/>
    <x v="0"/>
    <s v="Operational"/>
    <s v="IRB 9720"/>
    <m/>
    <m/>
    <m/>
    <m/>
    <x v="0"/>
    <x v="0"/>
  </r>
  <r>
    <n v="27819625"/>
    <x v="0"/>
    <x v="1108"/>
    <s v="FZ 002_2022-07-29T08x15x00"/>
    <s v="B737/8-MAX"/>
    <x v="1"/>
    <x v="43"/>
    <x v="3"/>
    <s v="Operational"/>
    <s v="FZ 002"/>
    <m/>
    <m/>
    <m/>
    <m/>
    <x v="0"/>
    <x v="0"/>
  </r>
  <r>
    <n v="27819629"/>
    <x v="0"/>
    <x v="1109"/>
    <s v="FZ 002_2022-07-29T08x15x00"/>
    <s v="B737/8-MAX"/>
    <x v="1"/>
    <x v="43"/>
    <x v="4"/>
    <s v="Operational"/>
    <s v="FZ 002"/>
    <m/>
    <m/>
    <m/>
    <m/>
    <x v="0"/>
    <x v="0"/>
  </r>
  <r>
    <n v="27819655"/>
    <x v="0"/>
    <x v="1110"/>
    <s v="EK 657_2022-07-29T08x15x00"/>
    <s v="B777/3-ER"/>
    <x v="4"/>
    <x v="97"/>
    <x v="2"/>
    <s v="Operational"/>
    <s v="EK 657"/>
    <m/>
    <m/>
    <m/>
    <m/>
    <x v="0"/>
    <x v="0"/>
  </r>
  <r>
    <n v="27819666"/>
    <x v="0"/>
    <x v="1111"/>
    <s v="EK 657_2022-07-29T08x15x00"/>
    <s v="B777/3-ER"/>
    <x v="4"/>
    <x v="97"/>
    <x v="0"/>
    <s v="Operational"/>
    <s v="EK 657"/>
    <m/>
    <m/>
    <m/>
    <m/>
    <x v="0"/>
    <x v="0"/>
  </r>
  <r>
    <n v="27819698"/>
    <x v="0"/>
    <x v="1112"/>
    <s v="EK 565_2022-07-29T08x45x00"/>
    <s v="B777/3-ER"/>
    <x v="4"/>
    <x v="41"/>
    <x v="3"/>
    <s v="Operational"/>
    <s v="EK 565"/>
    <m/>
    <m/>
    <m/>
    <m/>
    <x v="0"/>
    <x v="0"/>
  </r>
  <r>
    <n v="27819722"/>
    <x v="0"/>
    <x v="1113"/>
    <s v="EK 565_2022-07-29T08x45x00"/>
    <s v="B777/3-ER"/>
    <x v="4"/>
    <x v="41"/>
    <x v="4"/>
    <s v="Operational"/>
    <s v="EK 565"/>
    <m/>
    <m/>
    <m/>
    <m/>
    <x v="0"/>
    <x v="0"/>
  </r>
  <r>
    <n v="27819732"/>
    <x v="0"/>
    <x v="1114"/>
    <s v="FZ 1687_2022-07-29T07x35x00"/>
    <s v="B737/8-MAX"/>
    <x v="5"/>
    <x v="140"/>
    <x v="1"/>
    <s v="Operational"/>
    <s v="FZ 1687"/>
    <m/>
    <m/>
    <m/>
    <m/>
    <x v="0"/>
    <x v="0"/>
  </r>
  <r>
    <n v="27819746"/>
    <x v="0"/>
    <x v="1115"/>
    <s v="EK 748_2022-07-29T21x25x00"/>
    <s v="B777/3-ER"/>
    <x v="6"/>
    <x v="160"/>
    <x v="1"/>
    <s v="Operational"/>
    <m/>
    <m/>
    <m/>
    <m/>
    <m/>
    <x v="0"/>
    <x v="0"/>
  </r>
  <r>
    <n v="27819753"/>
    <x v="0"/>
    <x v="1116"/>
    <s v="EK 131_2022-07-29T12x15x00"/>
    <s v="A380/8"/>
    <x v="3"/>
    <x v="46"/>
    <x v="2"/>
    <s v="Operational"/>
    <s v="EK 131"/>
    <m/>
    <m/>
    <m/>
    <m/>
    <x v="0"/>
    <x v="0"/>
  </r>
  <r>
    <n v="27819761"/>
    <x v="0"/>
    <x v="1117"/>
    <s v="EK 131_2022-07-29T12x15x00"/>
    <s v="A380/8"/>
    <x v="3"/>
    <x v="46"/>
    <x v="0"/>
    <s v="Operational"/>
    <s v="EK 131"/>
    <m/>
    <m/>
    <m/>
    <m/>
    <x v="0"/>
    <x v="0"/>
  </r>
  <r>
    <n v="27819771"/>
    <x v="0"/>
    <x v="1118"/>
    <m/>
    <s v="B777/3-ER"/>
    <x v="6"/>
    <x v="161"/>
    <x v="1"/>
    <s v="Operational"/>
    <m/>
    <m/>
    <m/>
    <m/>
    <m/>
    <x v="0"/>
    <x v="0"/>
  </r>
  <r>
    <n v="27819777"/>
    <x v="0"/>
    <x v="1119"/>
    <s v="EK 820_2022-07-29T08x30x00"/>
    <s v="B777/3-ER"/>
    <x v="4"/>
    <x v="136"/>
    <x v="4"/>
    <s v="Operational"/>
    <s v="EK 820"/>
    <m/>
    <m/>
    <m/>
    <m/>
    <x v="0"/>
    <x v="0"/>
  </r>
  <r>
    <n v="27819796"/>
    <x v="0"/>
    <x v="1120"/>
    <s v="IA 123_2022-07-29T08x45x00"/>
    <s v="B737/8"/>
    <x v="1"/>
    <x v="87"/>
    <x v="3"/>
    <s v="Operational"/>
    <s v="IA 123"/>
    <m/>
    <m/>
    <m/>
    <m/>
    <x v="0"/>
    <x v="0"/>
  </r>
  <r>
    <n v="27819799"/>
    <x v="0"/>
    <x v="1121"/>
    <s v="IA 123_2022-07-29T08x45x00"/>
    <s v="B737/8"/>
    <x v="1"/>
    <x v="87"/>
    <x v="4"/>
    <s v="Operational"/>
    <s v="IA 123"/>
    <m/>
    <m/>
    <m/>
    <m/>
    <x v="0"/>
    <x v="0"/>
  </r>
  <r>
    <n v="27819830"/>
    <x v="0"/>
    <x v="1122"/>
    <s v="EK 820_2022-07-29T08x30x00"/>
    <s v="B777/3-ER"/>
    <x v="4"/>
    <x v="136"/>
    <x v="2"/>
    <s v="Operational"/>
    <s v="EK 820"/>
    <m/>
    <m/>
    <m/>
    <m/>
    <x v="0"/>
    <x v="0"/>
  </r>
  <r>
    <n v="27819831"/>
    <x v="0"/>
    <x v="1123"/>
    <s v="XY 502_2022-07-29T08x00x00"/>
    <s v="A320-NEO"/>
    <x v="0"/>
    <x v="12"/>
    <x v="1"/>
    <s v="Operational"/>
    <s v="XY 502"/>
    <m/>
    <m/>
    <m/>
    <m/>
    <x v="0"/>
    <x v="0"/>
  </r>
  <r>
    <n v="27819851"/>
    <x v="0"/>
    <x v="1124"/>
    <s v="EK 820_2022-07-29T08x30x00"/>
    <s v="B777/3-ER"/>
    <x v="4"/>
    <x v="136"/>
    <x v="0"/>
    <s v="Operational"/>
    <s v="EK 820"/>
    <m/>
    <m/>
    <m/>
    <m/>
    <x v="0"/>
    <x v="0"/>
  </r>
  <r>
    <n v="27819862"/>
    <x v="0"/>
    <x v="1125"/>
    <s v="EK 838_2022-07-29T08x40x00"/>
    <s v="B777/3-ER"/>
    <x v="4"/>
    <x v="123"/>
    <x v="3"/>
    <s v="Operational"/>
    <s v="EK 838"/>
    <m/>
    <m/>
    <m/>
    <m/>
    <x v="0"/>
    <x v="0"/>
  </r>
  <r>
    <n v="27819870"/>
    <x v="0"/>
    <x v="1126"/>
    <s v="EK 571_2022-07-29T09x10x00"/>
    <s v="B777/3-ER"/>
    <x v="3"/>
    <x v="85"/>
    <x v="3"/>
    <s v="Operational"/>
    <s v="EK 571"/>
    <m/>
    <m/>
    <m/>
    <m/>
    <x v="0"/>
    <x v="0"/>
  </r>
  <r>
    <n v="27819873"/>
    <x v="0"/>
    <x v="1126"/>
    <s v="FZ 002_2022-07-29T08x15x00"/>
    <s v="B737/8-MAX"/>
    <x v="1"/>
    <x v="43"/>
    <x v="2"/>
    <s v="Operational"/>
    <s v="FZ 002"/>
    <m/>
    <m/>
    <m/>
    <m/>
    <x v="0"/>
    <x v="0"/>
  </r>
  <r>
    <n v="27819884"/>
    <x v="0"/>
    <x v="1127"/>
    <s v="FZ 002_2022-07-29T08x15x00"/>
    <s v="B737/8-MAX"/>
    <x v="1"/>
    <x v="43"/>
    <x v="0"/>
    <s v="Operational"/>
    <s v="FZ 002"/>
    <m/>
    <m/>
    <m/>
    <m/>
    <x v="0"/>
    <x v="0"/>
  </r>
  <r>
    <n v="27819917"/>
    <x v="0"/>
    <x v="1128"/>
    <s v="FZ 326_2022-07-29T08x40x00"/>
    <s v="B737/8"/>
    <x v="1"/>
    <x v="34"/>
    <x v="3"/>
    <s v="Operational"/>
    <s v="FZ 326"/>
    <m/>
    <m/>
    <m/>
    <m/>
    <x v="0"/>
    <x v="0"/>
  </r>
  <r>
    <n v="27819922"/>
    <x v="0"/>
    <x v="1129"/>
    <s v="FZ 326_2022-07-29T08x40x00"/>
    <s v="B737/8"/>
    <x v="1"/>
    <x v="34"/>
    <x v="4"/>
    <s v="Operational"/>
    <s v="FZ 326"/>
    <m/>
    <m/>
    <m/>
    <m/>
    <x v="0"/>
    <x v="0"/>
  </r>
  <r>
    <n v="27819940"/>
    <x v="0"/>
    <x v="1130"/>
    <s v="IA 123_2022-07-29T08x45x00"/>
    <s v="B737/8"/>
    <x v="1"/>
    <x v="87"/>
    <x v="2"/>
    <s v="Operational"/>
    <s v="IA 123"/>
    <m/>
    <m/>
    <m/>
    <m/>
    <x v="0"/>
    <x v="0"/>
  </r>
  <r>
    <n v="27819943"/>
    <x v="0"/>
    <x v="1131"/>
    <m/>
    <s v="B777/3-ER"/>
    <x v="6"/>
    <x v="162"/>
    <x v="1"/>
    <s v="Operational"/>
    <m/>
    <m/>
    <m/>
    <m/>
    <m/>
    <x v="0"/>
    <x v="0"/>
  </r>
  <r>
    <n v="27819947"/>
    <x v="0"/>
    <x v="1132"/>
    <s v="IA 123_2022-07-29T08x45x00"/>
    <s v="B737/8"/>
    <x v="1"/>
    <x v="87"/>
    <x v="0"/>
    <s v="Operational"/>
    <s v="IA 123"/>
    <m/>
    <m/>
    <m/>
    <m/>
    <x v="0"/>
    <x v="0"/>
  </r>
  <r>
    <n v="27819961"/>
    <x v="0"/>
    <x v="1133"/>
    <s v="EK 571_2022-07-29T09x10x00"/>
    <s v="B777/3-ER"/>
    <x v="3"/>
    <x v="85"/>
    <x v="4"/>
    <s v="Operational"/>
    <s v="EK 571"/>
    <m/>
    <m/>
    <m/>
    <m/>
    <x v="0"/>
    <x v="0"/>
  </r>
  <r>
    <n v="27819989"/>
    <x v="0"/>
    <x v="1134"/>
    <s v="EK 565_2022-07-29T08x45x00"/>
    <s v="B777/3-ER"/>
    <x v="4"/>
    <x v="41"/>
    <x v="2"/>
    <s v="Operational"/>
    <s v="EK 565"/>
    <m/>
    <m/>
    <m/>
    <m/>
    <x v="0"/>
    <x v="0"/>
  </r>
  <r>
    <n v="27820015"/>
    <x v="0"/>
    <x v="1135"/>
    <m/>
    <m/>
    <x v="3"/>
    <x v="124"/>
    <x v="6"/>
    <s v="Operational"/>
    <m/>
    <m/>
    <m/>
    <m/>
    <m/>
    <x v="0"/>
    <x v="0"/>
  </r>
  <r>
    <n v="27820021"/>
    <x v="0"/>
    <x v="1136"/>
    <s v="FZ 8869_2022-07-29T08x00x00"/>
    <s v="B737/8"/>
    <x v="1"/>
    <x v="1"/>
    <x v="1"/>
    <s v="Operational"/>
    <s v="FZ 8869"/>
    <m/>
    <m/>
    <m/>
    <m/>
    <x v="0"/>
    <x v="0"/>
  </r>
  <r>
    <n v="27820027"/>
    <x v="0"/>
    <x v="1137"/>
    <s v="EK 565_2022-07-29T08x45x00"/>
    <s v="B777/3-ER"/>
    <x v="4"/>
    <x v="41"/>
    <x v="0"/>
    <s v="Operational"/>
    <s v="EK 565"/>
    <m/>
    <m/>
    <m/>
    <m/>
    <x v="0"/>
    <x v="0"/>
  </r>
  <r>
    <n v="27820042"/>
    <x v="0"/>
    <x v="1138"/>
    <m/>
    <m/>
    <x v="3"/>
    <x v="44"/>
    <x v="6"/>
    <s v="Operational"/>
    <m/>
    <m/>
    <m/>
    <m/>
    <m/>
    <x v="0"/>
    <x v="0"/>
  </r>
  <r>
    <n v="27820048"/>
    <x v="0"/>
    <x v="1139"/>
    <m/>
    <m/>
    <x v="3"/>
    <x v="78"/>
    <x v="6"/>
    <s v="Operational"/>
    <m/>
    <m/>
    <m/>
    <m/>
    <m/>
    <x v="0"/>
    <x v="0"/>
  </r>
  <r>
    <n v="27820062"/>
    <x v="0"/>
    <x v="1140"/>
    <s v="EK 511_2022-07-29T09x00x00"/>
    <s v="B777/3-ER"/>
    <x v="4"/>
    <x v="25"/>
    <x v="3"/>
    <s v="Operational"/>
    <s v="EK 511"/>
    <m/>
    <m/>
    <m/>
    <m/>
    <x v="0"/>
    <x v="0"/>
  </r>
  <r>
    <n v="27820081"/>
    <x v="0"/>
    <x v="1141"/>
    <s v="EK 511_2022-07-29T09x00x00"/>
    <s v="B777/3-ER"/>
    <x v="4"/>
    <x v="25"/>
    <x v="4"/>
    <s v="Operational"/>
    <s v="EK 511"/>
    <m/>
    <m/>
    <m/>
    <m/>
    <x v="0"/>
    <x v="0"/>
  </r>
  <r>
    <n v="27820097"/>
    <x v="0"/>
    <x v="1142"/>
    <s v="IX 814_2022-07-29T08x20x00"/>
    <s v="B737/8"/>
    <x v="1"/>
    <x v="96"/>
    <x v="1"/>
    <s v="Operational"/>
    <s v="IX 814"/>
    <m/>
    <m/>
    <m/>
    <m/>
    <x v="0"/>
    <x v="0"/>
  </r>
  <r>
    <n v="27820104"/>
    <x v="0"/>
    <x v="1143"/>
    <s v="IX 383_2022-07-29T05x05x00"/>
    <s v="B737/8"/>
    <x v="1"/>
    <x v="96"/>
    <x v="3"/>
    <s v="Operational"/>
    <s v="IX 383"/>
    <m/>
    <m/>
    <m/>
    <m/>
    <x v="0"/>
    <x v="0"/>
  </r>
  <r>
    <n v="27820110"/>
    <x v="0"/>
    <x v="1144"/>
    <m/>
    <m/>
    <x v="0"/>
    <x v="14"/>
    <x v="12"/>
    <s v="Operational"/>
    <m/>
    <m/>
    <m/>
    <m/>
    <m/>
    <x v="0"/>
    <x v="0"/>
  </r>
  <r>
    <n v="27820118"/>
    <x v="0"/>
    <x v="1145"/>
    <s v="FZ 1820_2022-07-29T08x25x00"/>
    <s v="B737/8-MAX"/>
    <x v="5"/>
    <x v="147"/>
    <x v="3"/>
    <s v="Operational"/>
    <s v="FZ 1820"/>
    <m/>
    <m/>
    <m/>
    <m/>
    <x v="0"/>
    <x v="0"/>
  </r>
  <r>
    <n v="27820127"/>
    <x v="0"/>
    <x v="1146"/>
    <s v="EK 838_2022-07-29T08x40x00"/>
    <s v="B777/3-ER"/>
    <x v="4"/>
    <x v="123"/>
    <x v="4"/>
    <s v="Operational"/>
    <s v="EK 838"/>
    <m/>
    <m/>
    <m/>
    <m/>
    <x v="0"/>
    <x v="0"/>
  </r>
  <r>
    <n v="27820138"/>
    <x v="0"/>
    <x v="1147"/>
    <s v="IX 383_2022-07-29T05x05x00"/>
    <s v="B737/8"/>
    <x v="1"/>
    <x v="96"/>
    <x v="4"/>
    <s v="Operational"/>
    <s v="IX 383"/>
    <m/>
    <m/>
    <m/>
    <m/>
    <x v="0"/>
    <x v="0"/>
  </r>
  <r>
    <n v="27820155"/>
    <x v="0"/>
    <x v="1148"/>
    <s v="EK 125_2022-07-29T11x55x00"/>
    <s v="B777/3-ER"/>
    <x v="3"/>
    <x v="124"/>
    <x v="2"/>
    <s v="Operational"/>
    <s v="EK 125"/>
    <m/>
    <m/>
    <m/>
    <m/>
    <x v="0"/>
    <x v="0"/>
  </r>
  <r>
    <n v="27820183"/>
    <x v="0"/>
    <x v="1149"/>
    <s v="IX 383_2022-07-29T05x05x00"/>
    <s v="B737/8"/>
    <x v="1"/>
    <x v="96"/>
    <x v="2"/>
    <s v="Operational"/>
    <s v="IX 383"/>
    <m/>
    <m/>
    <m/>
    <m/>
    <x v="0"/>
    <x v="0"/>
  </r>
  <r>
    <n v="27820185"/>
    <x v="0"/>
    <x v="1150"/>
    <s v="EK 236_2022-07-29T08x35x00"/>
    <s v="B777/3-ER"/>
    <x v="3"/>
    <x v="124"/>
    <x v="0"/>
    <s v="Operational"/>
    <s v="EK 125"/>
    <m/>
    <m/>
    <m/>
    <m/>
    <x v="0"/>
    <x v="0"/>
  </r>
  <r>
    <n v="27820201"/>
    <x v="0"/>
    <x v="1151"/>
    <s v="EK 706_2022-07-29T08x45x00"/>
    <s v="B777/3-ER"/>
    <x v="2"/>
    <x v="100"/>
    <x v="3"/>
    <s v="Operational"/>
    <s v="EK 706"/>
    <m/>
    <m/>
    <m/>
    <m/>
    <x v="0"/>
    <x v="0"/>
  </r>
  <r>
    <n v="27820206"/>
    <x v="0"/>
    <x v="1152"/>
    <m/>
    <s v="B777/3-ER"/>
    <x v="6"/>
    <x v="163"/>
    <x v="19"/>
    <s v="Operational"/>
    <m/>
    <m/>
    <m/>
    <m/>
    <m/>
    <x v="0"/>
    <x v="0"/>
  </r>
  <r>
    <n v="27820216"/>
    <x v="0"/>
    <x v="1153"/>
    <s v="IX 383_2022-07-29T05x05x00"/>
    <s v="B737/8"/>
    <x v="1"/>
    <x v="96"/>
    <x v="0"/>
    <s v="Operational"/>
    <s v="IX 383"/>
    <m/>
    <m/>
    <m/>
    <m/>
    <x v="0"/>
    <x v="0"/>
  </r>
  <r>
    <n v="27820231"/>
    <x v="0"/>
    <x v="1154"/>
    <m/>
    <s v="B777/3-ER"/>
    <x v="6"/>
    <x v="163"/>
    <x v="21"/>
    <s v="Operational"/>
    <m/>
    <m/>
    <m/>
    <m/>
    <m/>
    <x v="0"/>
    <x v="0"/>
  </r>
  <r>
    <n v="27820238"/>
    <x v="0"/>
    <x v="1155"/>
    <s v="FZ 1820_2022-07-29T08x25x00"/>
    <s v="B737/8-MAX"/>
    <x v="5"/>
    <x v="147"/>
    <x v="4"/>
    <s v="Operational"/>
    <s v="FZ 1820"/>
    <m/>
    <m/>
    <m/>
    <m/>
    <x v="0"/>
    <x v="0"/>
  </r>
  <r>
    <n v="27820250"/>
    <x v="0"/>
    <x v="1156"/>
    <s v="EK 706_2022-07-29T08x45x00"/>
    <s v="B777/3-ER"/>
    <x v="2"/>
    <x v="100"/>
    <x v="4"/>
    <s v="Operational"/>
    <s v="EK 706"/>
    <m/>
    <m/>
    <m/>
    <m/>
    <x v="0"/>
    <x v="0"/>
  </r>
  <r>
    <n v="27820257"/>
    <x v="0"/>
    <x v="1157"/>
    <s v="EK 531_2022-07-29T08x55x00"/>
    <s v="B777/3-ER"/>
    <x v="3"/>
    <x v="118"/>
    <x v="3"/>
    <s v="Operational"/>
    <s v="EK 531"/>
    <m/>
    <m/>
    <m/>
    <m/>
    <x v="0"/>
    <x v="0"/>
  </r>
  <r>
    <n v="27820296"/>
    <x v="0"/>
    <x v="1158"/>
    <s v="FZ 1354_2022-07-29T08x55x00"/>
    <s v="B737/8-MAX"/>
    <x v="5"/>
    <x v="157"/>
    <x v="3"/>
    <s v="Operational"/>
    <s v="FZ 1354"/>
    <m/>
    <m/>
    <m/>
    <m/>
    <x v="0"/>
    <x v="0"/>
  </r>
  <r>
    <n v="27820299"/>
    <x v="0"/>
    <x v="1159"/>
    <s v="FZ 326_2022-07-29T08x40x00"/>
    <s v="B737/8"/>
    <x v="1"/>
    <x v="34"/>
    <x v="2"/>
    <s v="Operational"/>
    <s v="FZ 326"/>
    <m/>
    <m/>
    <m/>
    <m/>
    <x v="0"/>
    <x v="0"/>
  </r>
  <r>
    <n v="27820306"/>
    <x v="0"/>
    <x v="1160"/>
    <s v="EK 571_2022-07-29T09x10x00"/>
    <s v="B777/3-ER"/>
    <x v="3"/>
    <x v="85"/>
    <x v="2"/>
    <s v="Operational"/>
    <s v="EK 571"/>
    <m/>
    <m/>
    <m/>
    <m/>
    <x v="0"/>
    <x v="0"/>
  </r>
  <r>
    <n v="27820310"/>
    <x v="0"/>
    <x v="1161"/>
    <s v="FZ 326_2022-07-29T08x40x00"/>
    <s v="B737/8"/>
    <x v="1"/>
    <x v="34"/>
    <x v="0"/>
    <s v="Operational"/>
    <s v="FZ 326"/>
    <m/>
    <m/>
    <m/>
    <m/>
    <x v="0"/>
    <x v="0"/>
  </r>
  <r>
    <n v="27820318"/>
    <x v="0"/>
    <x v="1162"/>
    <s v="EK 051_2022-07-29T12x30x00"/>
    <s v="B777/3-ER"/>
    <x v="3"/>
    <x v="44"/>
    <x v="2"/>
    <s v="Operational"/>
    <s v="EK 051"/>
    <m/>
    <m/>
    <m/>
    <m/>
    <x v="0"/>
    <x v="0"/>
  </r>
  <r>
    <n v="27820328"/>
    <x v="0"/>
    <x v="1163"/>
    <s v="FZ 1927_2022-07-29T08x25x00"/>
    <s v="B737/8"/>
    <x v="5"/>
    <x v="71"/>
    <x v="1"/>
    <s v="Operational"/>
    <s v="FZ 1927"/>
    <m/>
    <m/>
    <m/>
    <m/>
    <x v="0"/>
    <x v="0"/>
  </r>
  <r>
    <n v="27820345"/>
    <x v="0"/>
    <x v="1164"/>
    <s v="EK 571_2022-07-29T09x10x00"/>
    <s v="B777/3-ER"/>
    <x v="3"/>
    <x v="85"/>
    <x v="0"/>
    <s v="Operational"/>
    <s v="EK 571"/>
    <m/>
    <m/>
    <m/>
    <m/>
    <x v="0"/>
    <x v="0"/>
  </r>
  <r>
    <n v="27820366"/>
    <x v="0"/>
    <x v="1165"/>
    <s v="IA 128_2022-07-29T08x40x00"/>
    <s v="B737/8"/>
    <x v="1"/>
    <x v="11"/>
    <x v="1"/>
    <s v="Operational"/>
    <s v="IA 128"/>
    <m/>
    <m/>
    <m/>
    <m/>
    <x v="0"/>
    <x v="0"/>
  </r>
  <r>
    <n v="27820382"/>
    <x v="0"/>
    <x v="1166"/>
    <s v="EK 838_2022-07-29T08x40x00"/>
    <s v="B777/3-ER"/>
    <x v="4"/>
    <x v="123"/>
    <x v="2"/>
    <s v="Operational"/>
    <s v="EK 838"/>
    <m/>
    <m/>
    <m/>
    <m/>
    <x v="0"/>
    <x v="0"/>
  </r>
  <r>
    <n v="27820385"/>
    <x v="0"/>
    <x v="1167"/>
    <s v="EK 051_2022-07-29T12x30x00"/>
    <s v="B777/3-ER"/>
    <x v="3"/>
    <x v="44"/>
    <x v="0"/>
    <s v="Operational"/>
    <s v="EK 051"/>
    <m/>
    <m/>
    <m/>
    <m/>
    <x v="0"/>
    <x v="0"/>
  </r>
  <r>
    <n v="27820413"/>
    <x v="0"/>
    <x v="1168"/>
    <s v="FZ 342_2022-07-29T08x25x00"/>
    <s v="B737/8"/>
    <x v="1"/>
    <x v="121"/>
    <x v="3"/>
    <s v="Operational"/>
    <s v="FZ 342"/>
    <m/>
    <m/>
    <m/>
    <m/>
    <x v="0"/>
    <x v="0"/>
  </r>
  <r>
    <n v="27820415"/>
    <x v="0"/>
    <x v="1169"/>
    <s v="EK 838_2022-07-29T08x40x00"/>
    <s v="B777/3-ER"/>
    <x v="4"/>
    <x v="123"/>
    <x v="0"/>
    <s v="Operational"/>
    <s v="EK 838"/>
    <m/>
    <m/>
    <m/>
    <m/>
    <x v="0"/>
    <x v="0"/>
  </r>
  <r>
    <n v="27820426"/>
    <x v="0"/>
    <x v="1170"/>
    <s v="FZ 342_2022-07-29T08x25x00"/>
    <s v="B737/8"/>
    <x v="1"/>
    <x v="121"/>
    <x v="4"/>
    <s v="Operational"/>
    <s v="FZ 342"/>
    <m/>
    <m/>
    <m/>
    <m/>
    <x v="0"/>
    <x v="0"/>
  </r>
  <r>
    <n v="27820436"/>
    <x v="0"/>
    <x v="1171"/>
    <m/>
    <m/>
    <x v="5"/>
    <x v="77"/>
    <x v="6"/>
    <s v="Operational"/>
    <m/>
    <m/>
    <m/>
    <m/>
    <m/>
    <x v="0"/>
    <x v="0"/>
  </r>
  <r>
    <n v="27820445"/>
    <x v="0"/>
    <x v="1172"/>
    <s v="FZ 8605_2022-07-29T09x55x00"/>
    <s v="B737/8"/>
    <x v="5"/>
    <x v="77"/>
    <x v="23"/>
    <s v="Operational"/>
    <m/>
    <m/>
    <m/>
    <m/>
    <m/>
    <x v="0"/>
    <x v="0"/>
  </r>
  <r>
    <n v="27820457"/>
    <x v="0"/>
    <x v="1173"/>
    <m/>
    <m/>
    <x v="5"/>
    <x v="77"/>
    <x v="6"/>
    <s v="Operational"/>
    <m/>
    <m/>
    <m/>
    <m/>
    <m/>
    <x v="0"/>
    <x v="0"/>
  </r>
  <r>
    <n v="27820485"/>
    <x v="0"/>
    <x v="1174"/>
    <s v="EK 511_2022-07-29T09x00x00"/>
    <s v="B777/3-ER"/>
    <x v="4"/>
    <x v="25"/>
    <x v="2"/>
    <s v="Operational"/>
    <s v="EK 511"/>
    <m/>
    <m/>
    <m/>
    <m/>
    <x v="0"/>
    <x v="0"/>
  </r>
  <r>
    <n v="27820486"/>
    <x v="0"/>
    <x v="1175"/>
    <s v="EK 706_2022-07-29T08x45x00"/>
    <s v="B777/3-ER"/>
    <x v="2"/>
    <x v="100"/>
    <x v="15"/>
    <s v="Technical"/>
    <s v="EK 706"/>
    <m/>
    <m/>
    <m/>
    <m/>
    <x v="0"/>
    <x v="0"/>
  </r>
  <r>
    <n v="27820490"/>
    <x v="0"/>
    <x v="1176"/>
    <s v="EK 531_2022-07-29T08x55x00"/>
    <s v="B777/3-ER"/>
    <x v="3"/>
    <x v="118"/>
    <x v="4"/>
    <s v="Operational"/>
    <s v="EK 531"/>
    <m/>
    <m/>
    <m/>
    <m/>
    <x v="0"/>
    <x v="0"/>
  </r>
  <r>
    <n v="27820499"/>
    <x v="0"/>
    <x v="1177"/>
    <s v="ME 427_2022-07-29T08x45x00"/>
    <s v="A321-NEO"/>
    <x v="0"/>
    <x v="29"/>
    <x v="1"/>
    <s v="Operational"/>
    <s v="ME 427"/>
    <m/>
    <m/>
    <m/>
    <m/>
    <x v="0"/>
    <x v="0"/>
  </r>
  <r>
    <n v="27820515"/>
    <x v="0"/>
    <x v="1178"/>
    <s v="EK 706_2022-07-29T08x45x00"/>
    <s v="B777/3-ER"/>
    <x v="2"/>
    <x v="100"/>
    <x v="17"/>
    <s v="Technical"/>
    <s v="EK 706"/>
    <m/>
    <m/>
    <m/>
    <m/>
    <x v="0"/>
    <x v="0"/>
  </r>
  <r>
    <n v="27820519"/>
    <x v="0"/>
    <x v="1179"/>
    <s v="FZ 1820_2022-07-29T08x25x00"/>
    <s v="B737/8-MAX"/>
    <x v="5"/>
    <x v="147"/>
    <x v="2"/>
    <s v="Operational"/>
    <s v="FZ 1820"/>
    <m/>
    <m/>
    <m/>
    <m/>
    <x v="0"/>
    <x v="0"/>
  </r>
  <r>
    <n v="27820525"/>
    <x v="0"/>
    <x v="1180"/>
    <s v="FZ 1354_2022-07-29T08x55x00"/>
    <s v="B737/8-MAX"/>
    <x v="5"/>
    <x v="157"/>
    <x v="4"/>
    <s v="Operational"/>
    <s v="FZ 1354"/>
    <m/>
    <m/>
    <m/>
    <m/>
    <x v="0"/>
    <x v="0"/>
  </r>
  <r>
    <n v="27820531"/>
    <x v="0"/>
    <x v="1181"/>
    <s v="EK 511_2022-07-29T09x00x00"/>
    <s v="B777/3-ER"/>
    <x v="4"/>
    <x v="25"/>
    <x v="0"/>
    <s v="Operational"/>
    <s v="EK 511"/>
    <m/>
    <m/>
    <m/>
    <m/>
    <x v="0"/>
    <x v="0"/>
  </r>
  <r>
    <n v="27820547"/>
    <x v="0"/>
    <x v="1182"/>
    <s v="FZ 1820_2022-07-29T08x25x00"/>
    <s v="B737/8-MAX"/>
    <x v="5"/>
    <x v="147"/>
    <x v="0"/>
    <s v="Operational"/>
    <s v="FZ 1820"/>
    <m/>
    <m/>
    <m/>
    <m/>
    <x v="0"/>
    <x v="0"/>
  </r>
  <r>
    <n v="27820558"/>
    <x v="0"/>
    <x v="1183"/>
    <s v="F3 505_2022-07-29T08x25x00"/>
    <s v="A320-NEO"/>
    <x v="1"/>
    <x v="52"/>
    <x v="3"/>
    <s v="Operational"/>
    <s v="F3 505"/>
    <m/>
    <m/>
    <m/>
    <m/>
    <x v="0"/>
    <x v="0"/>
  </r>
  <r>
    <n v="27820563"/>
    <x v="0"/>
    <x v="1184"/>
    <s v="F3 505_2022-07-29T08x25x00"/>
    <s v="A320-NEO"/>
    <x v="1"/>
    <x v="52"/>
    <x v="4"/>
    <s v="Operational"/>
    <s v="F3 505"/>
    <m/>
    <m/>
    <m/>
    <m/>
    <x v="0"/>
    <x v="0"/>
  </r>
  <r>
    <n v="27820593"/>
    <x v="0"/>
    <x v="1185"/>
    <m/>
    <m/>
    <x v="5"/>
    <x v="140"/>
    <x v="6"/>
    <s v="Operational"/>
    <m/>
    <m/>
    <m/>
    <m/>
    <m/>
    <x v="0"/>
    <x v="0"/>
  </r>
  <r>
    <n v="27820608"/>
    <x v="0"/>
    <x v="1186"/>
    <s v="EK 531_2022-07-29T08x55x00"/>
    <s v="B777/3-ER"/>
    <x v="3"/>
    <x v="118"/>
    <x v="2"/>
    <s v="Operational"/>
    <s v="EK 531"/>
    <m/>
    <m/>
    <m/>
    <m/>
    <x v="0"/>
    <x v="0"/>
  </r>
  <r>
    <n v="27820612"/>
    <x v="0"/>
    <x v="1187"/>
    <s v="XY 220_2022-07-29T08x40x00"/>
    <s v="A320-NEO"/>
    <x v="0"/>
    <x v="3"/>
    <x v="1"/>
    <s v="Operational"/>
    <s v="XY 220"/>
    <m/>
    <m/>
    <m/>
    <m/>
    <x v="0"/>
    <x v="0"/>
  </r>
  <r>
    <n v="27820632"/>
    <x v="0"/>
    <x v="1188"/>
    <s v="EK 531_2022-07-29T08x55x00"/>
    <s v="B777/3-ER"/>
    <x v="3"/>
    <x v="118"/>
    <x v="0"/>
    <s v="Operational"/>
    <s v="EK 531"/>
    <m/>
    <m/>
    <m/>
    <m/>
    <x v="0"/>
    <x v="0"/>
  </r>
  <r>
    <n v="27820647"/>
    <x v="0"/>
    <x v="1189"/>
    <s v="EK 085_2022-07-29T11x35x00"/>
    <s v="B777/3-ER"/>
    <x v="3"/>
    <x v="78"/>
    <x v="2"/>
    <s v="Operational"/>
    <s v="EK 085"/>
    <m/>
    <m/>
    <m/>
    <m/>
    <x v="0"/>
    <x v="0"/>
  </r>
  <r>
    <n v="27820657"/>
    <x v="0"/>
    <x v="1190"/>
    <m/>
    <m/>
    <x v="4"/>
    <x v="119"/>
    <x v="5"/>
    <s v="Operational"/>
    <m/>
    <m/>
    <m/>
    <m/>
    <m/>
    <x v="0"/>
    <x v="0"/>
  </r>
  <r>
    <n v="27820660"/>
    <x v="0"/>
    <x v="1191"/>
    <m/>
    <m/>
    <x v="4"/>
    <x v="119"/>
    <x v="12"/>
    <s v="Operational"/>
    <m/>
    <m/>
    <m/>
    <m/>
    <m/>
    <x v="0"/>
    <x v="0"/>
  </r>
  <r>
    <n v="27820668"/>
    <x v="0"/>
    <x v="1192"/>
    <s v="W5 063_2022-07-29T08x30x00"/>
    <s v="A310"/>
    <x v="0"/>
    <x v="50"/>
    <x v="3"/>
    <s v="Operational"/>
    <s v="W5 063"/>
    <m/>
    <m/>
    <m/>
    <m/>
    <x v="0"/>
    <x v="0"/>
  </r>
  <r>
    <n v="27820671"/>
    <x v="0"/>
    <x v="1193"/>
    <s v="EK 085_2022-07-29T11x35x00"/>
    <s v="B777/3-ER"/>
    <x v="3"/>
    <x v="78"/>
    <x v="0"/>
    <s v="Operational"/>
    <s v="EK 085"/>
    <m/>
    <m/>
    <m/>
    <m/>
    <x v="0"/>
    <x v="0"/>
  </r>
  <r>
    <n v="27820681"/>
    <x v="0"/>
    <x v="1194"/>
    <m/>
    <m/>
    <x v="6"/>
    <x v="161"/>
    <x v="12"/>
    <s v="Operational"/>
    <m/>
    <m/>
    <m/>
    <m/>
    <m/>
    <x v="0"/>
    <x v="0"/>
  </r>
  <r>
    <n v="27820690"/>
    <x v="0"/>
    <x v="1195"/>
    <s v="EK 706_2022-07-29T08x45x00"/>
    <s v="B777/3-ER"/>
    <x v="2"/>
    <x v="100"/>
    <x v="2"/>
    <s v="Operational"/>
    <s v="EK 706"/>
    <m/>
    <m/>
    <m/>
    <m/>
    <x v="0"/>
    <x v="0"/>
  </r>
  <r>
    <n v="27820701"/>
    <x v="0"/>
    <x v="1196"/>
    <s v="FZ 334_2022-07-29T08x50x00"/>
    <s v="B737/8"/>
    <x v="8"/>
    <x v="149"/>
    <x v="3"/>
    <s v="Operational"/>
    <s v="FZ 334"/>
    <m/>
    <m/>
    <m/>
    <m/>
    <x v="0"/>
    <x v="0"/>
  </r>
  <r>
    <n v="27820703"/>
    <x v="0"/>
    <x v="1197"/>
    <s v="EK 706_2022-07-29T08x45x00"/>
    <s v="B777/3-ER"/>
    <x v="2"/>
    <x v="100"/>
    <x v="0"/>
    <s v="Operational"/>
    <s v="EK 706"/>
    <m/>
    <m/>
    <m/>
    <m/>
    <x v="0"/>
    <x v="0"/>
  </r>
  <r>
    <n v="27820716"/>
    <x v="0"/>
    <x v="1198"/>
    <s v="FZ 342_2022-07-29T08x25x00"/>
    <s v="B737/8"/>
    <x v="1"/>
    <x v="121"/>
    <x v="2"/>
    <s v="Operational"/>
    <s v="FZ 342"/>
    <m/>
    <m/>
    <m/>
    <m/>
    <x v="0"/>
    <x v="0"/>
  </r>
  <r>
    <n v="27820725"/>
    <x v="0"/>
    <x v="1199"/>
    <s v="FZ 334_2022-07-29T08x50x00"/>
    <s v="B737/8"/>
    <x v="8"/>
    <x v="149"/>
    <x v="4"/>
    <s v="Operational"/>
    <s v="FZ 334"/>
    <m/>
    <m/>
    <m/>
    <m/>
    <x v="0"/>
    <x v="0"/>
  </r>
  <r>
    <n v="27820738"/>
    <x v="0"/>
    <x v="1200"/>
    <s v="W5 063_2022-07-29T08x30x00"/>
    <s v="A310"/>
    <x v="0"/>
    <x v="50"/>
    <x v="4"/>
    <s v="Operational"/>
    <s v="W5 063"/>
    <m/>
    <m/>
    <m/>
    <m/>
    <x v="0"/>
    <x v="0"/>
  </r>
  <r>
    <n v="27820742"/>
    <x v="0"/>
    <x v="1201"/>
    <s v="FZ 342_2022-07-29T08x25x00"/>
    <s v="B737/8"/>
    <x v="1"/>
    <x v="121"/>
    <x v="0"/>
    <s v="Operational"/>
    <s v="FZ 342"/>
    <m/>
    <m/>
    <m/>
    <m/>
    <x v="0"/>
    <x v="0"/>
  </r>
  <r>
    <n v="27820756"/>
    <x v="0"/>
    <x v="1202"/>
    <s v="FZ 1354_2022-07-29T08x55x00"/>
    <s v="B737/8-MAX"/>
    <x v="5"/>
    <x v="157"/>
    <x v="2"/>
    <s v="Operational"/>
    <s v="FZ 1354"/>
    <m/>
    <m/>
    <m/>
    <m/>
    <x v="0"/>
    <x v="0"/>
  </r>
  <r>
    <n v="27820772"/>
    <x v="0"/>
    <x v="1203"/>
    <s v="FZ 1354_2022-07-29T08x55x00"/>
    <s v="B737/8-MAX"/>
    <x v="5"/>
    <x v="157"/>
    <x v="0"/>
    <s v="Operational"/>
    <s v="FZ 1354"/>
    <m/>
    <m/>
    <m/>
    <m/>
    <x v="0"/>
    <x v="0"/>
  </r>
  <r>
    <n v="27820823"/>
    <x v="0"/>
    <x v="1204"/>
    <m/>
    <s v="A380/8"/>
    <x v="1"/>
    <x v="164"/>
    <x v="19"/>
    <s v="Operational"/>
    <m/>
    <m/>
    <m/>
    <m/>
    <m/>
    <x v="0"/>
    <x v="0"/>
  </r>
  <r>
    <n v="27820826"/>
    <x v="0"/>
    <x v="1204"/>
    <m/>
    <s v="A380/8"/>
    <x v="1"/>
    <x v="164"/>
    <x v="21"/>
    <s v="Operational"/>
    <m/>
    <m/>
    <m/>
    <m/>
    <m/>
    <x v="0"/>
    <x v="0"/>
  </r>
  <r>
    <n v="27820838"/>
    <x v="0"/>
    <x v="1205"/>
    <m/>
    <m/>
    <x v="4"/>
    <x v="119"/>
    <x v="5"/>
    <s v="Operational"/>
    <m/>
    <m/>
    <m/>
    <m/>
    <m/>
    <x v="0"/>
    <x v="0"/>
  </r>
  <r>
    <n v="27820842"/>
    <x v="0"/>
    <x v="1206"/>
    <s v="F3 505_2022-07-29T08x25x00"/>
    <s v="A320-NEO"/>
    <x v="1"/>
    <x v="52"/>
    <x v="2"/>
    <s v="Operational"/>
    <s v="F3 505"/>
    <m/>
    <m/>
    <m/>
    <m/>
    <x v="0"/>
    <x v="0"/>
  </r>
  <r>
    <n v="27820858"/>
    <x v="0"/>
    <x v="1207"/>
    <s v="FZ 1686_2022-07-29T08x35x00"/>
    <s v="B737/8-MAX"/>
    <x v="5"/>
    <x v="77"/>
    <x v="2"/>
    <s v="Operational"/>
    <m/>
    <m/>
    <m/>
    <m/>
    <m/>
    <x v="0"/>
    <x v="0"/>
  </r>
  <r>
    <n v="27820859"/>
    <x v="0"/>
    <x v="1208"/>
    <s v="F3 505_2022-07-29T08x25x00"/>
    <s v="A320-NEO"/>
    <x v="1"/>
    <x v="52"/>
    <x v="0"/>
    <s v="Operational"/>
    <s v="F3 505"/>
    <m/>
    <m/>
    <m/>
    <m/>
    <x v="0"/>
    <x v="0"/>
  </r>
  <r>
    <n v="27820876"/>
    <x v="0"/>
    <x v="1209"/>
    <s v="FZ 848_2022-07-29T08x50x00"/>
    <s v="B737/8"/>
    <x v="5"/>
    <x v="140"/>
    <x v="2"/>
    <s v="Operational"/>
    <m/>
    <m/>
    <m/>
    <m/>
    <m/>
    <x v="0"/>
    <x v="0"/>
  </r>
  <r>
    <n v="27820883"/>
    <x v="0"/>
    <x v="1210"/>
    <s v="FZ 1686_2022-07-29T08x35x00"/>
    <s v="B737/8-MAX"/>
    <x v="5"/>
    <x v="77"/>
    <x v="0"/>
    <s v="Operational"/>
    <m/>
    <m/>
    <m/>
    <m/>
    <m/>
    <x v="0"/>
    <x v="0"/>
  </r>
  <r>
    <n v="27820890"/>
    <x v="0"/>
    <x v="1211"/>
    <s v="FZ 848_2022-07-29T08x50x00"/>
    <s v="B737/8"/>
    <x v="5"/>
    <x v="140"/>
    <x v="0"/>
    <s v="Operational"/>
    <m/>
    <m/>
    <m/>
    <m/>
    <m/>
    <x v="0"/>
    <x v="0"/>
  </r>
  <r>
    <n v="27820901"/>
    <x v="0"/>
    <x v="1212"/>
    <m/>
    <m/>
    <x v="6"/>
    <x v="161"/>
    <x v="5"/>
    <s v="Operational"/>
    <m/>
    <m/>
    <m/>
    <m/>
    <m/>
    <x v="0"/>
    <x v="0"/>
  </r>
  <r>
    <n v="27820932"/>
    <x v="0"/>
    <x v="1213"/>
    <s v="FZ 334_2022-07-29T08x50x00"/>
    <s v="B737/8"/>
    <x v="8"/>
    <x v="149"/>
    <x v="2"/>
    <s v="Operational"/>
    <s v="FZ 334"/>
    <m/>
    <m/>
    <m/>
    <m/>
    <x v="0"/>
    <x v="0"/>
  </r>
  <r>
    <n v="27820941"/>
    <x v="0"/>
    <x v="1214"/>
    <s v="FZ 334_2022-07-29T08x50x00"/>
    <s v="B737/8"/>
    <x v="8"/>
    <x v="149"/>
    <x v="0"/>
    <s v="Operational"/>
    <s v="FZ 334"/>
    <m/>
    <m/>
    <m/>
    <m/>
    <x v="0"/>
    <x v="0"/>
  </r>
  <r>
    <n v="27820954"/>
    <x v="0"/>
    <x v="1215"/>
    <s v="SG 058_2022-07-29T08x50x00"/>
    <s v="B737/8-MAX"/>
    <x v="0"/>
    <x v="40"/>
    <x v="1"/>
    <s v="Operational"/>
    <s v="SG 058"/>
    <m/>
    <m/>
    <m/>
    <m/>
    <x v="0"/>
    <x v="0"/>
  </r>
  <r>
    <n v="27820981"/>
    <x v="0"/>
    <x v="1216"/>
    <s v="EK 375_2022-07-29T09x00x00"/>
    <s v="A380/8"/>
    <x v="4"/>
    <x v="55"/>
    <x v="3"/>
    <s v="Operational"/>
    <s v="EK 375"/>
    <m/>
    <m/>
    <m/>
    <m/>
    <x v="0"/>
    <x v="0"/>
  </r>
  <r>
    <n v="27820994"/>
    <x v="0"/>
    <x v="1217"/>
    <s v="FZ 572_2022-07-29T08x35x00"/>
    <s v="B737/8"/>
    <x v="1"/>
    <x v="1"/>
    <x v="3"/>
    <s v="Operational"/>
    <s v="FZ 572"/>
    <m/>
    <m/>
    <m/>
    <m/>
    <x v="0"/>
    <x v="0"/>
  </r>
  <r>
    <n v="27821002"/>
    <x v="0"/>
    <x v="1218"/>
    <s v="FZ 572_2022-07-29T08x35x00"/>
    <s v="B737/8"/>
    <x v="1"/>
    <x v="1"/>
    <x v="4"/>
    <s v="Operational"/>
    <s v="FZ 572"/>
    <m/>
    <m/>
    <m/>
    <m/>
    <x v="0"/>
    <x v="0"/>
  </r>
  <r>
    <n v="27821043"/>
    <x v="0"/>
    <x v="1219"/>
    <s v="HY 334_2022-07-29T08x30x00"/>
    <s v="A320-NEO"/>
    <x v="0"/>
    <x v="9"/>
    <x v="1"/>
    <s v="Operational"/>
    <s v="HY 334"/>
    <m/>
    <m/>
    <m/>
    <m/>
    <x v="0"/>
    <x v="0"/>
  </r>
  <r>
    <n v="27821060"/>
    <x v="0"/>
    <x v="1220"/>
    <s v="W5 063_2022-07-29T08x30x00"/>
    <s v="A310"/>
    <x v="0"/>
    <x v="50"/>
    <x v="2"/>
    <s v="Operational"/>
    <s v="W5 063"/>
    <m/>
    <m/>
    <m/>
    <m/>
    <x v="0"/>
    <x v="0"/>
  </r>
  <r>
    <n v="27821064"/>
    <x v="0"/>
    <x v="1221"/>
    <s v="FZ 733_2022-07-29T08x25x00"/>
    <s v="B737/8"/>
    <x v="1"/>
    <x v="35"/>
    <x v="1"/>
    <s v="Operational"/>
    <s v="FZ 733"/>
    <m/>
    <m/>
    <m/>
    <m/>
    <x v="0"/>
    <x v="0"/>
  </r>
  <r>
    <n v="27821082"/>
    <x v="0"/>
    <x v="1222"/>
    <s v="FZ 392_2022-07-29T09x05x00"/>
    <s v="B737/8"/>
    <x v="1"/>
    <x v="69"/>
    <x v="3"/>
    <s v="Operational"/>
    <s v="FZ 392"/>
    <m/>
    <m/>
    <m/>
    <m/>
    <x v="0"/>
    <x v="0"/>
  </r>
  <r>
    <n v="27821086"/>
    <x v="0"/>
    <x v="1223"/>
    <s v="W5 063_2022-07-29T08x30x00"/>
    <s v="A310"/>
    <x v="0"/>
    <x v="50"/>
    <x v="0"/>
    <s v="Operational"/>
    <s v="W5 063"/>
    <m/>
    <m/>
    <m/>
    <m/>
    <x v="0"/>
    <x v="0"/>
  </r>
  <r>
    <n v="27821105"/>
    <x v="0"/>
    <x v="1224"/>
    <s v="EK 375_2022-07-29T09x00x00"/>
    <s v="A380/8"/>
    <x v="4"/>
    <x v="55"/>
    <x v="4"/>
    <s v="Operational"/>
    <s v="EK 375"/>
    <m/>
    <m/>
    <m/>
    <m/>
    <x v="0"/>
    <x v="0"/>
  </r>
  <r>
    <n v="27821117"/>
    <x v="0"/>
    <x v="1225"/>
    <s v="FZ 392_2022-07-29T09x05x00"/>
    <s v="B737/8"/>
    <x v="1"/>
    <x v="69"/>
    <x v="4"/>
    <s v="Operational"/>
    <s v="FZ 392"/>
    <m/>
    <m/>
    <m/>
    <m/>
    <x v="0"/>
    <x v="0"/>
  </r>
  <r>
    <n v="27821150"/>
    <x v="0"/>
    <x v="1226"/>
    <s v="IX 142_2022-07-29T08x50x00"/>
    <s v="B737/8"/>
    <x v="1"/>
    <x v="6"/>
    <x v="1"/>
    <s v="Operational"/>
    <s v="IX 142"/>
    <m/>
    <m/>
    <m/>
    <m/>
    <x v="0"/>
    <x v="0"/>
  </r>
  <r>
    <n v="27821177"/>
    <x v="0"/>
    <x v="1227"/>
    <s v="FZ 1208_2022-07-29T09x25x00"/>
    <s v="B737/9-MAX"/>
    <x v="5"/>
    <x v="89"/>
    <x v="3"/>
    <s v="Operational"/>
    <s v="FZ 1208"/>
    <m/>
    <m/>
    <m/>
    <m/>
    <x v="0"/>
    <x v="0"/>
  </r>
  <r>
    <n v="27821181"/>
    <x v="0"/>
    <x v="1228"/>
    <s v="FZ 1208_2022-07-29T09x25x00"/>
    <s v="B737/9-MAX"/>
    <x v="5"/>
    <x v="89"/>
    <x v="4"/>
    <s v="Operational"/>
    <s v="FZ 1208"/>
    <m/>
    <m/>
    <m/>
    <m/>
    <x v="0"/>
    <x v="0"/>
  </r>
  <r>
    <n v="27821195"/>
    <x v="0"/>
    <x v="1229"/>
    <s v="FZ 572_2022-07-29T08x35x00"/>
    <s v="B737/8"/>
    <x v="1"/>
    <x v="1"/>
    <x v="2"/>
    <s v="Operational"/>
    <s v="FZ 572"/>
    <m/>
    <m/>
    <m/>
    <m/>
    <x v="0"/>
    <x v="0"/>
  </r>
  <r>
    <n v="27821207"/>
    <x v="0"/>
    <x v="1230"/>
    <s v="UPS 003_2022-07-29T09x40x00"/>
    <s v="B747/8"/>
    <x v="1"/>
    <x v="110"/>
    <x v="3"/>
    <s v="Operational"/>
    <s v="UPS 003"/>
    <m/>
    <m/>
    <m/>
    <m/>
    <x v="0"/>
    <x v="0"/>
  </r>
  <r>
    <n v="27821214"/>
    <x v="0"/>
    <x v="1231"/>
    <s v="UPS 003_2022-07-29T09x40x00"/>
    <s v="B747/8"/>
    <x v="1"/>
    <x v="110"/>
    <x v="4"/>
    <s v="Operational"/>
    <s v="UPS 003"/>
    <m/>
    <m/>
    <m/>
    <m/>
    <x v="0"/>
    <x v="0"/>
  </r>
  <r>
    <n v="27821223"/>
    <x v="0"/>
    <x v="1232"/>
    <s v="FZ 572_2022-07-29T08x35x00"/>
    <s v="B737/8"/>
    <x v="1"/>
    <x v="1"/>
    <x v="0"/>
    <s v="Operational"/>
    <s v="FZ 572"/>
    <m/>
    <m/>
    <m/>
    <m/>
    <x v="0"/>
    <x v="0"/>
  </r>
  <r>
    <n v="27821250"/>
    <x v="0"/>
    <x v="1233"/>
    <s v="EK 931_2022-07-29T08x50x00"/>
    <s v="B777/3-ER"/>
    <x v="3"/>
    <x v="104"/>
    <x v="1"/>
    <s v="Operational"/>
    <s v="EK 931"/>
    <m/>
    <m/>
    <m/>
    <m/>
    <x v="0"/>
    <x v="0"/>
  </r>
  <r>
    <n v="27821291"/>
    <x v="0"/>
    <x v="1234"/>
    <s v="EK 545_2022-07-29T08x25x00"/>
    <s v="B777/3-ER"/>
    <x v="2"/>
    <x v="56"/>
    <x v="3"/>
    <s v="Operational"/>
    <s v="EK 545"/>
    <m/>
    <m/>
    <m/>
    <m/>
    <x v="0"/>
    <x v="0"/>
  </r>
  <r>
    <n v="27821301"/>
    <x v="0"/>
    <x v="1235"/>
    <s v="GF 505_2022-07-29T08x55x00"/>
    <s v="A320-NEO"/>
    <x v="0"/>
    <x v="63"/>
    <x v="1"/>
    <s v="Operational"/>
    <s v="GF 505"/>
    <m/>
    <m/>
    <m/>
    <m/>
    <x v="0"/>
    <x v="0"/>
  </r>
  <r>
    <n v="27821323"/>
    <x v="0"/>
    <x v="1236"/>
    <s v="FZ 335_2022-07-29T08x25x00"/>
    <s v="B737/8"/>
    <x v="1"/>
    <x v="116"/>
    <x v="1"/>
    <s v="Operational"/>
    <s v="FZ 335"/>
    <m/>
    <m/>
    <m/>
    <m/>
    <x v="0"/>
    <x v="0"/>
  </r>
  <r>
    <n v="27821349"/>
    <x v="0"/>
    <x v="1237"/>
    <s v="J2 012_2022-07-29T09x10x00"/>
    <s v="B767/3"/>
    <x v="0"/>
    <x v="61"/>
    <x v="1"/>
    <s v="Operational"/>
    <s v="J2 012"/>
    <m/>
    <m/>
    <m/>
    <m/>
    <x v="0"/>
    <x v="0"/>
  </r>
  <r>
    <n v="27821366"/>
    <x v="0"/>
    <x v="1238"/>
    <s v="EK 545_2022-07-29T08x25x00"/>
    <s v="B777/3-ER"/>
    <x v="2"/>
    <x v="56"/>
    <x v="4"/>
    <s v="Operational"/>
    <s v="EK 545"/>
    <m/>
    <m/>
    <m/>
    <m/>
    <x v="0"/>
    <x v="0"/>
  </r>
  <r>
    <n v="27821369"/>
    <x v="0"/>
    <x v="1239"/>
    <s v="EK 375_2022-07-29T09x00x00"/>
    <s v="A380/8"/>
    <x v="4"/>
    <x v="55"/>
    <x v="2"/>
    <s v="Operational"/>
    <s v="EK 375"/>
    <m/>
    <m/>
    <m/>
    <m/>
    <x v="0"/>
    <x v="0"/>
  </r>
  <r>
    <n v="27821375"/>
    <x v="0"/>
    <x v="1240"/>
    <s v="FZ 392_2022-07-29T09x05x00"/>
    <s v="B737/8"/>
    <x v="1"/>
    <x v="69"/>
    <x v="2"/>
    <s v="Operational"/>
    <s v="FZ 392"/>
    <m/>
    <m/>
    <m/>
    <m/>
    <x v="0"/>
    <x v="0"/>
  </r>
  <r>
    <n v="27821384"/>
    <x v="0"/>
    <x v="1241"/>
    <s v="EK 375_2022-07-29T09x00x00"/>
    <s v="A380/8"/>
    <x v="4"/>
    <x v="55"/>
    <x v="0"/>
    <s v="Operational"/>
    <s v="EK 375"/>
    <m/>
    <m/>
    <m/>
    <m/>
    <x v="0"/>
    <x v="0"/>
  </r>
  <r>
    <n v="27821398"/>
    <x v="0"/>
    <x v="1242"/>
    <s v="FZ 392_2022-07-29T09x05x00"/>
    <s v="B737/8"/>
    <x v="1"/>
    <x v="69"/>
    <x v="0"/>
    <s v="Operational"/>
    <s v="FZ 392"/>
    <m/>
    <m/>
    <m/>
    <m/>
    <x v="0"/>
    <x v="0"/>
  </r>
  <r>
    <n v="27821423"/>
    <x v="0"/>
    <x v="1243"/>
    <m/>
    <m/>
    <x v="6"/>
    <x v="161"/>
    <x v="12"/>
    <s v="Operational"/>
    <m/>
    <m/>
    <m/>
    <m/>
    <m/>
    <x v="0"/>
    <x v="0"/>
  </r>
  <r>
    <n v="27821446"/>
    <x v="0"/>
    <x v="1244"/>
    <s v="EK 572_2022-07-29T09x05x00"/>
    <s v="B777/3-ER"/>
    <x v="2"/>
    <x v="7"/>
    <x v="1"/>
    <s v="Operational"/>
    <s v="EK 572"/>
    <m/>
    <m/>
    <m/>
    <m/>
    <x v="0"/>
    <x v="0"/>
  </r>
  <r>
    <n v="27821456"/>
    <x v="0"/>
    <x v="1245"/>
    <s v="FZ 1208_2022-07-29T09x25x00"/>
    <s v="B737/9-MAX"/>
    <x v="5"/>
    <x v="89"/>
    <x v="2"/>
    <s v="Operational"/>
    <s v="FZ 1208"/>
    <m/>
    <m/>
    <m/>
    <m/>
    <x v="0"/>
    <x v="0"/>
  </r>
  <r>
    <n v="27821471"/>
    <x v="0"/>
    <x v="1246"/>
    <s v="FZ 1208_2022-07-29T09x25x00"/>
    <s v="B737/9-MAX"/>
    <x v="5"/>
    <x v="89"/>
    <x v="0"/>
    <s v="Operational"/>
    <s v="FZ 1208"/>
    <m/>
    <m/>
    <m/>
    <m/>
    <x v="0"/>
    <x v="0"/>
  </r>
  <r>
    <n v="27821491"/>
    <x v="0"/>
    <x v="1247"/>
    <s v="FX 9876_2022-07-29T09x15x00"/>
    <s v="B777/2"/>
    <x v="1"/>
    <x v="28"/>
    <x v="3"/>
    <s v="Operational"/>
    <s v="FX 9876"/>
    <m/>
    <m/>
    <m/>
    <m/>
    <x v="0"/>
    <x v="0"/>
  </r>
  <r>
    <n v="27821494"/>
    <x v="0"/>
    <x v="1248"/>
    <s v="FX 9876_2022-07-29T09x15x00"/>
    <s v="B777/2"/>
    <x v="1"/>
    <x v="28"/>
    <x v="4"/>
    <s v="Operational"/>
    <s v="FX 9876"/>
    <m/>
    <m/>
    <m/>
    <m/>
    <x v="0"/>
    <x v="0"/>
  </r>
  <r>
    <n v="27821503"/>
    <x v="0"/>
    <x v="1249"/>
    <m/>
    <m/>
    <x v="4"/>
    <x v="68"/>
    <x v="6"/>
    <s v="Operational"/>
    <m/>
    <m/>
    <m/>
    <m/>
    <m/>
    <x v="0"/>
    <x v="0"/>
  </r>
  <r>
    <n v="27821510"/>
    <x v="0"/>
    <x v="1250"/>
    <s v="FX 9876_2022-07-29T09x15x00"/>
    <s v="B777/2"/>
    <x v="1"/>
    <x v="28"/>
    <x v="15"/>
    <s v="Technical"/>
    <s v="FX 9876"/>
    <m/>
    <m/>
    <m/>
    <m/>
    <x v="0"/>
    <x v="0"/>
  </r>
  <r>
    <n v="27821516"/>
    <x v="0"/>
    <x v="1251"/>
    <s v="FX 9876_2022-07-29T09x15x00"/>
    <s v="B777/2"/>
    <x v="1"/>
    <x v="28"/>
    <x v="17"/>
    <s v="Technical"/>
    <s v="FX 9876"/>
    <m/>
    <m/>
    <m/>
    <m/>
    <x v="0"/>
    <x v="0"/>
  </r>
  <r>
    <n v="27821526"/>
    <x v="0"/>
    <x v="1252"/>
    <s v="UPS 003_2022-07-29T09x40x00"/>
    <s v="B747/8"/>
    <x v="1"/>
    <x v="110"/>
    <x v="2"/>
    <s v="Operational"/>
    <s v="UPS 003"/>
    <m/>
    <m/>
    <m/>
    <m/>
    <x v="0"/>
    <x v="0"/>
  </r>
  <r>
    <n v="27821529"/>
    <x v="0"/>
    <x v="1253"/>
    <s v="KU 672_2022-07-29T09x10x00"/>
    <s v="A320-NEO"/>
    <x v="0"/>
    <x v="63"/>
    <x v="1"/>
    <s v="Operational"/>
    <s v="KU 672"/>
    <m/>
    <m/>
    <m/>
    <m/>
    <x v="0"/>
    <x v="0"/>
  </r>
  <r>
    <n v="27821543"/>
    <x v="0"/>
    <x v="1254"/>
    <s v="UPS 003_2022-07-29T09x40x00"/>
    <s v="B747/8"/>
    <x v="1"/>
    <x v="110"/>
    <x v="0"/>
    <s v="Operational"/>
    <s v="UPS 003"/>
    <m/>
    <m/>
    <m/>
    <m/>
    <x v="0"/>
    <x v="0"/>
  </r>
  <r>
    <n v="27821557"/>
    <x v="0"/>
    <x v="1255"/>
    <s v="FX 5040_2022-07-29T09x00x00"/>
    <s v="B777/2"/>
    <x v="1"/>
    <x v="150"/>
    <x v="3"/>
    <s v="Operational"/>
    <s v="FX 5040"/>
    <m/>
    <m/>
    <m/>
    <m/>
    <x v="0"/>
    <x v="0"/>
  </r>
  <r>
    <n v="27821561"/>
    <x v="0"/>
    <x v="1256"/>
    <s v="FX 5040_2022-07-29T09x00x00"/>
    <s v="B777/2"/>
    <x v="1"/>
    <x v="150"/>
    <x v="4"/>
    <s v="Operational"/>
    <s v="FX 5040"/>
    <m/>
    <m/>
    <m/>
    <m/>
    <x v="0"/>
    <x v="0"/>
  </r>
  <r>
    <n v="27821566"/>
    <x v="0"/>
    <x v="1257"/>
    <s v="FX 5040_2022-07-29T09x00x00"/>
    <s v="B777/2"/>
    <x v="1"/>
    <x v="150"/>
    <x v="15"/>
    <s v="Technical"/>
    <s v="FX 5040"/>
    <m/>
    <m/>
    <m/>
    <m/>
    <x v="0"/>
    <x v="0"/>
  </r>
  <r>
    <n v="27821570"/>
    <x v="0"/>
    <x v="1258"/>
    <s v="FX 5040_2022-07-29T09x00x00"/>
    <s v="B777/2"/>
    <x v="1"/>
    <x v="150"/>
    <x v="17"/>
    <s v="Technical"/>
    <s v="FX 5040"/>
    <m/>
    <m/>
    <m/>
    <m/>
    <x v="0"/>
    <x v="0"/>
  </r>
  <r>
    <n v="27821580"/>
    <x v="0"/>
    <x v="1259"/>
    <s v="FX 9876_2022-07-29T09x15x00"/>
    <s v="B777/2"/>
    <x v="1"/>
    <x v="28"/>
    <x v="15"/>
    <s v="Technical"/>
    <s v="FX 9876"/>
    <m/>
    <m/>
    <m/>
    <m/>
    <x v="0"/>
    <x v="0"/>
  </r>
  <r>
    <n v="27821586"/>
    <x v="0"/>
    <x v="1260"/>
    <m/>
    <m/>
    <x v="6"/>
    <x v="161"/>
    <x v="5"/>
    <s v="Operational"/>
    <m/>
    <m/>
    <m/>
    <m/>
    <m/>
    <x v="0"/>
    <x v="0"/>
  </r>
  <r>
    <n v="27821592"/>
    <x v="0"/>
    <x v="1261"/>
    <s v="FX 9876_2022-07-29T09x15x00"/>
    <s v="B777/2"/>
    <x v="1"/>
    <x v="28"/>
    <x v="17"/>
    <s v="Technical"/>
    <s v="FX 9876"/>
    <m/>
    <m/>
    <m/>
    <m/>
    <x v="0"/>
    <x v="0"/>
  </r>
  <r>
    <n v="27821629"/>
    <x v="0"/>
    <x v="1262"/>
    <s v="FX 9876_2022-07-29T09x15x00"/>
    <s v="B777/2"/>
    <x v="1"/>
    <x v="28"/>
    <x v="15"/>
    <s v="Technical"/>
    <s v="FX 9876"/>
    <m/>
    <m/>
    <m/>
    <m/>
    <x v="0"/>
    <x v="0"/>
  </r>
  <r>
    <n v="27821649"/>
    <x v="0"/>
    <x v="1263"/>
    <s v="EK 046_2022-07-29T09x10x00"/>
    <s v="B777/3-ER"/>
    <x v="3"/>
    <x v="84"/>
    <x v="3"/>
    <s v="Operational"/>
    <s v="EK 046"/>
    <m/>
    <m/>
    <m/>
    <m/>
    <x v="0"/>
    <x v="0"/>
  </r>
  <r>
    <n v="27821652"/>
    <x v="0"/>
    <x v="1264"/>
    <s v="FX 9876_2022-07-29T09x15x00"/>
    <s v="B777/2"/>
    <x v="1"/>
    <x v="28"/>
    <x v="17"/>
    <s v="Technical"/>
    <s v="FX 9876"/>
    <m/>
    <m/>
    <m/>
    <m/>
    <x v="0"/>
    <x v="0"/>
  </r>
  <r>
    <n v="27821663"/>
    <x v="0"/>
    <x v="1265"/>
    <s v="FZ 591_2022-07-29T09x10x00"/>
    <s v="B737/8"/>
    <x v="1"/>
    <x v="83"/>
    <x v="1"/>
    <s v="Operational"/>
    <s v="FZ 591"/>
    <m/>
    <m/>
    <m/>
    <m/>
    <x v="0"/>
    <x v="0"/>
  </r>
  <r>
    <n v="27821706"/>
    <x v="0"/>
    <x v="1266"/>
    <s v="EK 545_2022-07-29T08x25x00"/>
    <s v="B777/3-ER"/>
    <x v="2"/>
    <x v="56"/>
    <x v="2"/>
    <s v="Operational"/>
    <s v="EK 545"/>
    <m/>
    <m/>
    <m/>
    <m/>
    <x v="0"/>
    <x v="0"/>
  </r>
  <r>
    <n v="27821715"/>
    <x v="0"/>
    <x v="1267"/>
    <s v="EK 545_2022-07-29T08x25x00"/>
    <s v="B777/3-ER"/>
    <x v="2"/>
    <x v="56"/>
    <x v="0"/>
    <s v="Operational"/>
    <s v="EK 545"/>
    <m/>
    <m/>
    <m/>
    <m/>
    <x v="0"/>
    <x v="0"/>
  </r>
  <r>
    <n v="27821732"/>
    <x v="0"/>
    <x v="1268"/>
    <s v="FX 9876_2022-07-29T09x15x00"/>
    <s v="B777/2"/>
    <x v="1"/>
    <x v="28"/>
    <x v="2"/>
    <s v="Operational"/>
    <s v="FX 9876"/>
    <m/>
    <m/>
    <m/>
    <m/>
    <x v="0"/>
    <x v="0"/>
  </r>
  <r>
    <n v="27821762"/>
    <x v="0"/>
    <x v="1269"/>
    <s v="FX 9876_2022-07-29T09x15x00"/>
    <s v="B777/2"/>
    <x v="1"/>
    <x v="28"/>
    <x v="0"/>
    <s v="Operational"/>
    <s v="FX 9876"/>
    <m/>
    <m/>
    <m/>
    <m/>
    <x v="0"/>
    <x v="0"/>
  </r>
  <r>
    <n v="27821792"/>
    <x v="0"/>
    <x v="1270"/>
    <s v="FX 5040_2022-07-29T09x00x00"/>
    <s v="B777/2"/>
    <x v="1"/>
    <x v="150"/>
    <x v="2"/>
    <s v="Operational"/>
    <s v="FX 5040"/>
    <m/>
    <m/>
    <m/>
    <m/>
    <x v="0"/>
    <x v="0"/>
  </r>
  <r>
    <n v="27821796"/>
    <x v="0"/>
    <x v="1271"/>
    <s v="FZ 749_2022-07-29T08x50x00"/>
    <s v="B737/8-MAX"/>
    <x v="1"/>
    <x v="101"/>
    <x v="1"/>
    <s v="Operational"/>
    <s v="FZ 749"/>
    <m/>
    <m/>
    <m/>
    <m/>
    <x v="0"/>
    <x v="0"/>
  </r>
  <r>
    <n v="27821805"/>
    <x v="0"/>
    <x v="1272"/>
    <s v="FX 5040_2022-07-29T09x00x00"/>
    <s v="B777/2"/>
    <x v="1"/>
    <x v="150"/>
    <x v="0"/>
    <s v="Operational"/>
    <s v="FX 5040"/>
    <m/>
    <m/>
    <m/>
    <m/>
    <x v="0"/>
    <x v="0"/>
  </r>
  <r>
    <n v="27821823"/>
    <x v="0"/>
    <x v="1273"/>
    <s v="AI 937_2022-07-29T09x45x00"/>
    <s v="A321"/>
    <x v="0"/>
    <x v="57"/>
    <x v="3"/>
    <s v="Operational"/>
    <s v="AI 937"/>
    <m/>
    <m/>
    <m/>
    <m/>
    <x v="0"/>
    <x v="0"/>
  </r>
  <r>
    <n v="27821851"/>
    <x v="0"/>
    <x v="1274"/>
    <s v="EK 601_2022-07-29T09x20x00"/>
    <s v="B777/3-ER"/>
    <x v="4"/>
    <x v="119"/>
    <x v="3"/>
    <s v="Operational"/>
    <s v="EK 601"/>
    <m/>
    <m/>
    <m/>
    <m/>
    <x v="0"/>
    <x v="0"/>
  </r>
  <r>
    <n v="27821858"/>
    <x v="0"/>
    <x v="1275"/>
    <s v="FZ 885_2022-07-29T09x10x00"/>
    <s v="B737/8"/>
    <x v="1"/>
    <x v="137"/>
    <x v="1"/>
    <s v="Operational"/>
    <s v="FZ 885"/>
    <m/>
    <m/>
    <m/>
    <m/>
    <x v="0"/>
    <x v="0"/>
  </r>
  <r>
    <n v="27821884"/>
    <x v="0"/>
    <x v="1276"/>
    <s v="EK 409_2022-07-29T09x10x00"/>
    <s v="A380"/>
    <x v="4"/>
    <x v="68"/>
    <x v="2"/>
    <s v="Operational"/>
    <m/>
    <m/>
    <m/>
    <m/>
    <m/>
    <x v="0"/>
    <x v="0"/>
  </r>
  <r>
    <n v="27821896"/>
    <x v="0"/>
    <x v="1277"/>
    <s v="EK 409_2022-07-29T09x10x00"/>
    <s v="A380"/>
    <x v="4"/>
    <x v="68"/>
    <x v="0"/>
    <s v="Operational"/>
    <m/>
    <m/>
    <m/>
    <m/>
    <m/>
    <x v="0"/>
    <x v="0"/>
  </r>
  <r>
    <n v="27821910"/>
    <x v="0"/>
    <x v="1278"/>
    <s v="EK 601_2022-07-29T09x20x00"/>
    <s v="B777/3-ER"/>
    <x v="4"/>
    <x v="119"/>
    <x v="4"/>
    <s v="Operational"/>
    <s v="EK 601"/>
    <m/>
    <m/>
    <m/>
    <m/>
    <x v="0"/>
    <x v="0"/>
  </r>
  <r>
    <n v="27821921"/>
    <x v="0"/>
    <x v="1279"/>
    <s v="EK 046_2022-07-29T09x10x00"/>
    <s v="B777/3-ER"/>
    <x v="3"/>
    <x v="84"/>
    <x v="4"/>
    <s v="Operational"/>
    <s v="EK 046"/>
    <m/>
    <m/>
    <m/>
    <m/>
    <x v="0"/>
    <x v="0"/>
  </r>
  <r>
    <n v="27821956"/>
    <x v="0"/>
    <x v="1280"/>
    <s v="EK 583_2022-07-29T09x05x00"/>
    <s v="B777/3-ER"/>
    <x v="4"/>
    <x v="70"/>
    <x v="3"/>
    <s v="Operational"/>
    <s v="EK 583"/>
    <m/>
    <m/>
    <m/>
    <m/>
    <x v="0"/>
    <x v="0"/>
  </r>
  <r>
    <n v="27821968"/>
    <x v="0"/>
    <x v="1281"/>
    <s v="EK 583_2022-07-29T09x05x00"/>
    <s v="B777/3-ER"/>
    <x v="4"/>
    <x v="70"/>
    <x v="4"/>
    <s v="Operational"/>
    <s v="EK 583"/>
    <m/>
    <m/>
    <m/>
    <m/>
    <x v="0"/>
    <x v="0"/>
  </r>
  <r>
    <n v="27822001"/>
    <x v="0"/>
    <x v="1282"/>
    <s v="EK 046_2022-07-29T09x10x00"/>
    <s v="B777/3-ER"/>
    <x v="3"/>
    <x v="84"/>
    <x v="2"/>
    <s v="Operational"/>
    <s v="EK 046"/>
    <m/>
    <m/>
    <m/>
    <m/>
    <x v="0"/>
    <x v="0"/>
  </r>
  <r>
    <n v="27822008"/>
    <x v="0"/>
    <x v="1283"/>
    <s v="SV 597_2022-07-29T09x30x00"/>
    <s v="A320"/>
    <x v="0"/>
    <x v="0"/>
    <x v="1"/>
    <s v="Operational"/>
    <s v="SV 597"/>
    <m/>
    <m/>
    <m/>
    <m/>
    <x v="0"/>
    <x v="0"/>
  </r>
  <r>
    <n v="27822036"/>
    <x v="0"/>
    <x v="1284"/>
    <s v="EK 046_2022-07-29T09x10x00"/>
    <s v="B777/3-ER"/>
    <x v="3"/>
    <x v="84"/>
    <x v="0"/>
    <s v="Operational"/>
    <s v="EK 046"/>
    <m/>
    <m/>
    <m/>
    <m/>
    <x v="0"/>
    <x v="0"/>
  </r>
  <r>
    <n v="27822049"/>
    <x v="0"/>
    <x v="1285"/>
    <s v="AI 937_2022-07-29T09x45x00"/>
    <s v="A321"/>
    <x v="0"/>
    <x v="57"/>
    <x v="4"/>
    <s v="Operational"/>
    <s v="AI 937"/>
    <m/>
    <m/>
    <m/>
    <m/>
    <x v="0"/>
    <x v="0"/>
  </r>
  <r>
    <n v="27822062"/>
    <x v="0"/>
    <x v="1286"/>
    <m/>
    <m/>
    <x v="0"/>
    <x v="14"/>
    <x v="5"/>
    <s v="Operational"/>
    <m/>
    <m/>
    <m/>
    <m/>
    <m/>
    <x v="0"/>
    <x v="0"/>
  </r>
  <r>
    <n v="27822093"/>
    <x v="0"/>
    <x v="1287"/>
    <s v="F3 506_2022-07-29T09x25x00"/>
    <s v="A320-NEO"/>
    <x v="1"/>
    <x v="52"/>
    <x v="1"/>
    <s v="Operational"/>
    <s v="F3 506"/>
    <m/>
    <m/>
    <m/>
    <m/>
    <x v="0"/>
    <x v="0"/>
  </r>
  <r>
    <n v="27822116"/>
    <x v="0"/>
    <x v="1288"/>
    <m/>
    <m/>
    <x v="1"/>
    <x v="31"/>
    <x v="8"/>
    <s v="Operational"/>
    <m/>
    <m/>
    <m/>
    <m/>
    <m/>
    <x v="0"/>
    <x v="0"/>
  </r>
  <r>
    <n v="27822118"/>
    <x v="0"/>
    <x v="1288"/>
    <m/>
    <m/>
    <x v="1"/>
    <x v="31"/>
    <x v="9"/>
    <s v="Operational"/>
    <m/>
    <m/>
    <m/>
    <m/>
    <m/>
    <x v="0"/>
    <x v="0"/>
  </r>
  <r>
    <n v="27822136"/>
    <x v="0"/>
    <x v="1289"/>
    <s v="EK 601_2022-07-29T09x20x00"/>
    <s v="B777/3-ER"/>
    <x v="4"/>
    <x v="119"/>
    <x v="2"/>
    <s v="Operational"/>
    <s v="EK 601"/>
    <m/>
    <m/>
    <m/>
    <m/>
    <x v="0"/>
    <x v="0"/>
  </r>
  <r>
    <n v="27822149"/>
    <x v="0"/>
    <x v="1290"/>
    <s v="AI 937_2022-07-29T09x45x00"/>
    <s v="A321"/>
    <x v="0"/>
    <x v="57"/>
    <x v="2"/>
    <s v="Operational"/>
    <s v="AI 937"/>
    <m/>
    <m/>
    <m/>
    <m/>
    <x v="0"/>
    <x v="0"/>
  </r>
  <r>
    <n v="27822156"/>
    <x v="0"/>
    <x v="1291"/>
    <s v="EK 601_2022-07-29T09x20x00"/>
    <s v="B777/3-ER"/>
    <x v="4"/>
    <x v="119"/>
    <x v="0"/>
    <s v="Operational"/>
    <s v="EK 601"/>
    <m/>
    <m/>
    <m/>
    <m/>
    <x v="0"/>
    <x v="0"/>
  </r>
  <r>
    <n v="27822173"/>
    <x v="0"/>
    <x v="1292"/>
    <s v="AI 937_2022-07-29T09x45x00"/>
    <s v="A321"/>
    <x v="0"/>
    <x v="57"/>
    <x v="0"/>
    <s v="Operational"/>
    <s v="AI 937"/>
    <m/>
    <m/>
    <m/>
    <m/>
    <x v="0"/>
    <x v="0"/>
  </r>
  <r>
    <n v="27822197"/>
    <x v="0"/>
    <x v="1293"/>
    <s v="EK 583_2022-07-29T09x05x00"/>
    <s v="B777/3-ER"/>
    <x v="4"/>
    <x v="70"/>
    <x v="2"/>
    <s v="Operational"/>
    <s v="EK 583"/>
    <m/>
    <m/>
    <m/>
    <m/>
    <x v="0"/>
    <x v="0"/>
  </r>
  <r>
    <n v="27822198"/>
    <x v="0"/>
    <x v="1294"/>
    <s v="FX 5279_2022-07-29T09x30x00"/>
    <s v="B777/2"/>
    <x v="1"/>
    <x v="15"/>
    <x v="1"/>
    <s v="Operational"/>
    <s v="FX 5279"/>
    <m/>
    <m/>
    <m/>
    <m/>
    <x v="0"/>
    <x v="0"/>
  </r>
  <r>
    <n v="27822220"/>
    <x v="0"/>
    <x v="1295"/>
    <s v="EK 583_2022-07-29T09x05x00"/>
    <s v="B777/3-ER"/>
    <x v="4"/>
    <x v="70"/>
    <x v="0"/>
    <s v="Operational"/>
    <s v="EK 583"/>
    <m/>
    <m/>
    <m/>
    <m/>
    <x v="0"/>
    <x v="0"/>
  </r>
  <r>
    <n v="27822233"/>
    <x v="0"/>
    <x v="1296"/>
    <s v="EK 502_2022-07-29T09x00x00"/>
    <s v="B777/2-LR"/>
    <x v="2"/>
    <x v="36"/>
    <x v="1"/>
    <s v="Operational"/>
    <s v="EK 502"/>
    <m/>
    <m/>
    <m/>
    <m/>
    <x v="0"/>
    <x v="0"/>
  </r>
  <r>
    <n v="27822244"/>
    <x v="0"/>
    <x v="1297"/>
    <s v="IRB 9723_2022-07-29T09x30x00"/>
    <s v="A300/6"/>
    <x v="0"/>
    <x v="88"/>
    <x v="1"/>
    <s v="Operational"/>
    <s v="IRB 9723"/>
    <m/>
    <m/>
    <m/>
    <m/>
    <x v="0"/>
    <x v="0"/>
  </r>
  <r>
    <n v="27822262"/>
    <x v="0"/>
    <x v="1298"/>
    <m/>
    <m/>
    <x v="2"/>
    <x v="81"/>
    <x v="6"/>
    <s v="Operational"/>
    <m/>
    <m/>
    <m/>
    <m/>
    <m/>
    <x v="0"/>
    <x v="0"/>
  </r>
  <r>
    <n v="27822269"/>
    <x v="0"/>
    <x v="1299"/>
    <m/>
    <m/>
    <x v="5"/>
    <x v="82"/>
    <x v="13"/>
    <s v="Operational"/>
    <m/>
    <m/>
    <m/>
    <m/>
    <m/>
    <x v="0"/>
    <x v="0"/>
  </r>
  <r>
    <n v="27822273"/>
    <x v="0"/>
    <x v="1300"/>
    <s v="EK 793_2022-07-30T05x45x00"/>
    <s v="B777/3-ER"/>
    <x v="5"/>
    <x v="165"/>
    <x v="1"/>
    <s v="Operational"/>
    <m/>
    <m/>
    <m/>
    <m/>
    <m/>
    <x v="0"/>
    <x v="0"/>
  </r>
  <r>
    <n v="27822277"/>
    <x v="0"/>
    <x v="1301"/>
    <m/>
    <m/>
    <x v="5"/>
    <x v="82"/>
    <x v="14"/>
    <s v="Operational"/>
    <m/>
    <m/>
    <m/>
    <m/>
    <m/>
    <x v="0"/>
    <x v="0"/>
  </r>
  <r>
    <n v="27822299"/>
    <x v="0"/>
    <x v="1302"/>
    <m/>
    <m/>
    <x v="1"/>
    <x v="31"/>
    <x v="8"/>
    <s v="Operational"/>
    <m/>
    <m/>
    <m/>
    <m/>
    <m/>
    <x v="0"/>
    <x v="0"/>
  </r>
  <r>
    <n v="27822301"/>
    <x v="0"/>
    <x v="1302"/>
    <m/>
    <m/>
    <x v="1"/>
    <x v="31"/>
    <x v="9"/>
    <s v="Operational"/>
    <m/>
    <m/>
    <m/>
    <m/>
    <m/>
    <x v="0"/>
    <x v="0"/>
  </r>
  <r>
    <n v="27822359"/>
    <x v="0"/>
    <x v="1303"/>
    <s v="IA 124_2022-07-29T09x45x00"/>
    <s v="B737/8"/>
    <x v="1"/>
    <x v="87"/>
    <x v="1"/>
    <s v="Operational"/>
    <s v="IA 124"/>
    <m/>
    <m/>
    <m/>
    <m/>
    <x v="0"/>
    <x v="0"/>
  </r>
  <r>
    <n v="27822376"/>
    <x v="0"/>
    <x v="1304"/>
    <s v="FX 009_2022-07-29T09x40x00"/>
    <s v="B777/2"/>
    <x v="1"/>
    <x v="166"/>
    <x v="1"/>
    <s v="Operational"/>
    <s v="FX 009"/>
    <m/>
    <m/>
    <m/>
    <m/>
    <x v="0"/>
    <x v="0"/>
  </r>
  <r>
    <n v="27822402"/>
    <x v="0"/>
    <x v="1305"/>
    <s v="FZ 658_2022-07-29T08x35x00"/>
    <s v="B737/8"/>
    <x v="1"/>
    <x v="11"/>
    <x v="3"/>
    <s v="Operational"/>
    <s v="FZ 658"/>
    <m/>
    <m/>
    <m/>
    <m/>
    <x v="0"/>
    <x v="0"/>
  </r>
  <r>
    <n v="27822465"/>
    <x v="0"/>
    <x v="1306"/>
    <s v="FZ 658_2022-07-29T08x35x00"/>
    <s v="B737/8"/>
    <x v="1"/>
    <x v="11"/>
    <x v="4"/>
    <s v="Operational"/>
    <s v="FZ 658"/>
    <m/>
    <m/>
    <m/>
    <m/>
    <x v="0"/>
    <x v="0"/>
  </r>
  <r>
    <n v="27822473"/>
    <x v="0"/>
    <x v="1307"/>
    <s v="FZ 658_2022-07-29T08x35x00"/>
    <s v="B737/8"/>
    <x v="1"/>
    <x v="11"/>
    <x v="15"/>
    <s v="Technical"/>
    <s v="FZ 658"/>
    <m/>
    <m/>
    <m/>
    <m/>
    <x v="0"/>
    <x v="0"/>
  </r>
  <r>
    <n v="27822478"/>
    <x v="0"/>
    <x v="1308"/>
    <s v="FZ 658_2022-07-29T08x35x00"/>
    <s v="B737/8"/>
    <x v="1"/>
    <x v="11"/>
    <x v="17"/>
    <s v="Technical"/>
    <s v="FZ 658"/>
    <m/>
    <m/>
    <m/>
    <m/>
    <x v="0"/>
    <x v="0"/>
  </r>
  <r>
    <n v="27822481"/>
    <x v="0"/>
    <x v="1309"/>
    <s v="FZ 658_2022-07-29T08x35x00"/>
    <s v="B737/8"/>
    <x v="1"/>
    <x v="11"/>
    <x v="15"/>
    <s v="Technical"/>
    <s v="FZ 658"/>
    <m/>
    <m/>
    <m/>
    <m/>
    <x v="0"/>
    <x v="0"/>
  </r>
  <r>
    <n v="27822486"/>
    <x v="0"/>
    <x v="1310"/>
    <s v="FZ 658_2022-07-29T08x35x00"/>
    <s v="B737/8"/>
    <x v="1"/>
    <x v="11"/>
    <x v="17"/>
    <s v="Technical"/>
    <s v="FZ 658"/>
    <m/>
    <m/>
    <m/>
    <m/>
    <x v="0"/>
    <x v="0"/>
  </r>
  <r>
    <n v="27822508"/>
    <x v="0"/>
    <x v="1311"/>
    <s v="KC 897_2022-07-29T08x55x00"/>
    <s v="A321-NEO"/>
    <x v="0"/>
    <x v="9"/>
    <x v="3"/>
    <s v="Operational"/>
    <s v="KC 897"/>
    <m/>
    <m/>
    <m/>
    <m/>
    <x v="0"/>
    <x v="0"/>
  </r>
  <r>
    <n v="27822545"/>
    <x v="0"/>
    <x v="1312"/>
    <s v="EK 602_2022-07-29T14x00x00"/>
    <s v="B777/3-ER"/>
    <x v="2"/>
    <x v="81"/>
    <x v="2"/>
    <s v="Operational"/>
    <s v="EK 602"/>
    <m/>
    <m/>
    <m/>
    <m/>
    <x v="0"/>
    <x v="0"/>
  </r>
  <r>
    <n v="27822556"/>
    <x v="0"/>
    <x v="1313"/>
    <s v="EK 602_2022-07-29T14x00x00"/>
    <s v="B777/3-ER"/>
    <x v="2"/>
    <x v="81"/>
    <x v="0"/>
    <s v="Operational"/>
    <s v="EK 602"/>
    <m/>
    <m/>
    <m/>
    <m/>
    <x v="0"/>
    <x v="0"/>
  </r>
  <r>
    <n v="27822566"/>
    <x v="0"/>
    <x v="1314"/>
    <s v="AI 934_2022-07-29T09x35x00"/>
    <s v="B787/8"/>
    <x v="0"/>
    <x v="91"/>
    <x v="1"/>
    <s v="Operational"/>
    <s v="AI 934"/>
    <m/>
    <m/>
    <m/>
    <m/>
    <x v="0"/>
    <x v="0"/>
  </r>
  <r>
    <n v="27822581"/>
    <x v="0"/>
    <x v="1315"/>
    <s v="EK 566_2022-07-29T09x45x00"/>
    <s v="B777/3-ER"/>
    <x v="2"/>
    <x v="53"/>
    <x v="1"/>
    <s v="Operational"/>
    <s v="EK 566"/>
    <m/>
    <m/>
    <m/>
    <m/>
    <x v="0"/>
    <x v="0"/>
  </r>
  <r>
    <n v="27822629"/>
    <x v="0"/>
    <x v="1316"/>
    <s v="FZ 1227_2022-07-29T09x45x00"/>
    <s v="B737/8"/>
    <x v="5"/>
    <x v="98"/>
    <x v="1"/>
    <s v="Operational"/>
    <s v="FZ 1227"/>
    <m/>
    <m/>
    <m/>
    <m/>
    <x v="0"/>
    <x v="0"/>
  </r>
  <r>
    <n v="27822670"/>
    <x v="0"/>
    <x v="1317"/>
    <s v="FZ 658_2022-07-29T08x35x00"/>
    <s v="B737/8"/>
    <x v="1"/>
    <x v="11"/>
    <x v="2"/>
    <s v="Operational"/>
    <s v="FZ 658"/>
    <m/>
    <m/>
    <m/>
    <m/>
    <x v="0"/>
    <x v="0"/>
  </r>
  <r>
    <n v="27822679"/>
    <x v="0"/>
    <x v="1318"/>
    <s v="EK 659_2022-07-29T10x15x00"/>
    <s v="B777/3-ER"/>
    <x v="3"/>
    <x v="106"/>
    <x v="3"/>
    <s v="Operational"/>
    <s v="EK 659"/>
    <m/>
    <m/>
    <m/>
    <m/>
    <x v="0"/>
    <x v="0"/>
  </r>
  <r>
    <n v="27822687"/>
    <x v="0"/>
    <x v="1319"/>
    <s v="FZ 658_2022-07-29T08x35x00"/>
    <s v="B737/8"/>
    <x v="1"/>
    <x v="11"/>
    <x v="0"/>
    <s v="Operational"/>
    <s v="FZ 658"/>
    <m/>
    <m/>
    <m/>
    <m/>
    <x v="0"/>
    <x v="0"/>
  </r>
  <r>
    <n v="27822721"/>
    <x v="0"/>
    <x v="1320"/>
    <s v="EK 659_2022-07-29T10x15x00"/>
    <s v="B777/3-ER"/>
    <x v="3"/>
    <x v="106"/>
    <x v="4"/>
    <s v="Operational"/>
    <s v="EK 659"/>
    <m/>
    <m/>
    <m/>
    <m/>
    <x v="0"/>
    <x v="0"/>
  </r>
  <r>
    <n v="27822746"/>
    <x v="0"/>
    <x v="1321"/>
    <s v="EK 415_2022-07-29T10x10x00"/>
    <s v="A380/8"/>
    <x v="3"/>
    <x v="51"/>
    <x v="3"/>
    <s v="Operational"/>
    <s v="EK 415"/>
    <m/>
    <m/>
    <m/>
    <m/>
    <x v="0"/>
    <x v="0"/>
  </r>
  <r>
    <n v="27822748"/>
    <x v="0"/>
    <x v="1322"/>
    <s v="FX 9821_2022-07-29T09x55x00"/>
    <s v="B777/2"/>
    <x v="1"/>
    <x v="159"/>
    <x v="1"/>
    <s v="Operational"/>
    <s v="FX 9821"/>
    <m/>
    <m/>
    <m/>
    <m/>
    <x v="0"/>
    <x v="0"/>
  </r>
  <r>
    <n v="27822760"/>
    <x v="0"/>
    <x v="1323"/>
    <s v="KC 897_2022-07-29T08x55x00"/>
    <s v="A321-NEO"/>
    <x v="0"/>
    <x v="9"/>
    <x v="10"/>
    <s v="Operational"/>
    <s v="KC 897"/>
    <m/>
    <m/>
    <m/>
    <m/>
    <x v="0"/>
    <x v="0"/>
  </r>
  <r>
    <n v="27822762"/>
    <x v="0"/>
    <x v="1323"/>
    <s v="KC 897_2022-07-29T08x55x00"/>
    <s v="A321-NEO"/>
    <x v="0"/>
    <x v="9"/>
    <x v="11"/>
    <s v="Operational"/>
    <s v="KC 897"/>
    <m/>
    <m/>
    <m/>
    <m/>
    <x v="0"/>
    <x v="0"/>
  </r>
  <r>
    <n v="27822796"/>
    <x v="0"/>
    <x v="1324"/>
    <s v="FZ 8214_2022-07-29T10x20x00"/>
    <s v="B737/8-MAX"/>
    <x v="5"/>
    <x v="71"/>
    <x v="3"/>
    <s v="Operational"/>
    <s v="FZ 8214"/>
    <m/>
    <m/>
    <m/>
    <m/>
    <x v="0"/>
    <x v="0"/>
  </r>
  <r>
    <n v="27822812"/>
    <x v="0"/>
    <x v="1325"/>
    <s v="EK 415_2022-07-29T10x10x00"/>
    <s v="A380/8"/>
    <x v="3"/>
    <x v="51"/>
    <x v="4"/>
    <s v="Operational"/>
    <s v="EK 415"/>
    <m/>
    <m/>
    <m/>
    <m/>
    <x v="0"/>
    <x v="0"/>
  </r>
  <r>
    <n v="27822824"/>
    <x v="0"/>
    <x v="1326"/>
    <s v="KC 897_2022-07-29T08x55x00"/>
    <s v="A321-NEO"/>
    <x v="0"/>
    <x v="9"/>
    <x v="2"/>
    <s v="Operational"/>
    <s v="KC 897"/>
    <m/>
    <m/>
    <m/>
    <m/>
    <x v="0"/>
    <x v="0"/>
  </r>
  <r>
    <n v="27822858"/>
    <x v="0"/>
    <x v="1327"/>
    <s v="KC 897_2022-07-29T08x55x00"/>
    <s v="A321-NEO"/>
    <x v="0"/>
    <x v="9"/>
    <x v="0"/>
    <s v="Operational"/>
    <s v="KC 897"/>
    <m/>
    <m/>
    <m/>
    <m/>
    <x v="0"/>
    <x v="0"/>
  </r>
  <r>
    <n v="27822876"/>
    <x v="0"/>
    <x v="1328"/>
    <s v="EK 659_2022-07-29T10x15x00"/>
    <s v="B777/3-ER"/>
    <x v="3"/>
    <x v="106"/>
    <x v="2"/>
    <s v="Operational"/>
    <s v="EK 659"/>
    <m/>
    <m/>
    <m/>
    <m/>
    <x v="0"/>
    <x v="0"/>
  </r>
  <r>
    <n v="27822881"/>
    <x v="0"/>
    <x v="1329"/>
    <s v="ES 268_2022-07-29T09x45x00"/>
    <s v="B767/2"/>
    <x v="1"/>
    <x v="117"/>
    <x v="1"/>
    <s v="Operational"/>
    <s v="ES 268"/>
    <m/>
    <m/>
    <m/>
    <m/>
    <x v="0"/>
    <x v="0"/>
  </r>
  <r>
    <n v="27822890"/>
    <x v="0"/>
    <x v="1330"/>
    <s v="EK 659_2022-07-29T10x15x00"/>
    <s v="B777/3-ER"/>
    <x v="3"/>
    <x v="106"/>
    <x v="0"/>
    <s v="Operational"/>
    <s v="EK 659"/>
    <m/>
    <m/>
    <m/>
    <m/>
    <x v="0"/>
    <x v="0"/>
  </r>
  <r>
    <n v="27822922"/>
    <x v="0"/>
    <x v="1331"/>
    <s v="FZ 863_2022-07-29T09x35x00"/>
    <s v="B737/8-MAX"/>
    <x v="1"/>
    <x v="43"/>
    <x v="1"/>
    <s v="Operational"/>
    <s v="FZ 863"/>
    <m/>
    <m/>
    <m/>
    <m/>
    <x v="0"/>
    <x v="0"/>
  </r>
  <r>
    <n v="27822942"/>
    <x v="0"/>
    <x v="1332"/>
    <s v="W5 062_2022-07-29T10x00x00"/>
    <s v="A310"/>
    <x v="0"/>
    <x v="50"/>
    <x v="1"/>
    <s v="Operational"/>
    <s v="W5 062"/>
    <m/>
    <m/>
    <m/>
    <m/>
    <x v="0"/>
    <x v="0"/>
  </r>
  <r>
    <n v="27822983"/>
    <x v="0"/>
    <x v="1333"/>
    <s v="FZ 8214_2022-07-29T10x20x00"/>
    <s v="B737/8-MAX"/>
    <x v="5"/>
    <x v="71"/>
    <x v="4"/>
    <s v="Operational"/>
    <s v="FZ 8214"/>
    <m/>
    <m/>
    <m/>
    <m/>
    <x v="0"/>
    <x v="0"/>
  </r>
  <r>
    <n v="27822994"/>
    <x v="0"/>
    <x v="1334"/>
    <s v="FZ 1075_2022-07-29T09x45x00"/>
    <s v="B737/8-MAX"/>
    <x v="5"/>
    <x v="120"/>
    <x v="1"/>
    <s v="Operational"/>
    <s v="FZ 1075"/>
    <m/>
    <m/>
    <m/>
    <m/>
    <x v="0"/>
    <x v="0"/>
  </r>
  <r>
    <n v="27823011"/>
    <x v="0"/>
    <x v="1335"/>
    <s v="EK 415_2022-07-29T10x10x00"/>
    <s v="A380/8"/>
    <x v="3"/>
    <x v="51"/>
    <x v="2"/>
    <s v="Operational"/>
    <s v="EK 415"/>
    <m/>
    <m/>
    <m/>
    <m/>
    <x v="0"/>
    <x v="0"/>
  </r>
  <r>
    <n v="27823013"/>
    <x v="0"/>
    <x v="1336"/>
    <s v="IX 192_2022-07-29T06x05x00"/>
    <s v="B737/8"/>
    <x v="1"/>
    <x v="96"/>
    <x v="1"/>
    <s v="Operational"/>
    <s v="IX 192"/>
    <m/>
    <m/>
    <m/>
    <m/>
    <x v="0"/>
    <x v="0"/>
  </r>
  <r>
    <n v="27823032"/>
    <x v="0"/>
    <x v="1337"/>
    <s v="EK 415_2022-07-29T10x10x00"/>
    <s v="A380/8"/>
    <x v="3"/>
    <x v="51"/>
    <x v="0"/>
    <s v="Operational"/>
    <s v="EK 415"/>
    <m/>
    <m/>
    <m/>
    <m/>
    <x v="0"/>
    <x v="0"/>
  </r>
  <r>
    <n v="27823052"/>
    <x v="0"/>
    <x v="1338"/>
    <s v="FZ 8214_2022-07-29T10x20x00"/>
    <s v="B737/8-MAX"/>
    <x v="5"/>
    <x v="71"/>
    <x v="2"/>
    <s v="Operational"/>
    <s v="FZ 8214"/>
    <m/>
    <m/>
    <m/>
    <m/>
    <x v="0"/>
    <x v="0"/>
  </r>
  <r>
    <n v="27823059"/>
    <x v="0"/>
    <x v="1339"/>
    <s v="FZ 8214_2022-07-29T10x20x00"/>
    <s v="B737/8-MAX"/>
    <x v="5"/>
    <x v="71"/>
    <x v="0"/>
    <s v="Operational"/>
    <s v="FZ 8214"/>
    <m/>
    <m/>
    <m/>
    <m/>
    <x v="0"/>
    <x v="0"/>
  </r>
  <r>
    <n v="27823078"/>
    <x v="0"/>
    <x v="1340"/>
    <s v="FX 9839_2022-07-29T10x30x00"/>
    <s v="B777/2"/>
    <x v="1"/>
    <x v="166"/>
    <x v="3"/>
    <s v="Operational"/>
    <s v="FX 9839"/>
    <m/>
    <m/>
    <m/>
    <m/>
    <x v="0"/>
    <x v="0"/>
  </r>
  <r>
    <n v="27823082"/>
    <x v="0"/>
    <x v="1341"/>
    <s v="FX 9839_2022-07-29T10x30x00"/>
    <s v="B777/2"/>
    <x v="1"/>
    <x v="166"/>
    <x v="4"/>
    <s v="Operational"/>
    <s v="FX 9839"/>
    <m/>
    <m/>
    <m/>
    <m/>
    <x v="0"/>
    <x v="0"/>
  </r>
  <r>
    <n v="27823088"/>
    <x v="0"/>
    <x v="1342"/>
    <s v="FX 9839_2022-07-29T10x30x00"/>
    <s v="B777/2"/>
    <x v="1"/>
    <x v="166"/>
    <x v="15"/>
    <s v="Technical"/>
    <s v="FX 9839"/>
    <m/>
    <m/>
    <m/>
    <m/>
    <x v="0"/>
    <x v="0"/>
  </r>
  <r>
    <n v="27823093"/>
    <x v="0"/>
    <x v="1343"/>
    <s v="FX 9839_2022-07-29T10x30x00"/>
    <s v="B777/2"/>
    <x v="1"/>
    <x v="166"/>
    <x v="17"/>
    <s v="Technical"/>
    <s v="FX 9839"/>
    <m/>
    <m/>
    <m/>
    <m/>
    <x v="0"/>
    <x v="0"/>
  </r>
  <r>
    <n v="27823098"/>
    <x v="0"/>
    <x v="1344"/>
    <s v="FX 9839_2022-07-29T10x30x00"/>
    <s v="B777/2"/>
    <x v="1"/>
    <x v="166"/>
    <x v="15"/>
    <s v="Technical"/>
    <s v="FX 9839"/>
    <m/>
    <m/>
    <m/>
    <m/>
    <x v="0"/>
    <x v="0"/>
  </r>
  <r>
    <n v="27823104"/>
    <x v="0"/>
    <x v="1345"/>
    <s v="FX 9839_2022-07-29T10x30x00"/>
    <s v="B777/2"/>
    <x v="1"/>
    <x v="166"/>
    <x v="17"/>
    <s v="Technical"/>
    <s v="FX 9839"/>
    <m/>
    <m/>
    <m/>
    <m/>
    <x v="0"/>
    <x v="0"/>
  </r>
  <r>
    <n v="27823107"/>
    <x v="0"/>
    <x v="1346"/>
    <s v="FX 9839_2022-07-29T10x30x00"/>
    <s v="B777/2"/>
    <x v="1"/>
    <x v="166"/>
    <x v="15"/>
    <s v="Technical"/>
    <s v="FX 9839"/>
    <m/>
    <m/>
    <m/>
    <m/>
    <x v="0"/>
    <x v="0"/>
  </r>
  <r>
    <n v="27823119"/>
    <x v="0"/>
    <x v="1347"/>
    <s v="FX 9839_2022-07-29T10x30x00"/>
    <s v="B777/2"/>
    <x v="1"/>
    <x v="166"/>
    <x v="17"/>
    <s v="Technical"/>
    <s v="FX 9839"/>
    <m/>
    <m/>
    <m/>
    <m/>
    <x v="0"/>
    <x v="0"/>
  </r>
  <r>
    <n v="27823129"/>
    <x v="0"/>
    <x v="1348"/>
    <m/>
    <m/>
    <x v="1"/>
    <x v="31"/>
    <x v="8"/>
    <s v="Operational"/>
    <m/>
    <m/>
    <m/>
    <m/>
    <m/>
    <x v="0"/>
    <x v="0"/>
  </r>
  <r>
    <n v="27823131"/>
    <x v="0"/>
    <x v="1349"/>
    <m/>
    <m/>
    <x v="1"/>
    <x v="31"/>
    <x v="9"/>
    <s v="Operational"/>
    <m/>
    <m/>
    <m/>
    <m/>
    <m/>
    <x v="0"/>
    <x v="0"/>
  </r>
  <r>
    <n v="27823170"/>
    <x v="0"/>
    <x v="1350"/>
    <s v="KC 898_2022-07-29T09x55x00"/>
    <s v="A321-NEO"/>
    <x v="0"/>
    <x v="9"/>
    <x v="19"/>
    <s v="Operational"/>
    <s v="KC 898"/>
    <m/>
    <m/>
    <m/>
    <m/>
    <x v="0"/>
    <x v="0"/>
  </r>
  <r>
    <n v="27823172"/>
    <x v="0"/>
    <x v="1350"/>
    <s v="KC 898_2022-07-29T09x55x00"/>
    <s v="A321-NEO"/>
    <x v="0"/>
    <x v="9"/>
    <x v="21"/>
    <s v="Operational"/>
    <s v="KC 898"/>
    <m/>
    <m/>
    <m/>
    <m/>
    <x v="0"/>
    <x v="0"/>
  </r>
  <r>
    <n v="27823199"/>
    <x v="0"/>
    <x v="1351"/>
    <s v="SV 558_2022-07-29T10x30x00"/>
    <s v="A330/3"/>
    <x v="0"/>
    <x v="17"/>
    <x v="3"/>
    <s v="Operational"/>
    <s v="SV 558"/>
    <m/>
    <m/>
    <m/>
    <m/>
    <x v="0"/>
    <x v="0"/>
  </r>
  <r>
    <n v="27823225"/>
    <x v="0"/>
    <x v="1352"/>
    <m/>
    <m/>
    <x v="1"/>
    <x v="31"/>
    <x v="8"/>
    <s v="Operational"/>
    <m/>
    <m/>
    <m/>
    <m/>
    <m/>
    <x v="0"/>
    <x v="0"/>
  </r>
  <r>
    <n v="27823227"/>
    <x v="0"/>
    <x v="1352"/>
    <m/>
    <m/>
    <x v="1"/>
    <x v="31"/>
    <x v="9"/>
    <s v="Operational"/>
    <m/>
    <m/>
    <m/>
    <m/>
    <m/>
    <x v="0"/>
    <x v="0"/>
  </r>
  <r>
    <n v="27823229"/>
    <x v="0"/>
    <x v="1353"/>
    <s v="SV 558_2022-07-29T10x30x00"/>
    <s v="A330/3"/>
    <x v="0"/>
    <x v="17"/>
    <x v="4"/>
    <s v="Operational"/>
    <s v="SV 558"/>
    <m/>
    <m/>
    <m/>
    <m/>
    <x v="0"/>
    <x v="0"/>
  </r>
  <r>
    <n v="27823256"/>
    <x v="0"/>
    <x v="1354"/>
    <s v="FZ 583_2022-07-29T09x50x00"/>
    <s v="B737/8"/>
    <x v="1"/>
    <x v="34"/>
    <x v="1"/>
    <s v="Operational"/>
    <s v="FZ 583"/>
    <m/>
    <m/>
    <m/>
    <m/>
    <x v="0"/>
    <x v="0"/>
  </r>
  <r>
    <n v="27823277"/>
    <x v="0"/>
    <x v="1355"/>
    <m/>
    <m/>
    <x v="1"/>
    <x v="117"/>
    <x v="13"/>
    <s v="Operational"/>
    <m/>
    <m/>
    <m/>
    <m/>
    <m/>
    <x v="0"/>
    <x v="0"/>
  </r>
  <r>
    <n v="27823279"/>
    <x v="0"/>
    <x v="1356"/>
    <s v="FZ 8605_2022-07-29T09x55x00"/>
    <s v="B737/8-MAX"/>
    <x v="5"/>
    <x v="77"/>
    <x v="1"/>
    <s v="Operational"/>
    <s v="FZ 8605"/>
    <m/>
    <m/>
    <m/>
    <m/>
    <x v="0"/>
    <x v="0"/>
  </r>
  <r>
    <n v="27823297"/>
    <x v="0"/>
    <x v="1357"/>
    <s v="FZ 1941_2022-07-29T18x10x00"/>
    <s v="B777/3-ER"/>
    <x v="2"/>
    <x v="56"/>
    <x v="1"/>
    <s v="Operational"/>
    <m/>
    <m/>
    <m/>
    <m/>
    <m/>
    <x v="0"/>
    <x v="0"/>
  </r>
  <r>
    <n v="27823301"/>
    <x v="0"/>
    <x v="1358"/>
    <s v="FX 9839_2022-07-29T10x30x00"/>
    <s v="B777/2"/>
    <x v="1"/>
    <x v="166"/>
    <x v="2"/>
    <s v="Operational"/>
    <s v="FX 9839"/>
    <m/>
    <m/>
    <m/>
    <m/>
    <x v="0"/>
    <x v="0"/>
  </r>
  <r>
    <n v="27823311"/>
    <x v="0"/>
    <x v="1359"/>
    <s v="FX 9839_2022-07-29T10x30x00"/>
    <s v="B777/2"/>
    <x v="1"/>
    <x v="166"/>
    <x v="0"/>
    <s v="Operational"/>
    <s v="FX 9839"/>
    <m/>
    <m/>
    <m/>
    <m/>
    <x v="0"/>
    <x v="0"/>
  </r>
  <r>
    <n v="27823330"/>
    <x v="0"/>
    <x v="1360"/>
    <m/>
    <m/>
    <x v="0"/>
    <x v="113"/>
    <x v="13"/>
    <s v="Operational"/>
    <m/>
    <m/>
    <m/>
    <m/>
    <m/>
    <x v="0"/>
    <x v="0"/>
  </r>
  <r>
    <n v="27823344"/>
    <x v="0"/>
    <x v="1361"/>
    <m/>
    <m/>
    <x v="6"/>
    <x v="153"/>
    <x v="6"/>
    <s v="Operational"/>
    <m/>
    <m/>
    <m/>
    <m/>
    <m/>
    <x v="0"/>
    <x v="0"/>
  </r>
  <r>
    <n v="27823366"/>
    <x v="0"/>
    <x v="1362"/>
    <m/>
    <m/>
    <x v="0"/>
    <x v="113"/>
    <x v="14"/>
    <s v="Operational"/>
    <m/>
    <m/>
    <m/>
    <m/>
    <m/>
    <x v="0"/>
    <x v="0"/>
  </r>
  <r>
    <n v="27823411"/>
    <x v="0"/>
    <x v="1363"/>
    <s v="EK 903_2022-07-29T10x05x00"/>
    <s v="A380/8"/>
    <x v="4"/>
    <x v="49"/>
    <x v="1"/>
    <s v="Operational"/>
    <s v="EK 903"/>
    <m/>
    <m/>
    <m/>
    <m/>
    <x v="0"/>
    <x v="0"/>
  </r>
  <r>
    <n v="27823427"/>
    <x v="0"/>
    <x v="1364"/>
    <s v="FZ 573_2022-07-29T09x50x00"/>
    <s v="B737/8"/>
    <x v="1"/>
    <x v="69"/>
    <x v="1"/>
    <s v="Operational"/>
    <s v="FZ 573"/>
    <m/>
    <m/>
    <m/>
    <m/>
    <x v="0"/>
    <x v="0"/>
  </r>
  <r>
    <n v="27823438"/>
    <x v="0"/>
    <x v="1365"/>
    <m/>
    <m/>
    <x v="1"/>
    <x v="31"/>
    <x v="8"/>
    <s v="Operational"/>
    <m/>
    <m/>
    <m/>
    <m/>
    <m/>
    <x v="0"/>
    <x v="0"/>
  </r>
  <r>
    <n v="27823440"/>
    <x v="0"/>
    <x v="1365"/>
    <m/>
    <m/>
    <x v="1"/>
    <x v="31"/>
    <x v="9"/>
    <s v="Operational"/>
    <m/>
    <m/>
    <m/>
    <m/>
    <m/>
    <x v="0"/>
    <x v="0"/>
  </r>
  <r>
    <n v="27823493"/>
    <x v="0"/>
    <x v="1366"/>
    <s v="FZ 883_2022-07-29T10x10x00"/>
    <s v="B737/8"/>
    <x v="1"/>
    <x v="1"/>
    <x v="1"/>
    <s v="Operational"/>
    <s v="FZ 883"/>
    <m/>
    <m/>
    <m/>
    <m/>
    <x v="0"/>
    <x v="0"/>
  </r>
  <r>
    <n v="27823514"/>
    <x v="0"/>
    <x v="1367"/>
    <s v="FZ 226_2022-07-29T09x10x00"/>
    <s v="B737/8"/>
    <x v="1"/>
    <x v="6"/>
    <x v="3"/>
    <s v="Operational"/>
    <s v="FZ 226"/>
    <m/>
    <m/>
    <m/>
    <m/>
    <x v="0"/>
    <x v="0"/>
  </r>
  <r>
    <n v="27823520"/>
    <x v="0"/>
    <x v="1368"/>
    <s v="FZ 226_2022-07-29T09x10x00"/>
    <s v="B737/8"/>
    <x v="1"/>
    <x v="6"/>
    <x v="4"/>
    <s v="Operational"/>
    <s v="FZ 226"/>
    <m/>
    <m/>
    <m/>
    <m/>
    <x v="0"/>
    <x v="0"/>
  </r>
  <r>
    <n v="27823549"/>
    <x v="0"/>
    <x v="1369"/>
    <s v="SG 023_2022-07-29T10x35x00"/>
    <s v="B737/8"/>
    <x v="0"/>
    <x v="29"/>
    <x v="3"/>
    <s v="Operational"/>
    <s v="SG 023"/>
    <m/>
    <m/>
    <m/>
    <m/>
    <x v="0"/>
    <x v="0"/>
  </r>
  <r>
    <n v="27823557"/>
    <x v="0"/>
    <x v="1370"/>
    <m/>
    <m/>
    <x v="1"/>
    <x v="31"/>
    <x v="8"/>
    <s v="Operational"/>
    <m/>
    <m/>
    <m/>
    <m/>
    <m/>
    <x v="0"/>
    <x v="0"/>
  </r>
  <r>
    <n v="27823560"/>
    <x v="0"/>
    <x v="1371"/>
    <s v="EK 533_2022-07-29T10x00x00"/>
    <s v="B777/2-LR"/>
    <x v="2"/>
    <x v="10"/>
    <x v="1"/>
    <s v="Operational"/>
    <s v="EK 533"/>
    <m/>
    <m/>
    <m/>
    <m/>
    <x v="0"/>
    <x v="0"/>
  </r>
  <r>
    <n v="27823570"/>
    <x v="0"/>
    <x v="1372"/>
    <s v="SG 023_2022-07-29T10x35x00"/>
    <s v="B737/8"/>
    <x v="0"/>
    <x v="29"/>
    <x v="10"/>
    <s v="Operational"/>
    <s v="SG 023"/>
    <m/>
    <m/>
    <m/>
    <m/>
    <x v="0"/>
    <x v="0"/>
  </r>
  <r>
    <n v="27823572"/>
    <x v="0"/>
    <x v="1372"/>
    <s v="SG 023_2022-07-29T10x35x00"/>
    <s v="B737/8"/>
    <x v="0"/>
    <x v="29"/>
    <x v="11"/>
    <s v="Operational"/>
    <s v="SG 023"/>
    <m/>
    <m/>
    <m/>
    <m/>
    <x v="0"/>
    <x v="0"/>
  </r>
  <r>
    <n v="27823576"/>
    <x v="0"/>
    <x v="1373"/>
    <m/>
    <m/>
    <x v="1"/>
    <x v="31"/>
    <x v="32"/>
    <s v="Operational"/>
    <m/>
    <m/>
    <m/>
    <m/>
    <m/>
    <x v="0"/>
    <x v="0"/>
  </r>
  <r>
    <n v="27823579"/>
    <x v="0"/>
    <x v="1373"/>
    <m/>
    <m/>
    <x v="1"/>
    <x v="31"/>
    <x v="9"/>
    <s v="Operational"/>
    <m/>
    <m/>
    <m/>
    <m/>
    <m/>
    <x v="0"/>
    <x v="0"/>
  </r>
  <r>
    <n v="27823586"/>
    <x v="0"/>
    <x v="1374"/>
    <s v="SV 558_2022-07-29T10x30x00"/>
    <s v="A330/3"/>
    <x v="0"/>
    <x v="17"/>
    <x v="2"/>
    <s v="Operational"/>
    <s v="SV 558"/>
    <m/>
    <m/>
    <m/>
    <m/>
    <x v="0"/>
    <x v="0"/>
  </r>
  <r>
    <n v="27823590"/>
    <x v="0"/>
    <x v="1375"/>
    <m/>
    <m/>
    <x v="6"/>
    <x v="127"/>
    <x v="7"/>
    <s v="Operational"/>
    <m/>
    <m/>
    <m/>
    <m/>
    <m/>
    <x v="0"/>
    <x v="0"/>
  </r>
  <r>
    <n v="27823601"/>
    <x v="0"/>
    <x v="1376"/>
    <s v="SV 558_2022-07-29T10x30x00"/>
    <s v="A330/3"/>
    <x v="0"/>
    <x v="17"/>
    <x v="0"/>
    <s v="Operational"/>
    <s v="SV 558"/>
    <m/>
    <m/>
    <m/>
    <m/>
    <x v="0"/>
    <x v="0"/>
  </r>
  <r>
    <n v="27823637"/>
    <x v="0"/>
    <x v="1377"/>
    <m/>
    <m/>
    <x v="1"/>
    <x v="117"/>
    <x v="14"/>
    <s v="Operational"/>
    <m/>
    <m/>
    <m/>
    <m/>
    <m/>
    <x v="0"/>
    <x v="0"/>
  </r>
  <r>
    <n v="27823656"/>
    <x v="0"/>
    <x v="1378"/>
    <m/>
    <m/>
    <x v="7"/>
    <x v="39"/>
    <x v="6"/>
    <s v="Operational"/>
    <m/>
    <m/>
    <m/>
    <m/>
    <m/>
    <x v="0"/>
    <x v="0"/>
  </r>
  <r>
    <n v="27823668"/>
    <x v="0"/>
    <x v="1379"/>
    <s v="FZ 226_2022-07-29T09x10x00"/>
    <s v="B737/8"/>
    <x v="1"/>
    <x v="6"/>
    <x v="2"/>
    <s v="Operational"/>
    <s v="FZ 226"/>
    <m/>
    <m/>
    <m/>
    <m/>
    <x v="0"/>
    <x v="0"/>
  </r>
  <r>
    <n v="27823674"/>
    <x v="0"/>
    <x v="1380"/>
    <s v="FZ 226_2022-07-29T09x10x00"/>
    <s v="B737/8"/>
    <x v="1"/>
    <x v="6"/>
    <x v="0"/>
    <s v="Operational"/>
    <s v="FZ 226"/>
    <m/>
    <m/>
    <m/>
    <m/>
    <x v="0"/>
    <x v="0"/>
  </r>
  <r>
    <n v="27823729"/>
    <x v="0"/>
    <x v="1381"/>
    <s v="EK 181_2022-07-29T10x20x00"/>
    <s v="B777/3-ER"/>
    <x v="4"/>
    <x v="64"/>
    <x v="1"/>
    <s v="Operational"/>
    <s v="EK 181"/>
    <m/>
    <m/>
    <m/>
    <m/>
    <x v="0"/>
    <x v="0"/>
  </r>
  <r>
    <n v="27823746"/>
    <x v="0"/>
    <x v="1382"/>
    <m/>
    <m/>
    <x v="1"/>
    <x v="31"/>
    <x v="8"/>
    <s v="Operational"/>
    <m/>
    <m/>
    <m/>
    <m/>
    <m/>
    <x v="0"/>
    <x v="0"/>
  </r>
  <r>
    <n v="27823748"/>
    <x v="0"/>
    <x v="1382"/>
    <m/>
    <m/>
    <x v="1"/>
    <x v="31"/>
    <x v="9"/>
    <s v="Operational"/>
    <m/>
    <m/>
    <m/>
    <m/>
    <m/>
    <x v="0"/>
    <x v="0"/>
  </r>
  <r>
    <n v="27823776"/>
    <x v="0"/>
    <x v="1383"/>
    <m/>
    <s v="B777/3-ER"/>
    <x v="6"/>
    <x v="153"/>
    <x v="2"/>
    <s v="Operational"/>
    <m/>
    <m/>
    <m/>
    <m/>
    <m/>
    <x v="0"/>
    <x v="0"/>
  </r>
  <r>
    <n v="27823780"/>
    <x v="0"/>
    <x v="1384"/>
    <s v="FZ 862_2022-07-29T10x40x00"/>
    <s v="B737/8-MAX"/>
    <x v="1"/>
    <x v="116"/>
    <x v="3"/>
    <s v="Operational"/>
    <s v="FZ 862"/>
    <m/>
    <m/>
    <m/>
    <m/>
    <x v="0"/>
    <x v="0"/>
  </r>
  <r>
    <n v="27823787"/>
    <x v="0"/>
    <x v="1385"/>
    <s v="EK 033_2022-07-29T10x30x00"/>
    <s v="B777/3-ER"/>
    <x v="4"/>
    <x v="13"/>
    <x v="1"/>
    <s v="Operational"/>
    <s v="EK 033"/>
    <m/>
    <m/>
    <m/>
    <m/>
    <x v="0"/>
    <x v="0"/>
  </r>
  <r>
    <n v="27823794"/>
    <x v="0"/>
    <x v="1386"/>
    <m/>
    <m/>
    <x v="1"/>
    <x v="31"/>
    <x v="8"/>
    <s v="Operational"/>
    <m/>
    <m/>
    <m/>
    <m/>
    <m/>
    <x v="0"/>
    <x v="0"/>
  </r>
  <r>
    <n v="27823803"/>
    <x v="0"/>
    <x v="1387"/>
    <s v="EK 806_2022-07-29T10x45x00"/>
    <s v="B777/3-ER"/>
    <x v="4"/>
    <x v="49"/>
    <x v="3"/>
    <s v="Operational"/>
    <s v="EK 806"/>
    <m/>
    <m/>
    <m/>
    <m/>
    <x v="0"/>
    <x v="0"/>
  </r>
  <r>
    <n v="27823807"/>
    <x v="0"/>
    <x v="1388"/>
    <s v="FZ 862_2022-07-29T10x40x00"/>
    <s v="B737/8-MAX"/>
    <x v="1"/>
    <x v="116"/>
    <x v="4"/>
    <s v="Operational"/>
    <s v="FZ 862"/>
    <m/>
    <m/>
    <m/>
    <m/>
    <x v="0"/>
    <x v="0"/>
  </r>
  <r>
    <n v="27823821"/>
    <x v="0"/>
    <x v="1389"/>
    <m/>
    <m/>
    <x v="1"/>
    <x v="31"/>
    <x v="9"/>
    <s v="Operational"/>
    <m/>
    <m/>
    <m/>
    <m/>
    <m/>
    <x v="0"/>
    <x v="0"/>
  </r>
  <r>
    <n v="27823831"/>
    <x v="0"/>
    <x v="1390"/>
    <s v="FZ 710_2022-07-29T10x50x00"/>
    <s v="B737/8"/>
    <x v="1"/>
    <x v="83"/>
    <x v="3"/>
    <s v="Operational"/>
    <s v="FZ 710"/>
    <m/>
    <m/>
    <m/>
    <m/>
    <x v="0"/>
    <x v="0"/>
  </r>
  <r>
    <n v="27823838"/>
    <x v="0"/>
    <x v="1391"/>
    <s v="FZ 710_2022-07-29T10x50x00"/>
    <s v="B737/8"/>
    <x v="1"/>
    <x v="83"/>
    <x v="4"/>
    <s v="Operational"/>
    <s v="FZ 710"/>
    <m/>
    <m/>
    <m/>
    <m/>
    <x v="0"/>
    <x v="0"/>
  </r>
  <r>
    <n v="27823850"/>
    <x v="0"/>
    <x v="1392"/>
    <s v="SG 023_2022-07-29T10x35x00"/>
    <s v="B737/8"/>
    <x v="0"/>
    <x v="29"/>
    <x v="2"/>
    <s v="Operational"/>
    <s v="SG 023"/>
    <m/>
    <m/>
    <m/>
    <m/>
    <x v="0"/>
    <x v="0"/>
  </r>
  <r>
    <n v="27823859"/>
    <x v="0"/>
    <x v="1393"/>
    <m/>
    <s v="B777/3-ER"/>
    <x v="6"/>
    <x v="153"/>
    <x v="0"/>
    <s v="Operational"/>
    <m/>
    <m/>
    <m/>
    <m/>
    <m/>
    <x v="0"/>
    <x v="0"/>
  </r>
  <r>
    <n v="27823865"/>
    <x v="0"/>
    <x v="1394"/>
    <s v="SG 023_2022-07-29T10x35x00"/>
    <s v="B737/8"/>
    <x v="0"/>
    <x v="29"/>
    <x v="0"/>
    <s v="Operational"/>
    <s v="SG 023"/>
    <m/>
    <m/>
    <m/>
    <m/>
    <x v="0"/>
    <x v="0"/>
  </r>
  <r>
    <n v="27823868"/>
    <x v="0"/>
    <x v="1394"/>
    <s v="EK 733_2022-07-29T10x30x00"/>
    <s v="B777/3-ER"/>
    <x v="4"/>
    <x v="86"/>
    <x v="1"/>
    <s v="Operational"/>
    <s v="EK 733"/>
    <m/>
    <m/>
    <m/>
    <m/>
    <x v="0"/>
    <x v="0"/>
  </r>
  <r>
    <n v="27823885"/>
    <x v="0"/>
    <x v="1395"/>
    <s v="EK 121_2022-07-29T10x20x00"/>
    <s v="B777/3-ER"/>
    <x v="4"/>
    <x v="123"/>
    <x v="1"/>
    <s v="Operational"/>
    <s v="EK 121"/>
    <m/>
    <m/>
    <m/>
    <m/>
    <x v="0"/>
    <x v="0"/>
  </r>
  <r>
    <n v="27823901"/>
    <x v="0"/>
    <x v="1396"/>
    <s v="EK 958_2022-07-29T10x00x00"/>
    <s v="B777/3-ER"/>
    <x v="7"/>
    <x v="76"/>
    <x v="1"/>
    <s v="Operational"/>
    <s v="EK 958"/>
    <m/>
    <m/>
    <m/>
    <m/>
    <x v="0"/>
    <x v="0"/>
  </r>
  <r>
    <n v="27823920"/>
    <x v="0"/>
    <x v="1397"/>
    <s v="FZ 059_2022-07-29T10x25x00"/>
    <s v="B737/8"/>
    <x v="1"/>
    <x v="121"/>
    <x v="1"/>
    <s v="Operational"/>
    <s v="FZ 059"/>
    <m/>
    <m/>
    <m/>
    <m/>
    <x v="0"/>
    <x v="0"/>
  </r>
  <r>
    <n v="27823930"/>
    <x v="0"/>
    <x v="1398"/>
    <s v="EK 806_2022-07-29T10x45x00"/>
    <s v="B777/3-ER"/>
    <x v="4"/>
    <x v="49"/>
    <x v="4"/>
    <s v="Operational"/>
    <s v="EK 806"/>
    <m/>
    <m/>
    <m/>
    <m/>
    <x v="0"/>
    <x v="0"/>
  </r>
  <r>
    <n v="27823936"/>
    <x v="0"/>
    <x v="1399"/>
    <m/>
    <m/>
    <x v="0"/>
    <x v="22"/>
    <x v="12"/>
    <s v="Operational"/>
    <m/>
    <m/>
    <m/>
    <m/>
    <m/>
    <x v="0"/>
    <x v="0"/>
  </r>
  <r>
    <n v="27823994"/>
    <x v="0"/>
    <x v="1400"/>
    <m/>
    <m/>
    <x v="3"/>
    <x v="104"/>
    <x v="6"/>
    <s v="Operational"/>
    <m/>
    <m/>
    <m/>
    <m/>
    <m/>
    <x v="0"/>
    <x v="0"/>
  </r>
  <r>
    <n v="27824029"/>
    <x v="0"/>
    <x v="1401"/>
    <m/>
    <m/>
    <x v="1"/>
    <x v="117"/>
    <x v="13"/>
    <s v="Operational"/>
    <m/>
    <m/>
    <m/>
    <m/>
    <m/>
    <x v="0"/>
    <x v="0"/>
  </r>
  <r>
    <n v="27824035"/>
    <x v="0"/>
    <x v="1402"/>
    <s v="FZ 862_2022-07-29T10x40x00"/>
    <s v="B737/8-MAX"/>
    <x v="1"/>
    <x v="116"/>
    <x v="2"/>
    <s v="Operational"/>
    <s v="FZ 862"/>
    <m/>
    <m/>
    <m/>
    <m/>
    <x v="0"/>
    <x v="0"/>
  </r>
  <r>
    <n v="27824038"/>
    <x v="0"/>
    <x v="1403"/>
    <m/>
    <m/>
    <x v="1"/>
    <x v="31"/>
    <x v="8"/>
    <s v="Operational"/>
    <m/>
    <m/>
    <m/>
    <m/>
    <m/>
    <x v="0"/>
    <x v="0"/>
  </r>
  <r>
    <n v="27824040"/>
    <x v="0"/>
    <x v="1403"/>
    <m/>
    <m/>
    <x v="1"/>
    <x v="31"/>
    <x v="9"/>
    <s v="Operational"/>
    <m/>
    <m/>
    <m/>
    <m/>
    <m/>
    <x v="0"/>
    <x v="0"/>
  </r>
  <r>
    <n v="27824050"/>
    <x v="0"/>
    <x v="1404"/>
    <s v="FZ 862_2022-07-29T10x40x00"/>
    <s v="B737/8-MAX"/>
    <x v="1"/>
    <x v="116"/>
    <x v="0"/>
    <s v="Operational"/>
    <s v="FZ 862"/>
    <m/>
    <m/>
    <m/>
    <m/>
    <x v="0"/>
    <x v="0"/>
  </r>
  <r>
    <n v="27824066"/>
    <x v="0"/>
    <x v="1405"/>
    <m/>
    <m/>
    <x v="1"/>
    <x v="117"/>
    <x v="14"/>
    <s v="Operational"/>
    <m/>
    <m/>
    <m/>
    <m/>
    <m/>
    <x v="0"/>
    <x v="0"/>
  </r>
  <r>
    <n v="27824076"/>
    <x v="0"/>
    <x v="1406"/>
    <m/>
    <m/>
    <x v="1"/>
    <x v="117"/>
    <x v="6"/>
    <s v="Operational"/>
    <m/>
    <m/>
    <m/>
    <m/>
    <m/>
    <x v="0"/>
    <x v="0"/>
  </r>
  <r>
    <n v="27824081"/>
    <x v="0"/>
    <x v="1407"/>
    <s v="ES 262_2022-07-29T19x00x00"/>
    <s v="B777/3"/>
    <x v="1"/>
    <x v="117"/>
    <x v="15"/>
    <s v="Technical"/>
    <m/>
    <m/>
    <m/>
    <m/>
    <m/>
    <x v="0"/>
    <x v="0"/>
  </r>
  <r>
    <n v="27824086"/>
    <x v="0"/>
    <x v="1408"/>
    <s v="ES 262_2022-07-29T19x00x00"/>
    <s v="B777/3"/>
    <x v="1"/>
    <x v="117"/>
    <x v="17"/>
    <s v="Technical"/>
    <m/>
    <m/>
    <m/>
    <m/>
    <m/>
    <x v="0"/>
    <x v="0"/>
  </r>
  <r>
    <n v="27824094"/>
    <x v="0"/>
    <x v="1409"/>
    <s v="ES 262_2022-07-29T19x00x00"/>
    <s v="B777/3"/>
    <x v="1"/>
    <x v="117"/>
    <x v="23"/>
    <s v="Operational"/>
    <m/>
    <m/>
    <m/>
    <m/>
    <m/>
    <x v="0"/>
    <x v="0"/>
  </r>
  <r>
    <n v="27824097"/>
    <x v="0"/>
    <x v="1410"/>
    <s v="EK 081_2022-07-29T10x35x00"/>
    <s v="B777/3-ER"/>
    <x v="4"/>
    <x v="97"/>
    <x v="1"/>
    <s v="Operational"/>
    <s v="EK 081"/>
    <m/>
    <m/>
    <m/>
    <m/>
    <x v="0"/>
    <x v="0"/>
  </r>
  <r>
    <n v="27824110"/>
    <x v="0"/>
    <x v="1411"/>
    <m/>
    <m/>
    <x v="1"/>
    <x v="117"/>
    <x v="13"/>
    <s v="Operational"/>
    <m/>
    <m/>
    <m/>
    <m/>
    <m/>
    <x v="0"/>
    <x v="0"/>
  </r>
  <r>
    <n v="27824114"/>
    <x v="0"/>
    <x v="1412"/>
    <s v="EK 806_2022-07-29T10x45x00"/>
    <s v="B777/3-ER"/>
    <x v="4"/>
    <x v="49"/>
    <x v="2"/>
    <s v="Operational"/>
    <s v="EK 806"/>
    <m/>
    <m/>
    <m/>
    <m/>
    <x v="0"/>
    <x v="0"/>
  </r>
  <r>
    <n v="27824115"/>
    <x v="0"/>
    <x v="1413"/>
    <m/>
    <m/>
    <x v="1"/>
    <x v="117"/>
    <x v="14"/>
    <s v="Operational"/>
    <m/>
    <m/>
    <m/>
    <m/>
    <m/>
    <x v="0"/>
    <x v="0"/>
  </r>
  <r>
    <n v="27824118"/>
    <x v="0"/>
    <x v="1414"/>
    <s v="EK 019_2022-07-29T10x30x00"/>
    <s v="A380/8"/>
    <x v="4"/>
    <x v="103"/>
    <x v="1"/>
    <s v="Operational"/>
    <s v="EK 019"/>
    <m/>
    <m/>
    <m/>
    <m/>
    <x v="0"/>
    <x v="0"/>
  </r>
  <r>
    <n v="27824132"/>
    <x v="0"/>
    <x v="1415"/>
    <s v="EK 003_2022-07-29T10x15x00"/>
    <s v="A380/8"/>
    <x v="4"/>
    <x v="20"/>
    <x v="1"/>
    <s v="Operational"/>
    <s v="EK 003"/>
    <m/>
    <m/>
    <m/>
    <m/>
    <x v="0"/>
    <x v="0"/>
  </r>
  <r>
    <n v="27824153"/>
    <x v="0"/>
    <x v="1416"/>
    <s v="EK 806_2022-07-29T10x45x00"/>
    <s v="B777/3-ER"/>
    <x v="4"/>
    <x v="49"/>
    <x v="0"/>
    <s v="Operational"/>
    <s v="EK 806"/>
    <m/>
    <m/>
    <m/>
    <m/>
    <x v="0"/>
    <x v="0"/>
  </r>
  <r>
    <n v="27824177"/>
    <x v="0"/>
    <x v="1417"/>
    <s v="FZ 710_2022-07-29T10x50x00"/>
    <s v="B737/8"/>
    <x v="1"/>
    <x v="83"/>
    <x v="2"/>
    <s v="Operational"/>
    <s v="FZ 710"/>
    <m/>
    <m/>
    <m/>
    <m/>
    <x v="0"/>
    <x v="0"/>
  </r>
  <r>
    <n v="27824180"/>
    <x v="0"/>
    <x v="1418"/>
    <s v="EK 057_2022-07-29T10x20x00"/>
    <s v="A380/8"/>
    <x v="4"/>
    <x v="65"/>
    <x v="1"/>
    <s v="Operational"/>
    <s v="EK 057"/>
    <m/>
    <m/>
    <m/>
    <m/>
    <x v="0"/>
    <x v="0"/>
  </r>
  <r>
    <n v="27824191"/>
    <x v="0"/>
    <x v="1419"/>
    <m/>
    <m/>
    <x v="1"/>
    <x v="31"/>
    <x v="8"/>
    <s v="Operational"/>
    <m/>
    <m/>
    <m/>
    <m/>
    <m/>
    <x v="0"/>
    <x v="0"/>
  </r>
  <r>
    <n v="27824193"/>
    <x v="0"/>
    <x v="1419"/>
    <m/>
    <m/>
    <x v="1"/>
    <x v="31"/>
    <x v="9"/>
    <s v="Operational"/>
    <m/>
    <m/>
    <m/>
    <m/>
    <m/>
    <x v="0"/>
    <x v="0"/>
  </r>
  <r>
    <n v="27824202"/>
    <x v="0"/>
    <x v="1420"/>
    <s v="FZ 710_2022-07-29T10x50x00"/>
    <s v="B737/8"/>
    <x v="1"/>
    <x v="83"/>
    <x v="0"/>
    <s v="Operational"/>
    <s v="FZ 710"/>
    <m/>
    <m/>
    <m/>
    <m/>
    <x v="0"/>
    <x v="0"/>
  </r>
  <r>
    <n v="27824275"/>
    <x v="0"/>
    <x v="1421"/>
    <m/>
    <s v="B777/2-LR"/>
    <x v="7"/>
    <x v="39"/>
    <x v="2"/>
    <s v="Operational"/>
    <m/>
    <m/>
    <m/>
    <m/>
    <m/>
    <x v="0"/>
    <x v="0"/>
  </r>
  <r>
    <n v="27824300"/>
    <x v="0"/>
    <x v="1422"/>
    <m/>
    <s v="B777/2-LR"/>
    <x v="7"/>
    <x v="39"/>
    <x v="0"/>
    <s v="Operational"/>
    <m/>
    <m/>
    <m/>
    <m/>
    <m/>
    <x v="0"/>
    <x v="0"/>
  </r>
  <r>
    <n v="27824346"/>
    <x v="0"/>
    <x v="1423"/>
    <s v="FZ 825_2022-07-29T10x35x00"/>
    <s v="B737/8"/>
    <x v="8"/>
    <x v="149"/>
    <x v="1"/>
    <s v="Operational"/>
    <s v="FZ 825"/>
    <m/>
    <m/>
    <m/>
    <m/>
    <x v="0"/>
    <x v="0"/>
  </r>
  <r>
    <n v="27824372"/>
    <x v="0"/>
    <x v="1424"/>
    <m/>
    <m/>
    <x v="1"/>
    <x v="31"/>
    <x v="8"/>
    <s v="Operational"/>
    <m/>
    <m/>
    <m/>
    <m/>
    <m/>
    <x v="0"/>
    <x v="0"/>
  </r>
  <r>
    <n v="27824374"/>
    <x v="0"/>
    <x v="1424"/>
    <m/>
    <m/>
    <x v="1"/>
    <x v="31"/>
    <x v="9"/>
    <s v="Operational"/>
    <m/>
    <m/>
    <m/>
    <m/>
    <m/>
    <x v="0"/>
    <x v="0"/>
  </r>
  <r>
    <n v="27824388"/>
    <x v="0"/>
    <x v="1425"/>
    <s v="FZ 043_2022-07-29T10x45x00"/>
    <s v="B737/8"/>
    <x v="1"/>
    <x v="135"/>
    <x v="1"/>
    <s v="Operational"/>
    <s v="FZ 043"/>
    <m/>
    <m/>
    <m/>
    <m/>
    <x v="0"/>
    <x v="0"/>
  </r>
  <r>
    <n v="27824409"/>
    <x v="0"/>
    <x v="1426"/>
    <s v="FZ 8626_2022-07-29T10x30x00"/>
    <s v="B737/8"/>
    <x v="1"/>
    <x v="1"/>
    <x v="3"/>
    <s v="Operational"/>
    <s v="FZ 8626"/>
    <m/>
    <m/>
    <m/>
    <m/>
    <x v="0"/>
    <x v="0"/>
  </r>
  <r>
    <n v="27824414"/>
    <x v="0"/>
    <x v="1427"/>
    <s v="FZ 8626_2022-07-29T10x30x00"/>
    <s v="B737/8"/>
    <x v="1"/>
    <x v="1"/>
    <x v="4"/>
    <s v="Operational"/>
    <s v="FZ 8626"/>
    <m/>
    <m/>
    <m/>
    <m/>
    <x v="0"/>
    <x v="0"/>
  </r>
  <r>
    <n v="27824439"/>
    <x v="0"/>
    <x v="1428"/>
    <s v="EK 546_2022-07-29T10x50x00"/>
    <s v="B777/3-ER"/>
    <x v="3"/>
    <x v="131"/>
    <x v="1"/>
    <s v="Operational"/>
    <s v="EK 546"/>
    <m/>
    <m/>
    <m/>
    <m/>
    <x v="0"/>
    <x v="0"/>
  </r>
  <r>
    <n v="27824476"/>
    <x v="0"/>
    <x v="1429"/>
    <s v="EK 399_2022-07-29T02x36x00"/>
    <s v="B777/3-ER"/>
    <x v="6"/>
    <x v="47"/>
    <x v="1"/>
    <s v="Operational"/>
    <m/>
    <m/>
    <m/>
    <m/>
    <m/>
    <x v="0"/>
    <x v="0"/>
  </r>
  <r>
    <n v="27824485"/>
    <x v="0"/>
    <x v="1430"/>
    <m/>
    <m/>
    <x v="1"/>
    <x v="31"/>
    <x v="8"/>
    <s v="Operational"/>
    <m/>
    <m/>
    <m/>
    <m/>
    <m/>
    <x v="0"/>
    <x v="0"/>
  </r>
  <r>
    <n v="27824487"/>
    <x v="0"/>
    <x v="1430"/>
    <m/>
    <m/>
    <x v="1"/>
    <x v="31"/>
    <x v="9"/>
    <s v="Operational"/>
    <m/>
    <m/>
    <m/>
    <m/>
    <m/>
    <x v="0"/>
    <x v="0"/>
  </r>
  <r>
    <n v="27824495"/>
    <x v="0"/>
    <x v="1431"/>
    <m/>
    <m/>
    <x v="4"/>
    <x v="86"/>
    <x v="6"/>
    <s v="Operational"/>
    <m/>
    <m/>
    <m/>
    <m/>
    <m/>
    <x v="0"/>
    <x v="0"/>
  </r>
  <r>
    <n v="27824501"/>
    <x v="0"/>
    <x v="1432"/>
    <s v="EK 083_2022-07-29T10x55x00"/>
    <s v="B777/3-ER"/>
    <x v="4"/>
    <x v="136"/>
    <x v="1"/>
    <s v="Operational"/>
    <s v="EK 083"/>
    <m/>
    <m/>
    <m/>
    <m/>
    <x v="0"/>
    <x v="0"/>
  </r>
  <r>
    <n v="27824517"/>
    <x v="0"/>
    <x v="1433"/>
    <m/>
    <m/>
    <x v="1"/>
    <x v="31"/>
    <x v="8"/>
    <s v="Operational"/>
    <m/>
    <m/>
    <m/>
    <m/>
    <m/>
    <x v="0"/>
    <x v="0"/>
  </r>
  <r>
    <n v="27824519"/>
    <x v="0"/>
    <x v="1433"/>
    <m/>
    <m/>
    <x v="1"/>
    <x v="31"/>
    <x v="9"/>
    <s v="Operational"/>
    <m/>
    <m/>
    <m/>
    <m/>
    <m/>
    <x v="0"/>
    <x v="0"/>
  </r>
  <r>
    <n v="27824566"/>
    <x v="0"/>
    <x v="1434"/>
    <s v="FZ 171_2022-07-29T10x25x00"/>
    <s v="B737/8"/>
    <x v="8"/>
    <x v="130"/>
    <x v="1"/>
    <s v="Operational"/>
    <s v="FZ 171"/>
    <m/>
    <m/>
    <m/>
    <m/>
    <x v="0"/>
    <x v="0"/>
  </r>
  <r>
    <n v="27824585"/>
    <x v="0"/>
    <x v="1435"/>
    <m/>
    <m/>
    <x v="1"/>
    <x v="31"/>
    <x v="8"/>
    <s v="Operational"/>
    <m/>
    <m/>
    <m/>
    <m/>
    <m/>
    <x v="0"/>
    <x v="0"/>
  </r>
  <r>
    <n v="27824589"/>
    <x v="0"/>
    <x v="1436"/>
    <s v="EK 958_2022-07-29T11x05x00"/>
    <s v="B777/3-ER"/>
    <x v="3"/>
    <x v="104"/>
    <x v="2"/>
    <s v="Operational"/>
    <s v="EK 117"/>
    <m/>
    <m/>
    <m/>
    <m/>
    <x v="0"/>
    <x v="0"/>
  </r>
  <r>
    <n v="27824595"/>
    <x v="0"/>
    <x v="1437"/>
    <m/>
    <m/>
    <x v="1"/>
    <x v="31"/>
    <x v="32"/>
    <s v="Operational"/>
    <m/>
    <m/>
    <m/>
    <m/>
    <m/>
    <x v="0"/>
    <x v="0"/>
  </r>
  <r>
    <n v="27824597"/>
    <x v="0"/>
    <x v="1437"/>
    <m/>
    <m/>
    <x v="1"/>
    <x v="31"/>
    <x v="9"/>
    <s v="Operational"/>
    <m/>
    <m/>
    <m/>
    <m/>
    <m/>
    <x v="0"/>
    <x v="0"/>
  </r>
  <r>
    <n v="27824603"/>
    <x v="0"/>
    <x v="1438"/>
    <s v="EK 958_2022-07-29T11x05x00"/>
    <s v="B777/3-ER"/>
    <x v="3"/>
    <x v="104"/>
    <x v="0"/>
    <s v="Operational"/>
    <s v="EK 117"/>
    <m/>
    <m/>
    <m/>
    <m/>
    <x v="0"/>
    <x v="0"/>
  </r>
  <r>
    <n v="27824626"/>
    <x v="0"/>
    <x v="1439"/>
    <s v="XY 205_2022-07-29T11x25x00"/>
    <s v="A320-NEO"/>
    <x v="0"/>
    <x v="12"/>
    <x v="3"/>
    <s v="Operational"/>
    <s v="XY 205"/>
    <m/>
    <m/>
    <m/>
    <m/>
    <x v="0"/>
    <x v="0"/>
  </r>
  <r>
    <n v="27824632"/>
    <x v="0"/>
    <x v="1440"/>
    <s v="EK 614_2022-07-29T17x05x00"/>
    <s v="B777/3-ER"/>
    <x v="4"/>
    <x v="86"/>
    <x v="2"/>
    <s v="Operational"/>
    <s v="EK 614"/>
    <m/>
    <m/>
    <m/>
    <m/>
    <x v="0"/>
    <x v="0"/>
  </r>
  <r>
    <n v="27824639"/>
    <x v="0"/>
    <x v="1441"/>
    <s v="UPS 012_2022-07-29T09x30x00"/>
    <s v="B747/8"/>
    <x v="1"/>
    <x v="74"/>
    <x v="3"/>
    <s v="Operational"/>
    <s v="UPS 012"/>
    <m/>
    <m/>
    <m/>
    <m/>
    <x v="0"/>
    <x v="0"/>
  </r>
  <r>
    <n v="27824654"/>
    <x v="0"/>
    <x v="1442"/>
    <s v="UPS 012_2022-07-29T11x20x00"/>
    <s v="B747/8"/>
    <x v="1"/>
    <x v="74"/>
    <x v="4"/>
    <s v="Operational"/>
    <s v="UPS 012"/>
    <m/>
    <m/>
    <m/>
    <m/>
    <x v="0"/>
    <x v="0"/>
  </r>
  <r>
    <n v="27824668"/>
    <x v="0"/>
    <x v="1443"/>
    <s v="EK 614_2022-07-29T17x05x00"/>
    <s v="B777/3-ER"/>
    <x v="4"/>
    <x v="86"/>
    <x v="0"/>
    <s v="Operational"/>
    <s v="EK 614"/>
    <m/>
    <m/>
    <m/>
    <m/>
    <x v="0"/>
    <x v="0"/>
  </r>
  <r>
    <n v="27824681"/>
    <x v="0"/>
    <x v="1444"/>
    <s v="EK 061_2022-07-29T11x00x00"/>
    <s v="A380/8"/>
    <x v="3"/>
    <x v="142"/>
    <x v="1"/>
    <s v="Operational"/>
    <s v="EK 061"/>
    <m/>
    <m/>
    <m/>
    <m/>
    <x v="0"/>
    <x v="0"/>
  </r>
  <r>
    <n v="27824724"/>
    <x v="0"/>
    <x v="1445"/>
    <s v="EK 075_2022-07-29T10x40x00"/>
    <s v="A380/8"/>
    <x v="4"/>
    <x v="73"/>
    <x v="1"/>
    <s v="Operational"/>
    <s v="EK 075"/>
    <m/>
    <m/>
    <m/>
    <m/>
    <x v="0"/>
    <x v="0"/>
  </r>
  <r>
    <n v="27824733"/>
    <x v="0"/>
    <x v="1446"/>
    <s v="FZ 033_2022-07-29T10x25x00"/>
    <s v="B737/8"/>
    <x v="1"/>
    <x v="11"/>
    <x v="1"/>
    <s v="Operational"/>
    <s v="FZ 033"/>
    <m/>
    <m/>
    <m/>
    <m/>
    <x v="0"/>
    <x v="0"/>
  </r>
  <r>
    <n v="27824755"/>
    <x v="0"/>
    <x v="1447"/>
    <s v="FZ 8626_2022-07-29T10x30x00"/>
    <s v="B737/8"/>
    <x v="1"/>
    <x v="1"/>
    <x v="2"/>
    <s v="Operational"/>
    <s v="FZ 8626"/>
    <m/>
    <m/>
    <m/>
    <m/>
    <x v="0"/>
    <x v="0"/>
  </r>
  <r>
    <n v="27824761"/>
    <x v="0"/>
    <x v="1448"/>
    <s v="UPS 012_2022-07-29T11x20x00"/>
    <s v="B747/8"/>
    <x v="1"/>
    <x v="74"/>
    <x v="15"/>
    <s v="Technical"/>
    <s v="UPS 012"/>
    <m/>
    <m/>
    <m/>
    <m/>
    <x v="0"/>
    <x v="0"/>
  </r>
  <r>
    <n v="27824769"/>
    <x v="0"/>
    <x v="1449"/>
    <s v="EK 009_2022-07-29T10x55x00"/>
    <s v="A380/8"/>
    <x v="3"/>
    <x v="134"/>
    <x v="1"/>
    <s v="Operational"/>
    <s v="EK 009"/>
    <m/>
    <m/>
    <m/>
    <m/>
    <x v="0"/>
    <x v="0"/>
  </r>
  <r>
    <n v="27824778"/>
    <x v="0"/>
    <x v="1450"/>
    <s v="UPS 012_2022-07-29T11x20x00"/>
    <s v="B747/8"/>
    <x v="1"/>
    <x v="74"/>
    <x v="17"/>
    <s v="Technical"/>
    <s v="UPS 012"/>
    <m/>
    <m/>
    <m/>
    <m/>
    <x v="0"/>
    <x v="0"/>
  </r>
  <r>
    <n v="27824791"/>
    <x v="0"/>
    <x v="1451"/>
    <s v="FZ 8626_2022-07-29T10x30x00"/>
    <s v="B737/8"/>
    <x v="1"/>
    <x v="1"/>
    <x v="0"/>
    <s v="Operational"/>
    <s v="FZ 8626"/>
    <m/>
    <m/>
    <m/>
    <m/>
    <x v="0"/>
    <x v="0"/>
  </r>
  <r>
    <n v="27824808"/>
    <x v="0"/>
    <x v="1452"/>
    <s v="UPS 012_2022-07-29T11x20x00"/>
    <s v="B747/8"/>
    <x v="1"/>
    <x v="74"/>
    <x v="15"/>
    <s v="Technical"/>
    <s v="UPS 012"/>
    <m/>
    <m/>
    <m/>
    <m/>
    <x v="0"/>
    <x v="0"/>
  </r>
  <r>
    <n v="27824815"/>
    <x v="0"/>
    <x v="1453"/>
    <m/>
    <m/>
    <x v="1"/>
    <x v="31"/>
    <x v="8"/>
    <s v="Operational"/>
    <m/>
    <m/>
    <m/>
    <m/>
    <m/>
    <x v="0"/>
    <x v="0"/>
  </r>
  <r>
    <n v="27824817"/>
    <x v="0"/>
    <x v="1453"/>
    <m/>
    <m/>
    <x v="1"/>
    <x v="31"/>
    <x v="9"/>
    <s v="Operational"/>
    <m/>
    <m/>
    <m/>
    <m/>
    <m/>
    <x v="0"/>
    <x v="0"/>
  </r>
  <r>
    <n v="27824826"/>
    <x v="0"/>
    <x v="1454"/>
    <s v="UPS 012_2022-07-29T11x20x00"/>
    <s v="B747/8"/>
    <x v="1"/>
    <x v="74"/>
    <x v="17"/>
    <s v="Technical"/>
    <s v="UPS 012"/>
    <m/>
    <m/>
    <m/>
    <m/>
    <x v="0"/>
    <x v="0"/>
  </r>
  <r>
    <n v="27824836"/>
    <x v="0"/>
    <x v="1455"/>
    <s v="EK 037_2022-07-29T10x55x00"/>
    <s v="B777/3-ER"/>
    <x v="3"/>
    <x v="94"/>
    <x v="1"/>
    <s v="Operational"/>
    <s v="EK 037"/>
    <m/>
    <m/>
    <m/>
    <m/>
    <x v="0"/>
    <x v="0"/>
  </r>
  <r>
    <n v="27824843"/>
    <x v="0"/>
    <x v="1456"/>
    <s v="EK 395_2022-07-29T07x40x00"/>
    <s v="B777/3-ER"/>
    <x v="3"/>
    <x v="94"/>
    <x v="3"/>
    <s v="Operational"/>
    <s v="EK 395"/>
    <m/>
    <m/>
    <m/>
    <m/>
    <x v="0"/>
    <x v="0"/>
  </r>
  <r>
    <n v="27824846"/>
    <x v="0"/>
    <x v="1456"/>
    <m/>
    <s v="B777/3-ER"/>
    <x v="3"/>
    <x v="94"/>
    <x v="27"/>
    <s v="Operational"/>
    <s v="EK 395"/>
    <m/>
    <m/>
    <m/>
    <m/>
    <x v="0"/>
    <x v="0"/>
  </r>
  <r>
    <n v="27824858"/>
    <x v="0"/>
    <x v="1457"/>
    <s v="XY 205_2022-07-29T11x25x00"/>
    <s v="A320-NEO"/>
    <x v="0"/>
    <x v="12"/>
    <x v="4"/>
    <s v="Operational"/>
    <s v="XY 205"/>
    <m/>
    <m/>
    <m/>
    <m/>
    <x v="0"/>
    <x v="0"/>
  </r>
  <r>
    <n v="27824860"/>
    <x v="0"/>
    <x v="1458"/>
    <s v="UPS 012_2022-07-29T11x20x00"/>
    <s v="B747/8"/>
    <x v="1"/>
    <x v="74"/>
    <x v="15"/>
    <s v="Technical"/>
    <s v="UPS 012"/>
    <m/>
    <m/>
    <m/>
    <m/>
    <x v="0"/>
    <x v="0"/>
  </r>
  <r>
    <n v="27824874"/>
    <x v="0"/>
    <x v="1459"/>
    <s v="UPS 012_2022-07-29T11x20x00"/>
    <s v="B747/8"/>
    <x v="1"/>
    <x v="74"/>
    <x v="17"/>
    <s v="Technical"/>
    <s v="UPS 012"/>
    <m/>
    <m/>
    <m/>
    <m/>
    <x v="0"/>
    <x v="0"/>
  </r>
  <r>
    <n v="27824880"/>
    <x v="0"/>
    <x v="1460"/>
    <s v="FX 6076_2022-07-29T11x10x00"/>
    <s v="B777/2"/>
    <x v="1"/>
    <x v="28"/>
    <x v="1"/>
    <s v="Operational"/>
    <s v="FX 6076"/>
    <m/>
    <m/>
    <m/>
    <m/>
    <x v="0"/>
    <x v="0"/>
  </r>
  <r>
    <n v="27824909"/>
    <x v="0"/>
    <x v="1461"/>
    <s v="FZ 021_2022-07-29T10x35x00"/>
    <s v="B737/8-MAX"/>
    <x v="5"/>
    <x v="147"/>
    <x v="1"/>
    <s v="Operational"/>
    <s v="FZ 021"/>
    <m/>
    <m/>
    <m/>
    <m/>
    <x v="0"/>
    <x v="0"/>
  </r>
  <r>
    <n v="27824916"/>
    <x v="0"/>
    <x v="1462"/>
    <m/>
    <m/>
    <x v="4"/>
    <x v="123"/>
    <x v="6"/>
    <s v="Operational"/>
    <m/>
    <m/>
    <m/>
    <m/>
    <m/>
    <x v="0"/>
    <x v="0"/>
  </r>
  <r>
    <n v="27824939"/>
    <x v="0"/>
    <x v="1463"/>
    <m/>
    <m/>
    <x v="1"/>
    <x v="31"/>
    <x v="8"/>
    <s v="Operational"/>
    <m/>
    <m/>
    <m/>
    <m/>
    <m/>
    <x v="0"/>
    <x v="0"/>
  </r>
  <r>
    <n v="27824941"/>
    <x v="0"/>
    <x v="1463"/>
    <m/>
    <m/>
    <x v="1"/>
    <x v="31"/>
    <x v="9"/>
    <s v="Operational"/>
    <m/>
    <m/>
    <m/>
    <m/>
    <m/>
    <x v="0"/>
    <x v="0"/>
  </r>
  <r>
    <n v="27824946"/>
    <x v="0"/>
    <x v="1464"/>
    <s v="EK 316_2022-07-29T23x00x00"/>
    <s v="B777/3-ER"/>
    <x v="6"/>
    <x v="127"/>
    <x v="1"/>
    <s v="Operational"/>
    <m/>
    <m/>
    <m/>
    <m/>
    <m/>
    <x v="0"/>
    <x v="0"/>
  </r>
  <r>
    <n v="27824962"/>
    <x v="0"/>
    <x v="1465"/>
    <m/>
    <m/>
    <x v="1"/>
    <x v="31"/>
    <x v="8"/>
    <s v="Operational"/>
    <m/>
    <m/>
    <m/>
    <m/>
    <m/>
    <x v="0"/>
    <x v="0"/>
  </r>
  <r>
    <n v="27824964"/>
    <x v="0"/>
    <x v="1465"/>
    <m/>
    <m/>
    <x v="1"/>
    <x v="31"/>
    <x v="9"/>
    <s v="Operational"/>
    <m/>
    <m/>
    <m/>
    <m/>
    <m/>
    <x v="0"/>
    <x v="0"/>
  </r>
  <r>
    <n v="27824982"/>
    <x v="0"/>
    <x v="1466"/>
    <s v="XY 205_2022-07-29T11x25x00"/>
    <s v="A320-NEO"/>
    <x v="0"/>
    <x v="12"/>
    <x v="2"/>
    <s v="Operational"/>
    <s v="XY 205"/>
    <m/>
    <m/>
    <m/>
    <m/>
    <x v="0"/>
    <x v="0"/>
  </r>
  <r>
    <n v="27824990"/>
    <x v="0"/>
    <x v="1467"/>
    <s v="FZ 718_2022-07-29T11x15x00"/>
    <s v="B737/8"/>
    <x v="1"/>
    <x v="34"/>
    <x v="3"/>
    <s v="Operational"/>
    <s v="FZ 718"/>
    <m/>
    <m/>
    <m/>
    <m/>
    <x v="0"/>
    <x v="0"/>
  </r>
  <r>
    <n v="27824993"/>
    <x v="0"/>
    <x v="1468"/>
    <s v="FZ 718_2022-07-29T11x15x00"/>
    <s v="B737/8"/>
    <x v="1"/>
    <x v="34"/>
    <x v="4"/>
    <s v="Operational"/>
    <s v="FZ 718"/>
    <m/>
    <m/>
    <m/>
    <m/>
    <x v="0"/>
    <x v="0"/>
  </r>
  <r>
    <n v="27825000"/>
    <x v="0"/>
    <x v="1469"/>
    <s v="FZ 615_2022-07-29T09x55x00"/>
    <s v="B737/8-MAX"/>
    <x v="5"/>
    <x v="157"/>
    <x v="1"/>
    <s v="Operational"/>
    <s v="FZ 615"/>
    <m/>
    <m/>
    <m/>
    <m/>
    <x v="0"/>
    <x v="0"/>
  </r>
  <r>
    <n v="27825010"/>
    <x v="0"/>
    <x v="1470"/>
    <s v="XY 205_2022-07-29T11x25x00"/>
    <s v="A320-NEO"/>
    <x v="0"/>
    <x v="12"/>
    <x v="0"/>
    <s v="Operational"/>
    <s v="XY 205"/>
    <m/>
    <m/>
    <m/>
    <m/>
    <x v="0"/>
    <x v="0"/>
  </r>
  <r>
    <n v="27825067"/>
    <x v="0"/>
    <x v="1471"/>
    <s v="EK 528_2022-07-29T11x05x00"/>
    <s v="B777/3-ER"/>
    <x v="2"/>
    <x v="8"/>
    <x v="1"/>
    <s v="Operational"/>
    <s v="EK 528"/>
    <m/>
    <m/>
    <m/>
    <m/>
    <x v="0"/>
    <x v="0"/>
  </r>
  <r>
    <n v="27825089"/>
    <x v="0"/>
    <x v="1472"/>
    <s v="KC 898_2022-07-29T09x55x00"/>
    <s v="A321-NEO"/>
    <x v="0"/>
    <x v="9"/>
    <x v="1"/>
    <s v="Operational"/>
    <s v="KC 898"/>
    <m/>
    <m/>
    <m/>
    <m/>
    <x v="0"/>
    <x v="0"/>
  </r>
  <r>
    <n v="27825126"/>
    <x v="0"/>
    <x v="1473"/>
    <s v="UPS 012_2022-07-29T11x20x00"/>
    <s v="B747/8"/>
    <x v="1"/>
    <x v="74"/>
    <x v="2"/>
    <s v="Operational"/>
    <s v="UPS 012"/>
    <m/>
    <m/>
    <m/>
    <m/>
    <x v="0"/>
    <x v="0"/>
  </r>
  <r>
    <n v="27825131"/>
    <x v="0"/>
    <x v="1474"/>
    <m/>
    <m/>
    <x v="1"/>
    <x v="31"/>
    <x v="8"/>
    <s v="Operational"/>
    <m/>
    <m/>
    <m/>
    <m/>
    <m/>
    <x v="0"/>
    <x v="0"/>
  </r>
  <r>
    <n v="27825133"/>
    <x v="0"/>
    <x v="1474"/>
    <m/>
    <m/>
    <x v="1"/>
    <x v="31"/>
    <x v="9"/>
    <s v="Operational"/>
    <m/>
    <m/>
    <m/>
    <m/>
    <m/>
    <x v="0"/>
    <x v="0"/>
  </r>
  <r>
    <n v="27825140"/>
    <x v="0"/>
    <x v="1475"/>
    <s v="UPS 012_2022-07-29T11x20x00"/>
    <s v="B747/8"/>
    <x v="1"/>
    <x v="74"/>
    <x v="0"/>
    <s v="Operational"/>
    <s v="UPS 012"/>
    <m/>
    <m/>
    <m/>
    <m/>
    <x v="0"/>
    <x v="0"/>
  </r>
  <r>
    <n v="27825158"/>
    <x v="0"/>
    <x v="1476"/>
    <m/>
    <m/>
    <x v="1"/>
    <x v="31"/>
    <x v="8"/>
    <s v="Operational"/>
    <m/>
    <m/>
    <m/>
    <m/>
    <m/>
    <x v="0"/>
    <x v="0"/>
  </r>
  <r>
    <n v="27825160"/>
    <x v="0"/>
    <x v="1476"/>
    <m/>
    <m/>
    <x v="1"/>
    <x v="31"/>
    <x v="9"/>
    <s v="Operational"/>
    <m/>
    <m/>
    <m/>
    <m/>
    <m/>
    <x v="0"/>
    <x v="0"/>
  </r>
  <r>
    <n v="27825171"/>
    <x v="0"/>
    <x v="1477"/>
    <s v="IX 141_2022-07-29T11x55x00"/>
    <s v="B737/8"/>
    <x v="1"/>
    <x v="52"/>
    <x v="3"/>
    <s v="Operational"/>
    <s v="IX 141"/>
    <m/>
    <m/>
    <m/>
    <m/>
    <x v="0"/>
    <x v="0"/>
  </r>
  <r>
    <n v="27825174"/>
    <x v="0"/>
    <x v="1478"/>
    <s v="IX 141_2022-07-29T11x55x00"/>
    <s v="B737/8"/>
    <x v="1"/>
    <x v="52"/>
    <x v="4"/>
    <s v="Operational"/>
    <s v="IX 141"/>
    <m/>
    <m/>
    <m/>
    <m/>
    <x v="0"/>
    <x v="0"/>
  </r>
  <r>
    <n v="27825185"/>
    <x v="0"/>
    <x v="1479"/>
    <s v="IX 615_2022-07-29T12x00x00"/>
    <s v="B737/8"/>
    <x v="1"/>
    <x v="96"/>
    <x v="3"/>
    <s v="Operational"/>
    <s v="IX 615"/>
    <m/>
    <m/>
    <m/>
    <m/>
    <x v="0"/>
    <x v="0"/>
  </r>
  <r>
    <n v="27825188"/>
    <x v="0"/>
    <x v="1480"/>
    <s v="IX 615_2022-07-29T12x00x00"/>
    <s v="B737/8"/>
    <x v="1"/>
    <x v="96"/>
    <x v="4"/>
    <s v="Operational"/>
    <s v="IX 615"/>
    <m/>
    <m/>
    <m/>
    <m/>
    <x v="0"/>
    <x v="0"/>
  </r>
  <r>
    <n v="27825199"/>
    <x v="0"/>
    <x v="1481"/>
    <s v="IX 615_2022-07-29T12x00x00"/>
    <s v="B737/8"/>
    <x v="1"/>
    <x v="96"/>
    <x v="15"/>
    <s v="Technical"/>
    <s v="IX 615"/>
    <m/>
    <m/>
    <m/>
    <m/>
    <x v="0"/>
    <x v="0"/>
  </r>
  <r>
    <n v="27825229"/>
    <x v="0"/>
    <x v="1482"/>
    <s v="IX 615_2022-07-29T12x00x00"/>
    <s v="B737/8"/>
    <x v="1"/>
    <x v="96"/>
    <x v="17"/>
    <s v="Technical"/>
    <s v="IX 615"/>
    <m/>
    <m/>
    <m/>
    <m/>
    <x v="0"/>
    <x v="0"/>
  </r>
  <r>
    <n v="27825241"/>
    <x v="0"/>
    <x v="1483"/>
    <s v="EK 923_2022-07-29T11x15x00"/>
    <s v="A380/8"/>
    <x v="3"/>
    <x v="30"/>
    <x v="1"/>
    <s v="Operational"/>
    <s v="EK 923"/>
    <m/>
    <m/>
    <m/>
    <m/>
    <x v="0"/>
    <x v="0"/>
  </r>
  <r>
    <n v="27825269"/>
    <x v="0"/>
    <x v="1484"/>
    <s v="EK 060_2022-07-29T11x24x00"/>
    <s v="A380/8"/>
    <x v="7"/>
    <x v="167"/>
    <x v="3"/>
    <s v="Operational"/>
    <s v="EK 060"/>
    <m/>
    <m/>
    <m/>
    <m/>
    <x v="0"/>
    <x v="0"/>
  </r>
  <r>
    <n v="27825275"/>
    <x v="0"/>
    <x v="1485"/>
    <s v="EK 149_2022-07-29T10x45x00"/>
    <s v="B777/3-ER"/>
    <x v="3"/>
    <x v="26"/>
    <x v="1"/>
    <s v="Operational"/>
    <s v="EK 149"/>
    <m/>
    <m/>
    <m/>
    <m/>
    <x v="0"/>
    <x v="0"/>
  </r>
  <r>
    <n v="27825293"/>
    <x v="0"/>
    <x v="1486"/>
    <s v="FZ 718_2022-07-29T11x15x00"/>
    <s v="B737/8"/>
    <x v="1"/>
    <x v="34"/>
    <x v="2"/>
    <s v="Operational"/>
    <s v="FZ 718"/>
    <m/>
    <m/>
    <m/>
    <m/>
    <x v="0"/>
    <x v="0"/>
  </r>
  <r>
    <n v="27825302"/>
    <x v="0"/>
    <x v="1487"/>
    <s v="FZ 718_2022-07-29T11x15x00"/>
    <s v="B737/8"/>
    <x v="1"/>
    <x v="34"/>
    <x v="0"/>
    <s v="Operational"/>
    <s v="FZ 718"/>
    <m/>
    <m/>
    <m/>
    <m/>
    <x v="0"/>
    <x v="0"/>
  </r>
  <r>
    <n v="27825320"/>
    <x v="0"/>
    <x v="1488"/>
    <s v="EK 606_2022-07-29T17x35x00"/>
    <s v="B777/3-ER"/>
    <x v="4"/>
    <x v="123"/>
    <x v="2"/>
    <s v="Operational"/>
    <s v="EK 606"/>
    <m/>
    <m/>
    <m/>
    <m/>
    <x v="0"/>
    <x v="0"/>
  </r>
  <r>
    <n v="27825326"/>
    <x v="0"/>
    <x v="1489"/>
    <m/>
    <m/>
    <x v="3"/>
    <x v="26"/>
    <x v="12"/>
    <s v="Operational"/>
    <m/>
    <m/>
    <m/>
    <m/>
    <m/>
    <x v="0"/>
    <x v="0"/>
  </r>
  <r>
    <n v="27825338"/>
    <x v="0"/>
    <x v="1490"/>
    <s v="FZ 1550_2022-07-29T11x20x00"/>
    <s v="B737/9-MAX"/>
    <x v="5"/>
    <x v="158"/>
    <x v="3"/>
    <s v="Operational"/>
    <s v="FZ 1550"/>
    <m/>
    <m/>
    <m/>
    <m/>
    <x v="0"/>
    <x v="0"/>
  </r>
  <r>
    <n v="27825345"/>
    <x v="0"/>
    <x v="1491"/>
    <m/>
    <m/>
    <x v="1"/>
    <x v="31"/>
    <x v="8"/>
    <s v="Operational"/>
    <m/>
    <m/>
    <m/>
    <m/>
    <m/>
    <x v="0"/>
    <x v="0"/>
  </r>
  <r>
    <n v="27825347"/>
    <x v="0"/>
    <x v="1491"/>
    <m/>
    <m/>
    <x v="1"/>
    <x v="31"/>
    <x v="9"/>
    <s v="Operational"/>
    <m/>
    <m/>
    <m/>
    <m/>
    <m/>
    <x v="0"/>
    <x v="0"/>
  </r>
  <r>
    <n v="27825376"/>
    <x v="0"/>
    <x v="1492"/>
    <s v="EK 606_2022-07-29T17x35x00"/>
    <s v="B777/3-ER"/>
    <x v="4"/>
    <x v="123"/>
    <x v="0"/>
    <s v="Operational"/>
    <s v="EK 606"/>
    <m/>
    <m/>
    <m/>
    <m/>
    <x v="0"/>
    <x v="0"/>
  </r>
  <r>
    <n v="27825389"/>
    <x v="0"/>
    <x v="1493"/>
    <m/>
    <m/>
    <x v="3"/>
    <x v="94"/>
    <x v="6"/>
    <s v="Operational"/>
    <m/>
    <m/>
    <m/>
    <m/>
    <m/>
    <x v="0"/>
    <x v="0"/>
  </r>
  <r>
    <n v="27825396"/>
    <x v="0"/>
    <x v="1494"/>
    <s v="EK 221_2022-07-29T22x50x00"/>
    <s v="B777/3-ER"/>
    <x v="3"/>
    <x v="94"/>
    <x v="2"/>
    <s v="Operational"/>
    <m/>
    <m/>
    <m/>
    <m/>
    <m/>
    <x v="0"/>
    <x v="0"/>
  </r>
  <r>
    <n v="27825398"/>
    <x v="0"/>
    <x v="1495"/>
    <s v="IX 141_2022-07-29T11x55x00"/>
    <s v="B737/8"/>
    <x v="1"/>
    <x v="52"/>
    <x v="2"/>
    <s v="Operational"/>
    <s v="IX 141"/>
    <m/>
    <m/>
    <m/>
    <m/>
    <x v="0"/>
    <x v="0"/>
  </r>
  <r>
    <n v="27825400"/>
    <x v="0"/>
    <x v="1496"/>
    <s v="FZ 1550_2022-07-29T11x20x00"/>
    <s v="B737/9-MAX"/>
    <x v="5"/>
    <x v="158"/>
    <x v="4"/>
    <s v="Operational"/>
    <s v="FZ 1550"/>
    <m/>
    <m/>
    <m/>
    <m/>
    <x v="0"/>
    <x v="0"/>
  </r>
  <r>
    <n v="27825427"/>
    <x v="0"/>
    <x v="1497"/>
    <m/>
    <s v="B777/3-ER"/>
    <x v="3"/>
    <x v="94"/>
    <x v="0"/>
    <s v="Operational"/>
    <m/>
    <m/>
    <m/>
    <m/>
    <m/>
    <x v="0"/>
    <x v="0"/>
  </r>
  <r>
    <n v="27825436"/>
    <x v="0"/>
    <x v="1498"/>
    <s v="IX 141_2022-07-29T11x55x00"/>
    <s v="B737/8"/>
    <x v="1"/>
    <x v="52"/>
    <x v="0"/>
    <s v="Operational"/>
    <s v="IX 141"/>
    <m/>
    <m/>
    <m/>
    <m/>
    <x v="0"/>
    <x v="0"/>
  </r>
  <r>
    <n v="27825448"/>
    <x v="0"/>
    <x v="1499"/>
    <s v="FZ 893_2022-07-29T10x45x00"/>
    <s v="B737/8"/>
    <x v="1"/>
    <x v="6"/>
    <x v="1"/>
    <s v="Operational"/>
    <s v="FZ 893"/>
    <m/>
    <m/>
    <m/>
    <m/>
    <x v="0"/>
    <x v="0"/>
  </r>
  <r>
    <n v="27825468"/>
    <x v="0"/>
    <x v="1500"/>
    <s v="EK 953_2022-07-29T11x10x00"/>
    <s v="B777/3-ER"/>
    <x v="3"/>
    <x v="5"/>
    <x v="1"/>
    <s v="Operational"/>
    <s v="EK 953"/>
    <m/>
    <m/>
    <m/>
    <m/>
    <x v="0"/>
    <x v="0"/>
  </r>
  <r>
    <n v="27825491"/>
    <x v="0"/>
    <x v="1501"/>
    <s v="IX 615_2022-07-29T12x00x00"/>
    <s v="B737/8"/>
    <x v="1"/>
    <x v="96"/>
    <x v="2"/>
    <s v="Operational"/>
    <s v="IX 615"/>
    <m/>
    <m/>
    <m/>
    <m/>
    <x v="0"/>
    <x v="0"/>
  </r>
  <r>
    <n v="27825492"/>
    <x v="0"/>
    <x v="1502"/>
    <s v="SEP 723_2022-07-29T11x30x00"/>
    <s v="B737/8"/>
    <x v="0"/>
    <x v="0"/>
    <x v="3"/>
    <s v="Operational"/>
    <s v="SEP 723"/>
    <m/>
    <m/>
    <m/>
    <m/>
    <x v="0"/>
    <x v="0"/>
  </r>
  <r>
    <n v="27825499"/>
    <x v="0"/>
    <x v="1503"/>
    <s v="PK 203_2022-07-29T11x15x00"/>
    <s v="B777/3-ER"/>
    <x v="0"/>
    <x v="91"/>
    <x v="3"/>
    <s v="Operational"/>
    <s v="PK 203"/>
    <m/>
    <m/>
    <m/>
    <m/>
    <x v="0"/>
    <x v="0"/>
  </r>
  <r>
    <n v="27825508"/>
    <x v="0"/>
    <x v="1504"/>
    <s v="EK 047_2022-07-29T11x20x00"/>
    <s v="B777/3-ER"/>
    <x v="3"/>
    <x v="85"/>
    <x v="1"/>
    <s v="Operational"/>
    <s v="EK 047"/>
    <m/>
    <m/>
    <m/>
    <m/>
    <x v="0"/>
    <x v="0"/>
  </r>
  <r>
    <n v="27825520"/>
    <x v="0"/>
    <x v="1505"/>
    <m/>
    <m/>
    <x v="1"/>
    <x v="31"/>
    <x v="8"/>
    <s v="Operational"/>
    <m/>
    <m/>
    <m/>
    <m/>
    <m/>
    <x v="0"/>
    <x v="0"/>
  </r>
  <r>
    <n v="27825522"/>
    <x v="0"/>
    <x v="1506"/>
    <m/>
    <m/>
    <x v="1"/>
    <x v="31"/>
    <x v="9"/>
    <s v="Operational"/>
    <m/>
    <m/>
    <m/>
    <m/>
    <m/>
    <x v="0"/>
    <x v="0"/>
  </r>
  <r>
    <n v="27825528"/>
    <x v="0"/>
    <x v="1507"/>
    <s v="SEP 723_2022-07-29T11x30x00"/>
    <s v="B737/8"/>
    <x v="0"/>
    <x v="0"/>
    <x v="4"/>
    <s v="Operational"/>
    <s v="SEP 723"/>
    <m/>
    <m/>
    <m/>
    <m/>
    <x v="0"/>
    <x v="0"/>
  </r>
  <r>
    <n v="27825531"/>
    <x v="0"/>
    <x v="1508"/>
    <s v="IX 615_2022-07-29T12x00x00"/>
    <s v="B737/8"/>
    <x v="1"/>
    <x v="96"/>
    <x v="0"/>
    <s v="Operational"/>
    <s v="IX 615"/>
    <m/>
    <m/>
    <m/>
    <m/>
    <x v="0"/>
    <x v="0"/>
  </r>
  <r>
    <n v="27825546"/>
    <x v="0"/>
    <x v="1509"/>
    <m/>
    <m/>
    <x v="0"/>
    <x v="22"/>
    <x v="5"/>
    <s v="Operational"/>
    <m/>
    <m/>
    <m/>
    <m/>
    <m/>
    <x v="0"/>
    <x v="0"/>
  </r>
  <r>
    <n v="27825626"/>
    <x v="0"/>
    <x v="1510"/>
    <m/>
    <m/>
    <x v="5"/>
    <x v="139"/>
    <x v="6"/>
    <s v="Operational"/>
    <m/>
    <m/>
    <m/>
    <m/>
    <m/>
    <x v="0"/>
    <x v="0"/>
  </r>
  <r>
    <n v="27825649"/>
    <x v="0"/>
    <x v="1511"/>
    <s v="EK 857_2022-07-29T10x55x00"/>
    <s v="B777/3-ER"/>
    <x v="3"/>
    <x v="118"/>
    <x v="1"/>
    <s v="Operational"/>
    <s v="EK 857"/>
    <m/>
    <m/>
    <m/>
    <m/>
    <x v="0"/>
    <x v="0"/>
  </r>
  <r>
    <n v="27825658"/>
    <x v="0"/>
    <x v="1512"/>
    <m/>
    <m/>
    <x v="0"/>
    <x v="92"/>
    <x v="12"/>
    <s v="Operational"/>
    <m/>
    <m/>
    <m/>
    <m/>
    <m/>
    <x v="0"/>
    <x v="0"/>
  </r>
  <r>
    <n v="27825680"/>
    <x v="0"/>
    <x v="1513"/>
    <m/>
    <m/>
    <x v="1"/>
    <x v="31"/>
    <x v="8"/>
    <s v="Operational"/>
    <m/>
    <m/>
    <m/>
    <m/>
    <m/>
    <x v="0"/>
    <x v="0"/>
  </r>
  <r>
    <n v="27825682"/>
    <x v="0"/>
    <x v="1513"/>
    <m/>
    <m/>
    <x v="1"/>
    <x v="31"/>
    <x v="9"/>
    <s v="Operational"/>
    <m/>
    <m/>
    <m/>
    <m/>
    <m/>
    <x v="0"/>
    <x v="0"/>
  </r>
  <r>
    <n v="27825702"/>
    <x v="0"/>
    <x v="1514"/>
    <s v="FZ 1550_2022-07-29T11x20x00"/>
    <s v="B737/9-MAX"/>
    <x v="5"/>
    <x v="158"/>
    <x v="2"/>
    <s v="Operational"/>
    <s v="FZ 1550"/>
    <m/>
    <m/>
    <m/>
    <m/>
    <x v="0"/>
    <x v="0"/>
  </r>
  <r>
    <n v="27825703"/>
    <x v="0"/>
    <x v="1515"/>
    <s v="AI 938_2022-07-29T10x45x00"/>
    <s v="A321"/>
    <x v="0"/>
    <x v="57"/>
    <x v="1"/>
    <s v="Operational"/>
    <s v="AI 938"/>
    <m/>
    <m/>
    <m/>
    <m/>
    <x v="0"/>
    <x v="0"/>
  </r>
  <r>
    <n v="27825718"/>
    <x v="0"/>
    <x v="1516"/>
    <s v="FZ 1550_2022-07-29T11x20x00"/>
    <s v="B737/9-MAX"/>
    <x v="5"/>
    <x v="158"/>
    <x v="0"/>
    <s v="Operational"/>
    <s v="FZ 1550"/>
    <m/>
    <m/>
    <m/>
    <m/>
    <x v="0"/>
    <x v="0"/>
  </r>
  <r>
    <n v="27825737"/>
    <x v="0"/>
    <x v="1517"/>
    <s v="GF 506_2022-07-29T12x10x00"/>
    <s v="A320"/>
    <x v="0"/>
    <x v="3"/>
    <x v="3"/>
    <s v="Operational"/>
    <s v="GF 506"/>
    <m/>
    <m/>
    <m/>
    <m/>
    <x v="0"/>
    <x v="0"/>
  </r>
  <r>
    <n v="27825750"/>
    <x v="0"/>
    <x v="1518"/>
    <m/>
    <m/>
    <x v="1"/>
    <x v="31"/>
    <x v="8"/>
    <s v="Operational"/>
    <m/>
    <m/>
    <m/>
    <m/>
    <m/>
    <x v="0"/>
    <x v="0"/>
  </r>
  <r>
    <n v="27825752"/>
    <x v="0"/>
    <x v="1518"/>
    <m/>
    <m/>
    <x v="1"/>
    <x v="31"/>
    <x v="9"/>
    <s v="Operational"/>
    <m/>
    <m/>
    <m/>
    <m/>
    <m/>
    <x v="0"/>
    <x v="0"/>
  </r>
  <r>
    <n v="27825777"/>
    <x v="0"/>
    <x v="1519"/>
    <s v="PK 203_2022-07-29T11x15x00"/>
    <s v="B777/3-ER"/>
    <x v="0"/>
    <x v="91"/>
    <x v="4"/>
    <s v="Operational"/>
    <s v="PK 203"/>
    <m/>
    <m/>
    <m/>
    <m/>
    <x v="0"/>
    <x v="0"/>
  </r>
  <r>
    <n v="27825790"/>
    <x v="0"/>
    <x v="1520"/>
    <s v="PK 203_2022-07-29T11x15x00"/>
    <s v="B777/3-ER"/>
    <x v="0"/>
    <x v="91"/>
    <x v="18"/>
    <s v="Operational"/>
    <s v="PK 203"/>
    <m/>
    <m/>
    <m/>
    <m/>
    <x v="0"/>
    <x v="0"/>
  </r>
  <r>
    <n v="27825795"/>
    <x v="0"/>
    <x v="1521"/>
    <s v="SEP 723_2022-07-29T11x30x00"/>
    <s v="B737/8"/>
    <x v="0"/>
    <x v="0"/>
    <x v="2"/>
    <s v="Operational"/>
    <s v="SEP 723"/>
    <m/>
    <m/>
    <m/>
    <m/>
    <x v="0"/>
    <x v="0"/>
  </r>
  <r>
    <n v="27825802"/>
    <x v="0"/>
    <x v="1522"/>
    <s v="PA 810_2022-07-29T11x55x00"/>
    <s v="A321"/>
    <x v="0"/>
    <x v="63"/>
    <x v="3"/>
    <s v="Operational"/>
    <s v="PA 810"/>
    <m/>
    <m/>
    <m/>
    <m/>
    <x v="0"/>
    <x v="0"/>
  </r>
  <r>
    <n v="27825808"/>
    <x v="0"/>
    <x v="1523"/>
    <s v="PK 203_2022-07-29T11x15x00"/>
    <s v="B777/3-ER"/>
    <x v="0"/>
    <x v="91"/>
    <x v="9"/>
    <s v="Operational"/>
    <s v="PK 203"/>
    <m/>
    <m/>
    <m/>
    <m/>
    <x v="0"/>
    <x v="0"/>
  </r>
  <r>
    <n v="27825815"/>
    <x v="0"/>
    <x v="1524"/>
    <s v="PK 203_2022-07-29T11x15x00"/>
    <s v="B777/3-ER"/>
    <x v="0"/>
    <x v="91"/>
    <x v="3"/>
    <s v="Operational"/>
    <s v="PK 203"/>
    <m/>
    <m/>
    <m/>
    <m/>
    <x v="0"/>
    <x v="0"/>
  </r>
  <r>
    <n v="27825829"/>
    <x v="0"/>
    <x v="1525"/>
    <m/>
    <m/>
    <x v="1"/>
    <x v="31"/>
    <x v="8"/>
    <s v="Operational"/>
    <m/>
    <m/>
    <m/>
    <m/>
    <m/>
    <x v="0"/>
    <x v="0"/>
  </r>
  <r>
    <n v="27825833"/>
    <x v="0"/>
    <x v="1526"/>
    <s v="PK 203_2022-07-29T11x15x00"/>
    <s v="B777/3-ER"/>
    <x v="0"/>
    <x v="91"/>
    <x v="4"/>
    <s v="Operational"/>
    <s v="PK 203"/>
    <m/>
    <m/>
    <m/>
    <m/>
    <x v="0"/>
    <x v="0"/>
  </r>
  <r>
    <n v="27825835"/>
    <x v="0"/>
    <x v="1527"/>
    <m/>
    <m/>
    <x v="1"/>
    <x v="31"/>
    <x v="9"/>
    <s v="Operational"/>
    <m/>
    <m/>
    <m/>
    <m/>
    <m/>
    <x v="0"/>
    <x v="0"/>
  </r>
  <r>
    <n v="27825841"/>
    <x v="0"/>
    <x v="1528"/>
    <s v="SEP 723_2022-07-29T11x30x00"/>
    <s v="B737/8"/>
    <x v="0"/>
    <x v="0"/>
    <x v="0"/>
    <s v="Operational"/>
    <s v="SEP 723"/>
    <m/>
    <m/>
    <m/>
    <m/>
    <x v="0"/>
    <x v="0"/>
  </r>
  <r>
    <n v="27825888"/>
    <x v="0"/>
    <x v="1529"/>
    <s v="PK 203_2022-07-29T11x15x00"/>
    <s v="B777/3-ER"/>
    <x v="0"/>
    <x v="91"/>
    <x v="2"/>
    <s v="Operational"/>
    <s v="PK 203"/>
    <m/>
    <m/>
    <m/>
    <m/>
    <x v="0"/>
    <x v="0"/>
  </r>
  <r>
    <n v="27825895"/>
    <x v="0"/>
    <x v="1530"/>
    <s v="PK 203_2022-07-29T11x15x00"/>
    <s v="B777/3-ER"/>
    <x v="0"/>
    <x v="91"/>
    <x v="0"/>
    <s v="Operational"/>
    <s v="PK 203"/>
    <m/>
    <m/>
    <m/>
    <m/>
    <x v="0"/>
    <x v="0"/>
  </r>
  <r>
    <n v="27825910"/>
    <x v="0"/>
    <x v="1531"/>
    <s v="EK 095_2022-07-29T11x45x00"/>
    <s v="B777/3-ER"/>
    <x v="3"/>
    <x v="19"/>
    <x v="1"/>
    <s v="Operational"/>
    <s v="EK 095"/>
    <m/>
    <m/>
    <m/>
    <m/>
    <x v="0"/>
    <x v="0"/>
  </r>
  <r>
    <n v="27825920"/>
    <x v="0"/>
    <x v="1532"/>
    <s v="EK 085_2022-07-29T11x35x00"/>
    <s v="B777/3-ER"/>
    <x v="3"/>
    <x v="78"/>
    <x v="1"/>
    <s v="Operational"/>
    <s v="EK 085"/>
    <m/>
    <m/>
    <m/>
    <m/>
    <x v="0"/>
    <x v="0"/>
  </r>
  <r>
    <n v="27825944"/>
    <x v="0"/>
    <x v="1533"/>
    <s v="WY 609_2022-07-29T11x40x00"/>
    <s v="B737/8-MAX"/>
    <x v="0"/>
    <x v="63"/>
    <x v="3"/>
    <s v="Operational"/>
    <s v="WY 609"/>
    <m/>
    <m/>
    <m/>
    <m/>
    <x v="0"/>
    <x v="0"/>
  </r>
  <r>
    <n v="27825955"/>
    <x v="0"/>
    <x v="1534"/>
    <s v="6E 088_2022-07-29T12x05x00"/>
    <s v="A320-NEO"/>
    <x v="0"/>
    <x v="9"/>
    <x v="3"/>
    <s v="Operational"/>
    <s v="6E 088"/>
    <m/>
    <m/>
    <m/>
    <m/>
    <x v="0"/>
    <x v="0"/>
  </r>
  <r>
    <n v="27825961"/>
    <x v="0"/>
    <x v="1535"/>
    <s v="6E 088_2022-07-29T12x05x00"/>
    <s v="A320-NEO"/>
    <x v="0"/>
    <x v="9"/>
    <x v="10"/>
    <s v="Operational"/>
    <s v="6E 088"/>
    <m/>
    <m/>
    <m/>
    <m/>
    <x v="0"/>
    <x v="0"/>
  </r>
  <r>
    <n v="27825962"/>
    <x v="0"/>
    <x v="1536"/>
    <s v="6E 088_2022-07-29T12x05x00"/>
    <s v="A320-NEO"/>
    <x v="0"/>
    <x v="9"/>
    <x v="11"/>
    <s v="Operational"/>
    <s v="6E 088"/>
    <m/>
    <m/>
    <m/>
    <m/>
    <x v="0"/>
    <x v="0"/>
  </r>
  <r>
    <n v="27825966"/>
    <x v="0"/>
    <x v="1537"/>
    <s v="PA 810_2022-07-29T11x55x00"/>
    <s v="A321"/>
    <x v="0"/>
    <x v="63"/>
    <x v="10"/>
    <s v="Operational"/>
    <s v="PA 810"/>
    <m/>
    <m/>
    <m/>
    <m/>
    <x v="0"/>
    <x v="0"/>
  </r>
  <r>
    <n v="27825967"/>
    <x v="0"/>
    <x v="1538"/>
    <s v="PA 810_2022-07-29T11x55x00"/>
    <s v="A321"/>
    <x v="0"/>
    <x v="63"/>
    <x v="11"/>
    <s v="Operational"/>
    <s v="PA 810"/>
    <m/>
    <m/>
    <m/>
    <m/>
    <x v="0"/>
    <x v="0"/>
  </r>
  <r>
    <n v="27826027"/>
    <x v="0"/>
    <x v="1539"/>
    <s v="FZ 832_2022-07-29T11x15x00"/>
    <s v="B737/8-MAX"/>
    <x v="5"/>
    <x v="139"/>
    <x v="2"/>
    <s v="Operational"/>
    <m/>
    <m/>
    <m/>
    <m/>
    <m/>
    <x v="0"/>
    <x v="0"/>
  </r>
  <r>
    <n v="27826040"/>
    <x v="0"/>
    <x v="1540"/>
    <s v="EK 514_2022-07-29T11x25x00"/>
    <s v="B777/3-ER"/>
    <x v="2"/>
    <x v="100"/>
    <x v="1"/>
    <s v="Operational"/>
    <s v="EK 514"/>
    <m/>
    <m/>
    <m/>
    <m/>
    <x v="0"/>
    <x v="0"/>
  </r>
  <r>
    <n v="27826055"/>
    <x v="0"/>
    <x v="1541"/>
    <s v="GF 506_2022-07-29T12x10x00"/>
    <s v="A320"/>
    <x v="0"/>
    <x v="3"/>
    <x v="10"/>
    <s v="Operational"/>
    <s v="GF 506"/>
    <m/>
    <m/>
    <m/>
    <m/>
    <x v="0"/>
    <x v="0"/>
  </r>
  <r>
    <n v="27826057"/>
    <x v="0"/>
    <x v="1542"/>
    <s v="GF 506_2022-07-29T12x10x00"/>
    <s v="A320"/>
    <x v="0"/>
    <x v="3"/>
    <x v="11"/>
    <s v="Operational"/>
    <s v="GF 506"/>
    <m/>
    <m/>
    <m/>
    <m/>
    <x v="0"/>
    <x v="0"/>
  </r>
  <r>
    <n v="27826070"/>
    <x v="0"/>
    <x v="1543"/>
    <s v="FZ 832_2022-07-29T11x15x00"/>
    <s v="B737/8-MAX"/>
    <x v="5"/>
    <x v="139"/>
    <x v="0"/>
    <s v="Operational"/>
    <m/>
    <m/>
    <m/>
    <m/>
    <m/>
    <x v="0"/>
    <x v="0"/>
  </r>
  <r>
    <n v="27826077"/>
    <x v="0"/>
    <x v="1544"/>
    <s v="FZ 1829_2022-07-29T11x35x00"/>
    <s v="B737/8-MAX"/>
    <x v="5"/>
    <x v="71"/>
    <x v="1"/>
    <s v="Operational"/>
    <s v="FZ 1829"/>
    <m/>
    <m/>
    <m/>
    <m/>
    <x v="0"/>
    <x v="0"/>
  </r>
  <r>
    <n v="27826100"/>
    <x v="0"/>
    <x v="1545"/>
    <m/>
    <m/>
    <x v="1"/>
    <x v="31"/>
    <x v="8"/>
    <s v="Operational"/>
    <m/>
    <m/>
    <m/>
    <m/>
    <m/>
    <x v="0"/>
    <x v="0"/>
  </r>
  <r>
    <n v="27826102"/>
    <x v="0"/>
    <x v="1545"/>
    <m/>
    <m/>
    <x v="1"/>
    <x v="31"/>
    <x v="9"/>
    <s v="Operational"/>
    <m/>
    <m/>
    <m/>
    <m/>
    <m/>
    <x v="0"/>
    <x v="0"/>
  </r>
  <r>
    <n v="27826111"/>
    <x v="0"/>
    <x v="1546"/>
    <s v="GF 506_2022-07-29T12x10x00"/>
    <s v="A320"/>
    <x v="0"/>
    <x v="3"/>
    <x v="2"/>
    <s v="Operational"/>
    <s v="GF 506"/>
    <m/>
    <m/>
    <m/>
    <m/>
    <x v="0"/>
    <x v="0"/>
  </r>
  <r>
    <n v="27826123"/>
    <x v="0"/>
    <x v="1547"/>
    <s v="ET 602_2022-07-29T11x45x00"/>
    <s v="B777/3-ER"/>
    <x v="0"/>
    <x v="88"/>
    <x v="3"/>
    <s v="Operational"/>
    <s v="ET 602"/>
    <m/>
    <m/>
    <m/>
    <m/>
    <x v="0"/>
    <x v="0"/>
  </r>
  <r>
    <n v="27826129"/>
    <x v="0"/>
    <x v="1548"/>
    <m/>
    <m/>
    <x v="1"/>
    <x v="31"/>
    <x v="8"/>
    <s v="Operational"/>
    <m/>
    <m/>
    <m/>
    <m/>
    <m/>
    <x v="0"/>
    <x v="0"/>
  </r>
  <r>
    <n v="27826131"/>
    <x v="0"/>
    <x v="1548"/>
    <m/>
    <m/>
    <x v="1"/>
    <x v="31"/>
    <x v="9"/>
    <s v="Operational"/>
    <m/>
    <m/>
    <m/>
    <m/>
    <m/>
    <x v="0"/>
    <x v="0"/>
  </r>
  <r>
    <n v="27826134"/>
    <x v="0"/>
    <x v="1549"/>
    <s v="GF 506_2022-07-29T12x10x00"/>
    <s v="A320"/>
    <x v="0"/>
    <x v="3"/>
    <x v="0"/>
    <s v="Operational"/>
    <s v="GF 506"/>
    <m/>
    <m/>
    <m/>
    <m/>
    <x v="0"/>
    <x v="0"/>
  </r>
  <r>
    <n v="27826168"/>
    <x v="0"/>
    <x v="1550"/>
    <s v="PA 810_2022-07-29T11x55x00"/>
    <s v="A321"/>
    <x v="0"/>
    <x v="63"/>
    <x v="2"/>
    <s v="Operational"/>
    <s v="PA 810"/>
    <m/>
    <m/>
    <m/>
    <m/>
    <x v="0"/>
    <x v="0"/>
  </r>
  <r>
    <n v="27826180"/>
    <x v="0"/>
    <x v="1551"/>
    <s v="FX 9839_2022-07-29T11x45x00"/>
    <s v="B777/2"/>
    <x v="1"/>
    <x v="166"/>
    <x v="1"/>
    <s v="Operational"/>
    <s v="FX 9839"/>
    <m/>
    <m/>
    <m/>
    <m/>
    <x v="0"/>
    <x v="0"/>
  </r>
  <r>
    <n v="27826208"/>
    <x v="0"/>
    <x v="1552"/>
    <s v="ET 602_2022-07-29T11x45x00"/>
    <s v="B777/3-ER"/>
    <x v="0"/>
    <x v="88"/>
    <x v="4"/>
    <s v="Operational"/>
    <s v="ET 602"/>
    <m/>
    <m/>
    <m/>
    <m/>
    <x v="0"/>
    <x v="0"/>
  </r>
  <r>
    <n v="27826213"/>
    <x v="0"/>
    <x v="1553"/>
    <m/>
    <m/>
    <x v="1"/>
    <x v="31"/>
    <x v="8"/>
    <s v="Operational"/>
    <m/>
    <m/>
    <m/>
    <m/>
    <m/>
    <x v="0"/>
    <x v="0"/>
  </r>
  <r>
    <n v="27826216"/>
    <x v="0"/>
    <x v="1554"/>
    <m/>
    <m/>
    <x v="1"/>
    <x v="31"/>
    <x v="9"/>
    <s v="Operational"/>
    <m/>
    <m/>
    <m/>
    <m/>
    <m/>
    <x v="0"/>
    <x v="0"/>
  </r>
  <r>
    <n v="27826219"/>
    <x v="0"/>
    <x v="1555"/>
    <s v="PA 810_2022-07-29T11x55x00"/>
    <s v="A321"/>
    <x v="0"/>
    <x v="63"/>
    <x v="0"/>
    <s v="Operational"/>
    <s v="PA 810"/>
    <m/>
    <m/>
    <m/>
    <m/>
    <x v="0"/>
    <x v="0"/>
  </r>
  <r>
    <n v="27826238"/>
    <x v="0"/>
    <x v="1556"/>
    <s v="WY 609_2022-07-29T11x40x00"/>
    <s v="B737/8-MAX"/>
    <x v="0"/>
    <x v="63"/>
    <x v="10"/>
    <s v="Operational"/>
    <s v="WY 609"/>
    <m/>
    <m/>
    <m/>
    <m/>
    <x v="0"/>
    <x v="0"/>
  </r>
  <r>
    <n v="27826239"/>
    <x v="0"/>
    <x v="1557"/>
    <s v="WY 609_2022-07-29T11x40x00"/>
    <s v="B737/8-MAX"/>
    <x v="0"/>
    <x v="63"/>
    <x v="11"/>
    <s v="Operational"/>
    <s v="WY 609"/>
    <m/>
    <m/>
    <m/>
    <m/>
    <x v="0"/>
    <x v="0"/>
  </r>
  <r>
    <n v="27826254"/>
    <x v="0"/>
    <x v="1558"/>
    <s v="FZ 813_2022-07-29T10x55x00"/>
    <s v="B737/8"/>
    <x v="1"/>
    <x v="83"/>
    <x v="1"/>
    <s v="Operational"/>
    <s v="FZ 813"/>
    <m/>
    <m/>
    <m/>
    <m/>
    <x v="0"/>
    <x v="0"/>
  </r>
  <r>
    <n v="27826256"/>
    <x v="0"/>
    <x v="1558"/>
    <s v="ET 602_2022-07-29T11x45x00"/>
    <s v="B777/3-ER"/>
    <x v="0"/>
    <x v="88"/>
    <x v="22"/>
    <s v="Operational"/>
    <s v="ET 602"/>
    <m/>
    <m/>
    <m/>
    <m/>
    <x v="0"/>
    <x v="0"/>
  </r>
  <r>
    <n v="27826263"/>
    <x v="0"/>
    <x v="1559"/>
    <s v="ET 602_2022-07-29T11x45x00"/>
    <s v="B777/3-ER"/>
    <x v="0"/>
    <x v="88"/>
    <x v="5"/>
    <s v="Operational"/>
    <s v="ET 602"/>
    <m/>
    <m/>
    <m/>
    <m/>
    <x v="0"/>
    <x v="0"/>
  </r>
  <r>
    <n v="27826269"/>
    <x v="0"/>
    <x v="1560"/>
    <s v="ET 602_2022-07-29T11x45x00"/>
    <s v="B777/3-ER"/>
    <x v="0"/>
    <x v="88"/>
    <x v="3"/>
    <s v="Operational"/>
    <s v="ET 602"/>
    <m/>
    <m/>
    <m/>
    <m/>
    <x v="0"/>
    <x v="0"/>
  </r>
  <r>
    <n v="27826277"/>
    <x v="0"/>
    <x v="1561"/>
    <s v="ET 602_2022-07-29T11x45x00"/>
    <s v="B777/3-ER"/>
    <x v="0"/>
    <x v="88"/>
    <x v="27"/>
    <s v="Operational"/>
    <s v="ET 602"/>
    <m/>
    <m/>
    <m/>
    <m/>
    <x v="0"/>
    <x v="0"/>
  </r>
  <r>
    <n v="27826311"/>
    <x v="0"/>
    <x v="1562"/>
    <s v="ET 602_2022-07-29T11x45x00"/>
    <s v="B777/3-ER"/>
    <x v="0"/>
    <x v="88"/>
    <x v="3"/>
    <s v="Operational"/>
    <s v="ET 602"/>
    <m/>
    <m/>
    <m/>
    <m/>
    <x v="0"/>
    <x v="0"/>
  </r>
  <r>
    <n v="27826316"/>
    <x v="0"/>
    <x v="1563"/>
    <m/>
    <m/>
    <x v="1"/>
    <x v="31"/>
    <x v="8"/>
    <s v="Operational"/>
    <m/>
    <m/>
    <m/>
    <m/>
    <m/>
    <x v="0"/>
    <x v="0"/>
  </r>
  <r>
    <n v="27826318"/>
    <x v="0"/>
    <x v="1563"/>
    <m/>
    <m/>
    <x v="1"/>
    <x v="31"/>
    <x v="9"/>
    <s v="Operational"/>
    <m/>
    <m/>
    <m/>
    <m/>
    <m/>
    <x v="0"/>
    <x v="0"/>
  </r>
  <r>
    <n v="27826328"/>
    <x v="0"/>
    <x v="1564"/>
    <s v="EK 005_2022-07-29T11x45x00"/>
    <s v="A380/8"/>
    <x v="3"/>
    <x v="45"/>
    <x v="1"/>
    <s v="Operational"/>
    <s v="EK 005"/>
    <m/>
    <m/>
    <m/>
    <m/>
    <x v="0"/>
    <x v="0"/>
  </r>
  <r>
    <n v="27826340"/>
    <x v="0"/>
    <x v="1565"/>
    <s v="WY 609_2022-07-29T11x40x00"/>
    <s v="B737/8-MAX"/>
    <x v="0"/>
    <x v="63"/>
    <x v="2"/>
    <s v="Operational"/>
    <s v="WY 609"/>
    <m/>
    <m/>
    <m/>
    <m/>
    <x v="0"/>
    <x v="0"/>
  </r>
  <r>
    <n v="27826352"/>
    <x v="0"/>
    <x v="1566"/>
    <m/>
    <m/>
    <x v="0"/>
    <x v="92"/>
    <x v="33"/>
    <s v="Operational"/>
    <s v="KU 674"/>
    <m/>
    <m/>
    <m/>
    <m/>
    <x v="0"/>
    <x v="0"/>
  </r>
  <r>
    <n v="27826358"/>
    <x v="0"/>
    <x v="1567"/>
    <s v="ET 602_2022-07-29T11x45x00"/>
    <s v="B777/3-ER"/>
    <x v="0"/>
    <x v="88"/>
    <x v="27"/>
    <s v="Operational"/>
    <s v="ET 602"/>
    <m/>
    <m/>
    <m/>
    <m/>
    <x v="0"/>
    <x v="0"/>
  </r>
  <r>
    <n v="27826368"/>
    <x v="0"/>
    <x v="1568"/>
    <s v="WY 609_2022-07-29T11x40x00"/>
    <s v="B737/8-MAX"/>
    <x v="0"/>
    <x v="63"/>
    <x v="0"/>
    <s v="Operational"/>
    <s v="WY 609"/>
    <m/>
    <m/>
    <m/>
    <m/>
    <x v="0"/>
    <x v="0"/>
  </r>
  <r>
    <n v="27826388"/>
    <x v="0"/>
    <x v="1569"/>
    <s v="ET 602_2022-07-29T11x45x00"/>
    <s v="B777/3-ER"/>
    <x v="0"/>
    <x v="88"/>
    <x v="3"/>
    <s v="Operational"/>
    <s v="ET 602"/>
    <m/>
    <m/>
    <m/>
    <m/>
    <x v="0"/>
    <x v="0"/>
  </r>
  <r>
    <n v="27826403"/>
    <x v="0"/>
    <x v="1570"/>
    <s v="6E 088_2022-07-29T12x05x00"/>
    <s v="A320-NEO"/>
    <x v="0"/>
    <x v="9"/>
    <x v="2"/>
    <s v="Operational"/>
    <s v="6E 088"/>
    <m/>
    <m/>
    <m/>
    <m/>
    <x v="0"/>
    <x v="0"/>
  </r>
  <r>
    <n v="27826407"/>
    <x v="0"/>
    <x v="1571"/>
    <m/>
    <m/>
    <x v="0"/>
    <x v="92"/>
    <x v="34"/>
    <s v="Operational"/>
    <m/>
    <m/>
    <m/>
    <m/>
    <m/>
    <x v="0"/>
    <x v="0"/>
  </r>
  <r>
    <n v="27826432"/>
    <x v="0"/>
    <x v="1572"/>
    <s v="6E 088_2022-07-29T12x05x00"/>
    <s v="A320-NEO"/>
    <x v="0"/>
    <x v="9"/>
    <x v="0"/>
    <s v="Operational"/>
    <s v="6E 088"/>
    <m/>
    <m/>
    <m/>
    <m/>
    <x v="0"/>
    <x v="0"/>
  </r>
  <r>
    <n v="27826459"/>
    <x v="0"/>
    <x v="1573"/>
    <s v="ET 602_2022-07-29T11x45x00"/>
    <s v="B777/3-ER"/>
    <x v="0"/>
    <x v="88"/>
    <x v="4"/>
    <s v="Operational"/>
    <s v="ET 602"/>
    <m/>
    <m/>
    <m/>
    <m/>
    <x v="0"/>
    <x v="0"/>
  </r>
  <r>
    <n v="27826492"/>
    <x v="0"/>
    <x v="1574"/>
    <s v="FX 5032_2022-07-29T12x05x00"/>
    <s v="MD11"/>
    <x v="1"/>
    <x v="93"/>
    <x v="1"/>
    <s v="Operational"/>
    <s v="FX 5032"/>
    <m/>
    <m/>
    <m/>
    <m/>
    <x v="0"/>
    <x v="0"/>
  </r>
  <r>
    <n v="27826495"/>
    <x v="0"/>
    <x v="1574"/>
    <m/>
    <m/>
    <x v="1"/>
    <x v="31"/>
    <x v="8"/>
    <s v="Operational"/>
    <m/>
    <m/>
    <m/>
    <m/>
    <m/>
    <x v="0"/>
    <x v="0"/>
  </r>
  <r>
    <n v="27826507"/>
    <x v="0"/>
    <x v="1575"/>
    <m/>
    <m/>
    <x v="1"/>
    <x v="31"/>
    <x v="9"/>
    <s v="Operational"/>
    <m/>
    <m/>
    <m/>
    <m/>
    <m/>
    <x v="0"/>
    <x v="0"/>
  </r>
  <r>
    <n v="27826515"/>
    <x v="0"/>
    <x v="1576"/>
    <m/>
    <m/>
    <x v="1"/>
    <x v="31"/>
    <x v="8"/>
    <s v="Operational"/>
    <m/>
    <m/>
    <m/>
    <m/>
    <m/>
    <x v="0"/>
    <x v="0"/>
  </r>
  <r>
    <n v="27826517"/>
    <x v="0"/>
    <x v="1576"/>
    <m/>
    <m/>
    <x v="1"/>
    <x v="31"/>
    <x v="9"/>
    <s v="Operational"/>
    <m/>
    <m/>
    <m/>
    <m/>
    <m/>
    <x v="0"/>
    <x v="0"/>
  </r>
  <r>
    <n v="27826523"/>
    <x v="0"/>
    <x v="1577"/>
    <s v="FZ 8274_2022-07-29T11x30x00"/>
    <s v="B737/8"/>
    <x v="1"/>
    <x v="121"/>
    <x v="3"/>
    <s v="Operational"/>
    <s v="FZ 8274"/>
    <m/>
    <m/>
    <m/>
    <m/>
    <x v="0"/>
    <x v="0"/>
  </r>
  <r>
    <n v="27826540"/>
    <x v="0"/>
    <x v="1578"/>
    <m/>
    <m/>
    <x v="3"/>
    <x v="102"/>
    <x v="6"/>
    <s v="Operational"/>
    <m/>
    <m/>
    <m/>
    <m/>
    <m/>
    <x v="0"/>
    <x v="0"/>
  </r>
  <r>
    <n v="27826542"/>
    <x v="0"/>
    <x v="1579"/>
    <s v="EK 612_2022-07-29T23x20x00"/>
    <s v="B777/3-ER"/>
    <x v="3"/>
    <x v="102"/>
    <x v="15"/>
    <s v="Technical"/>
    <m/>
    <m/>
    <m/>
    <m/>
    <m/>
    <x v="0"/>
    <x v="0"/>
  </r>
  <r>
    <n v="27826547"/>
    <x v="0"/>
    <x v="1580"/>
    <m/>
    <m/>
    <x v="1"/>
    <x v="31"/>
    <x v="8"/>
    <s v="Operational"/>
    <m/>
    <m/>
    <m/>
    <m/>
    <m/>
    <x v="0"/>
    <x v="0"/>
  </r>
  <r>
    <n v="27826551"/>
    <x v="0"/>
    <x v="1581"/>
    <s v="ET 602_2022-07-29T11x45x00"/>
    <s v="B777/3-ER"/>
    <x v="0"/>
    <x v="88"/>
    <x v="23"/>
    <s v="Operational"/>
    <s v="ET 602"/>
    <m/>
    <m/>
    <m/>
    <m/>
    <x v="0"/>
    <x v="0"/>
  </r>
  <r>
    <n v="27826558"/>
    <x v="0"/>
    <x v="1582"/>
    <s v="ET 602_2022-07-29T11x45x00"/>
    <s v="B777/3-ER"/>
    <x v="0"/>
    <x v="88"/>
    <x v="3"/>
    <s v="Operational"/>
    <s v="ET 602"/>
    <m/>
    <m/>
    <m/>
    <m/>
    <x v="0"/>
    <x v="0"/>
  </r>
  <r>
    <n v="27826562"/>
    <x v="0"/>
    <x v="1583"/>
    <m/>
    <m/>
    <x v="1"/>
    <x v="31"/>
    <x v="9"/>
    <s v="Operational"/>
    <m/>
    <m/>
    <m/>
    <m/>
    <m/>
    <x v="0"/>
    <x v="0"/>
  </r>
  <r>
    <n v="27826563"/>
    <x v="0"/>
    <x v="1584"/>
    <s v="EK 612_2022-07-29T23x20x00"/>
    <s v="B777/3-ER"/>
    <x v="3"/>
    <x v="102"/>
    <x v="16"/>
    <s v="Technical"/>
    <m/>
    <m/>
    <m/>
    <m/>
    <m/>
    <x v="0"/>
    <x v="0"/>
  </r>
  <r>
    <n v="27826566"/>
    <x v="0"/>
    <x v="1585"/>
    <s v="ET 602_2022-07-29T11x45x00"/>
    <s v="B777/3-ER"/>
    <x v="0"/>
    <x v="88"/>
    <x v="27"/>
    <s v="Operational"/>
    <s v="ET 602"/>
    <m/>
    <m/>
    <m/>
    <m/>
    <x v="0"/>
    <x v="0"/>
  </r>
  <r>
    <n v="27826568"/>
    <x v="0"/>
    <x v="1586"/>
    <m/>
    <m/>
    <x v="0"/>
    <x v="88"/>
    <x v="12"/>
    <s v="Operational"/>
    <m/>
    <m/>
    <m/>
    <m/>
    <m/>
    <x v="0"/>
    <x v="0"/>
  </r>
  <r>
    <n v="27826572"/>
    <x v="0"/>
    <x v="1587"/>
    <m/>
    <m/>
    <x v="0"/>
    <x v="88"/>
    <x v="5"/>
    <s v="Operational"/>
    <m/>
    <m/>
    <m/>
    <m/>
    <m/>
    <x v="0"/>
    <x v="0"/>
  </r>
  <r>
    <n v="27826613"/>
    <x v="0"/>
    <x v="1588"/>
    <s v="ET 602_2022-07-29T11x45x00"/>
    <s v="B777/3-ER"/>
    <x v="0"/>
    <x v="88"/>
    <x v="3"/>
    <s v="Operational"/>
    <s v="ET 602"/>
    <m/>
    <m/>
    <m/>
    <m/>
    <x v="0"/>
    <x v="0"/>
  </r>
  <r>
    <n v="27826618"/>
    <x v="0"/>
    <x v="1589"/>
    <s v="EK 091_2022-07-29T11x45x00"/>
    <s v="A380/8"/>
    <x v="3"/>
    <x v="37"/>
    <x v="1"/>
    <s v="Operational"/>
    <s v="EK 091"/>
    <m/>
    <m/>
    <m/>
    <m/>
    <x v="0"/>
    <x v="0"/>
  </r>
  <r>
    <n v="27826624"/>
    <x v="0"/>
    <x v="1590"/>
    <s v="ET 602_2022-07-29T11x45x00"/>
    <s v="B777/3-ER"/>
    <x v="0"/>
    <x v="88"/>
    <x v="27"/>
    <s v="Operational"/>
    <s v="ET 602"/>
    <m/>
    <m/>
    <m/>
    <m/>
    <x v="0"/>
    <x v="0"/>
  </r>
  <r>
    <n v="27826638"/>
    <x v="0"/>
    <x v="1591"/>
    <m/>
    <m/>
    <x v="0"/>
    <x v="88"/>
    <x v="12"/>
    <s v="Operational"/>
    <m/>
    <m/>
    <m/>
    <m/>
    <m/>
    <x v="0"/>
    <x v="0"/>
  </r>
  <r>
    <n v="27826641"/>
    <x v="0"/>
    <x v="1592"/>
    <m/>
    <m/>
    <x v="0"/>
    <x v="88"/>
    <x v="5"/>
    <s v="Operational"/>
    <m/>
    <m/>
    <m/>
    <m/>
    <m/>
    <x v="0"/>
    <x v="0"/>
  </r>
  <r>
    <n v="27826649"/>
    <x v="0"/>
    <x v="1593"/>
    <s v="J9 123_2022-07-29T12x00x00"/>
    <s v="A320"/>
    <x v="0"/>
    <x v="57"/>
    <x v="3"/>
    <s v="Operational"/>
    <s v="J9 123"/>
    <m/>
    <m/>
    <m/>
    <m/>
    <x v="0"/>
    <x v="0"/>
  </r>
  <r>
    <n v="27826656"/>
    <x v="0"/>
    <x v="1594"/>
    <m/>
    <m/>
    <x v="0"/>
    <x v="88"/>
    <x v="6"/>
    <s v="Operational"/>
    <m/>
    <m/>
    <m/>
    <m/>
    <m/>
    <x v="0"/>
    <x v="0"/>
  </r>
  <r>
    <n v="27826664"/>
    <x v="0"/>
    <x v="1595"/>
    <s v="ET 602_2022-07-29T11x45x00"/>
    <s v="A350/9"/>
    <x v="0"/>
    <x v="88"/>
    <x v="22"/>
    <s v="Operational"/>
    <m/>
    <m/>
    <m/>
    <m/>
    <m/>
    <x v="0"/>
    <x v="0"/>
  </r>
  <r>
    <n v="27826667"/>
    <x v="0"/>
    <x v="1596"/>
    <s v="ET 602_2022-07-29T11x45x00"/>
    <s v="A350/9"/>
    <x v="0"/>
    <x v="88"/>
    <x v="5"/>
    <s v="Operational"/>
    <m/>
    <m/>
    <m/>
    <m/>
    <m/>
    <x v="0"/>
    <x v="0"/>
  </r>
  <r>
    <n v="27826672"/>
    <x v="0"/>
    <x v="1597"/>
    <s v="ET 602_2022-07-29T11x45x00"/>
    <s v="B777/3-ER"/>
    <x v="0"/>
    <x v="88"/>
    <x v="3"/>
    <s v="Operational"/>
    <s v="ET 602"/>
    <m/>
    <m/>
    <m/>
    <m/>
    <x v="0"/>
    <x v="0"/>
  </r>
  <r>
    <n v="27826678"/>
    <x v="0"/>
    <x v="1598"/>
    <s v="SV 559_2022-07-29T12x00x00"/>
    <s v="A330/3"/>
    <x v="0"/>
    <x v="17"/>
    <x v="1"/>
    <s v="Operational"/>
    <s v="SV 559"/>
    <m/>
    <m/>
    <m/>
    <m/>
    <x v="0"/>
    <x v="0"/>
  </r>
  <r>
    <n v="27826701"/>
    <x v="0"/>
    <x v="1599"/>
    <m/>
    <m/>
    <x v="1"/>
    <x v="31"/>
    <x v="8"/>
    <s v="Operational"/>
    <m/>
    <m/>
    <m/>
    <m/>
    <m/>
    <x v="0"/>
    <x v="0"/>
  </r>
  <r>
    <n v="27826703"/>
    <x v="0"/>
    <x v="1599"/>
    <m/>
    <m/>
    <x v="1"/>
    <x v="31"/>
    <x v="9"/>
    <s v="Operational"/>
    <m/>
    <m/>
    <m/>
    <m/>
    <m/>
    <x v="0"/>
    <x v="0"/>
  </r>
  <r>
    <n v="27826713"/>
    <x v="0"/>
    <x v="1600"/>
    <s v="QB 2202_2022-07-29T10x35x00"/>
    <s v="A320"/>
    <x v="1"/>
    <x v="72"/>
    <x v="3"/>
    <s v="Operational"/>
    <s v="QB 2202"/>
    <m/>
    <m/>
    <m/>
    <m/>
    <x v="0"/>
    <x v="0"/>
  </r>
  <r>
    <n v="27826719"/>
    <x v="0"/>
    <x v="1601"/>
    <s v="QB 2202_2022-07-29T10x35x00"/>
    <s v="A320"/>
    <x v="1"/>
    <x v="72"/>
    <x v="4"/>
    <s v="Operational"/>
    <s v="QB 2202"/>
    <m/>
    <m/>
    <m/>
    <m/>
    <x v="0"/>
    <x v="0"/>
  </r>
  <r>
    <n v="27826724"/>
    <x v="0"/>
    <x v="1602"/>
    <s v="ET 602_2022-07-29T11x45x00"/>
    <s v="B777/3-ER"/>
    <x v="0"/>
    <x v="88"/>
    <x v="26"/>
    <s v="Operational"/>
    <s v="ET 602"/>
    <m/>
    <m/>
    <m/>
    <m/>
    <x v="0"/>
    <x v="0"/>
  </r>
  <r>
    <n v="27826748"/>
    <x v="0"/>
    <x v="1603"/>
    <s v="EK 125_2022-07-29T11x55x00"/>
    <s v="B777/3-ER"/>
    <x v="3"/>
    <x v="124"/>
    <x v="1"/>
    <s v="Operational"/>
    <s v="EK 125"/>
    <m/>
    <m/>
    <m/>
    <m/>
    <x v="0"/>
    <x v="0"/>
  </r>
  <r>
    <n v="27826774"/>
    <x v="0"/>
    <x v="1604"/>
    <s v="EK 803_2022-07-29T12x00x00"/>
    <s v="A380/8"/>
    <x v="4"/>
    <x v="141"/>
    <x v="1"/>
    <s v="Operational"/>
    <s v="EK 803"/>
    <m/>
    <m/>
    <m/>
    <m/>
    <x v="0"/>
    <x v="0"/>
  </r>
  <r>
    <n v="27826785"/>
    <x v="0"/>
    <x v="1605"/>
    <s v="FZ 8274_2022-07-29T11x30x00"/>
    <s v="B737/8"/>
    <x v="1"/>
    <x v="121"/>
    <x v="4"/>
    <s v="Operational"/>
    <s v="FZ 8274"/>
    <m/>
    <m/>
    <m/>
    <m/>
    <x v="0"/>
    <x v="0"/>
  </r>
  <r>
    <n v="27826803"/>
    <x v="0"/>
    <x v="1606"/>
    <s v="FZ 8274_2022-07-29T11x30x00"/>
    <s v="B737/8"/>
    <x v="1"/>
    <x v="121"/>
    <x v="2"/>
    <s v="Operational"/>
    <s v="FZ 8274"/>
    <m/>
    <m/>
    <m/>
    <m/>
    <x v="0"/>
    <x v="0"/>
  </r>
  <r>
    <n v="27826811"/>
    <x v="0"/>
    <x v="1607"/>
    <s v="FZ 017_2022-07-29T11x45x00"/>
    <s v="B737/8-MAX"/>
    <x v="8"/>
    <x v="168"/>
    <x v="1"/>
    <s v="Operational"/>
    <s v="FZ 017"/>
    <m/>
    <m/>
    <m/>
    <m/>
    <x v="0"/>
    <x v="0"/>
  </r>
  <r>
    <n v="27826817"/>
    <x v="0"/>
    <x v="1608"/>
    <s v="FZ 8274_2022-07-29T11x30x00"/>
    <s v="B737/8"/>
    <x v="1"/>
    <x v="121"/>
    <x v="0"/>
    <s v="Operational"/>
    <s v="FZ 8274"/>
    <m/>
    <m/>
    <m/>
    <m/>
    <x v="0"/>
    <x v="0"/>
  </r>
  <r>
    <n v="27826844"/>
    <x v="0"/>
    <x v="1609"/>
    <m/>
    <m/>
    <x v="3"/>
    <x v="102"/>
    <x v="12"/>
    <s v="Operational"/>
    <m/>
    <m/>
    <m/>
    <m/>
    <m/>
    <x v="0"/>
    <x v="0"/>
  </r>
  <r>
    <n v="27826865"/>
    <x v="0"/>
    <x v="1610"/>
    <s v="J9 123_2022-07-29T12x00x00"/>
    <s v="A320"/>
    <x v="0"/>
    <x v="57"/>
    <x v="4"/>
    <s v="Operational"/>
    <s v="J9 123"/>
    <m/>
    <m/>
    <m/>
    <m/>
    <x v="0"/>
    <x v="0"/>
  </r>
  <r>
    <n v="27826876"/>
    <x v="0"/>
    <x v="1611"/>
    <s v="SV 588_2022-07-29T11x55x00"/>
    <s v="A330/3"/>
    <x v="0"/>
    <x v="113"/>
    <x v="3"/>
    <s v="Operational"/>
    <s v="SV 588"/>
    <m/>
    <m/>
    <m/>
    <m/>
    <x v="0"/>
    <x v="0"/>
  </r>
  <r>
    <n v="27826889"/>
    <x v="0"/>
    <x v="1612"/>
    <m/>
    <m/>
    <x v="1"/>
    <x v="31"/>
    <x v="8"/>
    <s v="Operational"/>
    <m/>
    <m/>
    <m/>
    <m/>
    <m/>
    <x v="0"/>
    <x v="0"/>
  </r>
  <r>
    <n v="27826891"/>
    <x v="0"/>
    <x v="1612"/>
    <m/>
    <m/>
    <x v="1"/>
    <x v="31"/>
    <x v="9"/>
    <s v="Operational"/>
    <m/>
    <m/>
    <m/>
    <m/>
    <m/>
    <x v="0"/>
    <x v="0"/>
  </r>
  <r>
    <n v="27826911"/>
    <x v="0"/>
    <x v="1613"/>
    <s v="SV 588_2022-07-29T11x55x00"/>
    <s v="A330/3"/>
    <x v="0"/>
    <x v="113"/>
    <x v="4"/>
    <s v="Operational"/>
    <s v="SV 588"/>
    <m/>
    <m/>
    <m/>
    <m/>
    <x v="0"/>
    <x v="0"/>
  </r>
  <r>
    <n v="27826920"/>
    <x v="0"/>
    <x v="1614"/>
    <m/>
    <m/>
    <x v="1"/>
    <x v="31"/>
    <x v="8"/>
    <s v="Operational"/>
    <m/>
    <m/>
    <m/>
    <m/>
    <m/>
    <x v="0"/>
    <x v="0"/>
  </r>
  <r>
    <n v="27826922"/>
    <x v="0"/>
    <x v="1614"/>
    <m/>
    <m/>
    <x v="1"/>
    <x v="31"/>
    <x v="9"/>
    <s v="Operational"/>
    <m/>
    <m/>
    <m/>
    <m/>
    <m/>
    <x v="0"/>
    <x v="0"/>
  </r>
  <r>
    <n v="27826938"/>
    <x v="0"/>
    <x v="1615"/>
    <s v="FZ 846_2022-07-29T12x15x00"/>
    <s v="B737/8-MAX"/>
    <x v="5"/>
    <x v="154"/>
    <x v="3"/>
    <s v="Operational"/>
    <s v="FZ 846"/>
    <m/>
    <m/>
    <m/>
    <m/>
    <x v="0"/>
    <x v="0"/>
  </r>
  <r>
    <n v="27826940"/>
    <x v="0"/>
    <x v="1616"/>
    <s v="EK 508_2022-07-29T12x05x00"/>
    <s v="B777/3-ER"/>
    <x v="4"/>
    <x v="25"/>
    <x v="1"/>
    <s v="Operational"/>
    <s v="EK 508"/>
    <m/>
    <m/>
    <m/>
    <m/>
    <x v="0"/>
    <x v="0"/>
  </r>
  <r>
    <n v="27826959"/>
    <x v="0"/>
    <x v="1617"/>
    <m/>
    <m/>
    <x v="3"/>
    <x v="26"/>
    <x v="5"/>
    <s v="Operational"/>
    <m/>
    <m/>
    <m/>
    <m/>
    <m/>
    <x v="0"/>
    <x v="0"/>
  </r>
  <r>
    <n v="27826965"/>
    <x v="0"/>
    <x v="1618"/>
    <m/>
    <m/>
    <x v="3"/>
    <x v="26"/>
    <x v="6"/>
    <s v="Operational"/>
    <m/>
    <m/>
    <m/>
    <m/>
    <m/>
    <x v="0"/>
    <x v="0"/>
  </r>
  <r>
    <n v="27826972"/>
    <x v="0"/>
    <x v="1619"/>
    <s v="EK 517_2022-07-29T15x10x00"/>
    <s v="B777/2-LR"/>
    <x v="3"/>
    <x v="26"/>
    <x v="23"/>
    <s v="Operational"/>
    <m/>
    <m/>
    <m/>
    <m/>
    <m/>
    <x v="0"/>
    <x v="0"/>
  </r>
  <r>
    <n v="27826986"/>
    <x v="0"/>
    <x v="1620"/>
    <s v="EK 060_2022-07-29T11x24x00"/>
    <s v="A380/8"/>
    <x v="7"/>
    <x v="167"/>
    <x v="27"/>
    <s v="Operational"/>
    <s v="EK 060"/>
    <m/>
    <m/>
    <m/>
    <m/>
    <x v="0"/>
    <x v="0"/>
  </r>
  <r>
    <n v="27827007"/>
    <x v="0"/>
    <x v="1621"/>
    <s v="FZ 1781_2022-07-29T11x30x00"/>
    <s v="B737/8"/>
    <x v="5"/>
    <x v="140"/>
    <x v="1"/>
    <s v="Operational"/>
    <s v="FZ 1781"/>
    <m/>
    <m/>
    <m/>
    <m/>
    <x v="0"/>
    <x v="0"/>
  </r>
  <r>
    <n v="27827016"/>
    <x v="0"/>
    <x v="1622"/>
    <s v="J9 123_2022-07-29T12x00x00"/>
    <s v="A320"/>
    <x v="0"/>
    <x v="57"/>
    <x v="2"/>
    <s v="Operational"/>
    <s v="J9 123"/>
    <m/>
    <m/>
    <m/>
    <m/>
    <x v="0"/>
    <x v="0"/>
  </r>
  <r>
    <n v="27827028"/>
    <x v="0"/>
    <x v="1623"/>
    <m/>
    <m/>
    <x v="1"/>
    <x v="31"/>
    <x v="8"/>
    <s v="Operational"/>
    <m/>
    <m/>
    <m/>
    <m/>
    <m/>
    <x v="0"/>
    <x v="0"/>
  </r>
  <r>
    <n v="27827030"/>
    <x v="0"/>
    <x v="1623"/>
    <m/>
    <m/>
    <x v="1"/>
    <x v="31"/>
    <x v="9"/>
    <s v="Operational"/>
    <m/>
    <m/>
    <m/>
    <m/>
    <m/>
    <x v="0"/>
    <x v="0"/>
  </r>
  <r>
    <n v="27827033"/>
    <x v="0"/>
    <x v="1624"/>
    <s v="QB 2202_2022-07-29T10x35x00"/>
    <s v="A320"/>
    <x v="1"/>
    <x v="72"/>
    <x v="2"/>
    <s v="Operational"/>
    <s v="QB 2202"/>
    <m/>
    <m/>
    <m/>
    <m/>
    <x v="0"/>
    <x v="0"/>
  </r>
  <r>
    <n v="27827046"/>
    <x v="0"/>
    <x v="1625"/>
    <s v="J9 123_2022-07-29T12x00x00"/>
    <s v="A320"/>
    <x v="0"/>
    <x v="57"/>
    <x v="0"/>
    <s v="Operational"/>
    <s v="J9 123"/>
    <m/>
    <m/>
    <m/>
    <m/>
    <x v="0"/>
    <x v="0"/>
  </r>
  <r>
    <n v="27827059"/>
    <x v="0"/>
    <x v="1626"/>
    <s v="EK 839_2022-07-29T12x10x00"/>
    <s v="B777/3-ER"/>
    <x v="2"/>
    <x v="21"/>
    <x v="1"/>
    <s v="Operational"/>
    <s v="EK 839"/>
    <m/>
    <m/>
    <m/>
    <m/>
    <x v="0"/>
    <x v="0"/>
  </r>
  <r>
    <n v="27827076"/>
    <x v="0"/>
    <x v="1627"/>
    <s v="QB 2202_2022-07-29T10x35x00"/>
    <s v="A320"/>
    <x v="1"/>
    <x v="72"/>
    <x v="0"/>
    <s v="Operational"/>
    <s v="QB 2202"/>
    <m/>
    <m/>
    <m/>
    <m/>
    <x v="0"/>
    <x v="0"/>
  </r>
  <r>
    <n v="27827089"/>
    <x v="0"/>
    <x v="1628"/>
    <s v="IX 247_2022-07-29T13x00x00"/>
    <s v="B737/8"/>
    <x v="1"/>
    <x v="6"/>
    <x v="3"/>
    <s v="Operational"/>
    <s v="IX 247"/>
    <m/>
    <m/>
    <m/>
    <m/>
    <x v="0"/>
    <x v="0"/>
  </r>
  <r>
    <n v="27827097"/>
    <x v="0"/>
    <x v="1629"/>
    <s v="IX 247_2022-07-29T13x00x00"/>
    <s v="B737/8"/>
    <x v="1"/>
    <x v="6"/>
    <x v="4"/>
    <s v="Operational"/>
    <s v="IX 247"/>
    <m/>
    <m/>
    <m/>
    <m/>
    <x v="0"/>
    <x v="0"/>
  </r>
  <r>
    <n v="27827105"/>
    <x v="0"/>
    <x v="1630"/>
    <s v="IX 247_2022-07-29T13x00x00"/>
    <s v="B737/8"/>
    <x v="1"/>
    <x v="6"/>
    <x v="15"/>
    <s v="Technical"/>
    <s v="IX 247"/>
    <m/>
    <m/>
    <m/>
    <m/>
    <x v="0"/>
    <x v="0"/>
  </r>
  <r>
    <n v="27827111"/>
    <x v="0"/>
    <x v="1631"/>
    <s v="IX 247_2022-07-29T13x00x00"/>
    <s v="B737/8"/>
    <x v="1"/>
    <x v="6"/>
    <x v="17"/>
    <s v="Technical"/>
    <s v="IX 247"/>
    <m/>
    <m/>
    <m/>
    <m/>
    <x v="0"/>
    <x v="0"/>
  </r>
  <r>
    <n v="27827121"/>
    <x v="0"/>
    <x v="1632"/>
    <m/>
    <m/>
    <x v="1"/>
    <x v="31"/>
    <x v="8"/>
    <s v="Operational"/>
    <m/>
    <m/>
    <m/>
    <m/>
    <m/>
    <x v="0"/>
    <x v="0"/>
  </r>
  <r>
    <n v="27827124"/>
    <x v="0"/>
    <x v="1633"/>
    <m/>
    <m/>
    <x v="1"/>
    <x v="31"/>
    <x v="9"/>
    <s v="Operational"/>
    <m/>
    <m/>
    <m/>
    <m/>
    <m/>
    <x v="0"/>
    <x v="0"/>
  </r>
  <r>
    <n v="27827130"/>
    <x v="0"/>
    <x v="1634"/>
    <s v="SG 060_2022-07-29T12x10x00"/>
    <s v="B737/8"/>
    <x v="0"/>
    <x v="29"/>
    <x v="1"/>
    <s v="Operational"/>
    <s v="SG 060"/>
    <m/>
    <m/>
    <m/>
    <m/>
    <x v="0"/>
    <x v="0"/>
  </r>
  <r>
    <n v="27827148"/>
    <x v="0"/>
    <x v="1635"/>
    <m/>
    <s v="B777/3-ER"/>
    <x v="3"/>
    <x v="94"/>
    <x v="1"/>
    <s v="Operational"/>
    <m/>
    <m/>
    <m/>
    <m/>
    <m/>
    <x v="0"/>
    <x v="0"/>
  </r>
  <r>
    <n v="27827153"/>
    <x v="0"/>
    <x v="1636"/>
    <m/>
    <m/>
    <x v="1"/>
    <x v="31"/>
    <x v="8"/>
    <s v="Operational"/>
    <m/>
    <m/>
    <m/>
    <m/>
    <m/>
    <x v="0"/>
    <x v="0"/>
  </r>
  <r>
    <n v="27827155"/>
    <x v="0"/>
    <x v="1636"/>
    <m/>
    <m/>
    <x v="1"/>
    <x v="31"/>
    <x v="9"/>
    <s v="Operational"/>
    <m/>
    <m/>
    <m/>
    <m/>
    <m/>
    <x v="0"/>
    <x v="0"/>
  </r>
  <r>
    <n v="27827182"/>
    <x v="0"/>
    <x v="1637"/>
    <m/>
    <m/>
    <x v="1"/>
    <x v="31"/>
    <x v="8"/>
    <s v="Operational"/>
    <m/>
    <m/>
    <m/>
    <m/>
    <m/>
    <x v="0"/>
    <x v="0"/>
  </r>
  <r>
    <n v="27827184"/>
    <x v="0"/>
    <x v="1637"/>
    <m/>
    <m/>
    <x v="1"/>
    <x v="31"/>
    <x v="9"/>
    <s v="Operational"/>
    <m/>
    <m/>
    <m/>
    <m/>
    <m/>
    <x v="0"/>
    <x v="0"/>
  </r>
  <r>
    <n v="27827205"/>
    <x v="0"/>
    <x v="1638"/>
    <m/>
    <m/>
    <x v="1"/>
    <x v="31"/>
    <x v="8"/>
    <s v="Operational"/>
    <m/>
    <m/>
    <m/>
    <m/>
    <m/>
    <x v="0"/>
    <x v="0"/>
  </r>
  <r>
    <n v="27827210"/>
    <x v="0"/>
    <x v="1639"/>
    <s v="SV 588_2022-07-29T11x55x00"/>
    <s v="A330/3"/>
    <x v="0"/>
    <x v="113"/>
    <x v="2"/>
    <s v="Operational"/>
    <s v="SV 588"/>
    <m/>
    <m/>
    <m/>
    <m/>
    <x v="0"/>
    <x v="0"/>
  </r>
  <r>
    <n v="27827213"/>
    <x v="0"/>
    <x v="1640"/>
    <m/>
    <m/>
    <x v="1"/>
    <x v="31"/>
    <x v="9"/>
    <s v="Operational"/>
    <m/>
    <m/>
    <m/>
    <m/>
    <m/>
    <x v="0"/>
    <x v="0"/>
  </r>
  <r>
    <n v="27827239"/>
    <x v="0"/>
    <x v="1641"/>
    <s v="FZ 1696_2022-07-29T12x20x00"/>
    <s v="B737/8"/>
    <x v="5"/>
    <x v="120"/>
    <x v="3"/>
    <s v="Operational"/>
    <s v="FZ 1696"/>
    <m/>
    <m/>
    <m/>
    <m/>
    <x v="0"/>
    <x v="0"/>
  </r>
  <r>
    <n v="27827244"/>
    <x v="0"/>
    <x v="1642"/>
    <m/>
    <m/>
    <x v="0"/>
    <x v="92"/>
    <x v="5"/>
    <s v="Operational"/>
    <m/>
    <m/>
    <m/>
    <m/>
    <m/>
    <x v="0"/>
    <x v="0"/>
  </r>
  <r>
    <n v="27827246"/>
    <x v="0"/>
    <x v="1642"/>
    <s v="SV 588_2022-07-29T11x55x00"/>
    <s v="A330/3"/>
    <x v="0"/>
    <x v="113"/>
    <x v="0"/>
    <s v="Operational"/>
    <s v="SV 588"/>
    <m/>
    <m/>
    <m/>
    <m/>
    <x v="0"/>
    <x v="0"/>
  </r>
  <r>
    <n v="27827306"/>
    <x v="0"/>
    <x v="1643"/>
    <s v="XY 206_2022-07-29T12x15x00"/>
    <s v="A320-NEO"/>
    <x v="0"/>
    <x v="12"/>
    <x v="1"/>
    <s v="Operational"/>
    <s v="XY 206"/>
    <m/>
    <m/>
    <m/>
    <m/>
    <x v="0"/>
    <x v="0"/>
  </r>
  <r>
    <n v="27827322"/>
    <x v="0"/>
    <x v="1644"/>
    <s v="FZ 1696_2022-07-29T12x20x00"/>
    <s v="B737/8"/>
    <x v="5"/>
    <x v="120"/>
    <x v="4"/>
    <s v="Operational"/>
    <s v="FZ 1696"/>
    <m/>
    <m/>
    <m/>
    <m/>
    <x v="0"/>
    <x v="0"/>
  </r>
  <r>
    <n v="27827328"/>
    <x v="0"/>
    <x v="1645"/>
    <s v="EK 131_2022-07-29T12x15x00"/>
    <s v="A380/8"/>
    <x v="3"/>
    <x v="46"/>
    <x v="1"/>
    <s v="Operational"/>
    <s v="EK 131"/>
    <m/>
    <m/>
    <m/>
    <m/>
    <x v="0"/>
    <x v="0"/>
  </r>
  <r>
    <n v="27827358"/>
    <x v="0"/>
    <x v="1646"/>
    <m/>
    <m/>
    <x v="1"/>
    <x v="31"/>
    <x v="8"/>
    <s v="Operational"/>
    <m/>
    <m/>
    <m/>
    <m/>
    <m/>
    <x v="0"/>
    <x v="0"/>
  </r>
  <r>
    <n v="27827361"/>
    <x v="0"/>
    <x v="1647"/>
    <s v="IX 247_2022-07-29T13x00x00"/>
    <s v="B737/8"/>
    <x v="1"/>
    <x v="6"/>
    <x v="2"/>
    <s v="Operational"/>
    <s v="IX 247"/>
    <m/>
    <m/>
    <m/>
    <m/>
    <x v="0"/>
    <x v="0"/>
  </r>
  <r>
    <n v="27827365"/>
    <x v="0"/>
    <x v="1648"/>
    <m/>
    <m/>
    <x v="1"/>
    <x v="31"/>
    <x v="9"/>
    <s v="Operational"/>
    <m/>
    <m/>
    <m/>
    <m/>
    <m/>
    <x v="0"/>
    <x v="0"/>
  </r>
  <r>
    <n v="27827378"/>
    <x v="0"/>
    <x v="1649"/>
    <s v="FZ 846_2022-07-29T12x15x00"/>
    <s v="B737/8-MAX"/>
    <x v="5"/>
    <x v="154"/>
    <x v="4"/>
    <s v="Operational"/>
    <s v="FZ 846"/>
    <m/>
    <m/>
    <m/>
    <m/>
    <x v="0"/>
    <x v="0"/>
  </r>
  <r>
    <n v="27827385"/>
    <x v="0"/>
    <x v="1650"/>
    <s v="FZ 846_2022-07-29T12x15x00"/>
    <s v="B737/8-MAX"/>
    <x v="5"/>
    <x v="154"/>
    <x v="2"/>
    <s v="Operational"/>
    <s v="FZ 846"/>
    <m/>
    <m/>
    <m/>
    <m/>
    <x v="0"/>
    <x v="0"/>
  </r>
  <r>
    <n v="27827386"/>
    <x v="0"/>
    <x v="1651"/>
    <s v="IX 247_2022-07-29T13x00x00"/>
    <s v="B737/8"/>
    <x v="1"/>
    <x v="6"/>
    <x v="0"/>
    <s v="Operational"/>
    <s v="IX 247"/>
    <m/>
    <m/>
    <m/>
    <m/>
    <x v="0"/>
    <x v="0"/>
  </r>
  <r>
    <n v="27827401"/>
    <x v="0"/>
    <x v="1652"/>
    <s v="EK 103_2022-07-29T12x20x00"/>
    <s v="B777/3-ER"/>
    <x v="3"/>
    <x v="59"/>
    <x v="1"/>
    <s v="Operational"/>
    <s v="EK 103"/>
    <m/>
    <m/>
    <m/>
    <m/>
    <x v="0"/>
    <x v="0"/>
  </r>
  <r>
    <n v="27827419"/>
    <x v="0"/>
    <x v="1653"/>
    <s v="FZ 846_2022-07-29T12x15x00"/>
    <s v="B737/8-MAX"/>
    <x v="5"/>
    <x v="154"/>
    <x v="0"/>
    <s v="Operational"/>
    <s v="FZ 846"/>
    <m/>
    <m/>
    <m/>
    <m/>
    <x v="0"/>
    <x v="0"/>
  </r>
  <r>
    <n v="27827453"/>
    <x v="0"/>
    <x v="1654"/>
    <m/>
    <m/>
    <x v="1"/>
    <x v="31"/>
    <x v="8"/>
    <s v="Operational"/>
    <m/>
    <m/>
    <m/>
    <m/>
    <m/>
    <x v="0"/>
    <x v="0"/>
  </r>
  <r>
    <n v="27827455"/>
    <x v="0"/>
    <x v="1654"/>
    <m/>
    <m/>
    <x v="1"/>
    <x v="31"/>
    <x v="9"/>
    <s v="Operational"/>
    <m/>
    <m/>
    <m/>
    <m/>
    <m/>
    <x v="0"/>
    <x v="0"/>
  </r>
  <r>
    <n v="27827497"/>
    <x v="0"/>
    <x v="1655"/>
    <s v="FZ 211_2022-07-29T12x25x00"/>
    <s v="B737/8"/>
    <x v="1"/>
    <x v="34"/>
    <x v="1"/>
    <s v="Operational"/>
    <s v="FZ 211"/>
    <m/>
    <m/>
    <m/>
    <m/>
    <x v="0"/>
    <x v="0"/>
  </r>
  <r>
    <n v="27827514"/>
    <x v="0"/>
    <x v="1656"/>
    <m/>
    <m/>
    <x v="1"/>
    <x v="31"/>
    <x v="8"/>
    <s v="Operational"/>
    <m/>
    <m/>
    <m/>
    <m/>
    <m/>
    <x v="0"/>
    <x v="0"/>
  </r>
  <r>
    <n v="27827516"/>
    <x v="0"/>
    <x v="1656"/>
    <m/>
    <m/>
    <x v="1"/>
    <x v="31"/>
    <x v="9"/>
    <s v="Operational"/>
    <m/>
    <m/>
    <m/>
    <m/>
    <m/>
    <x v="0"/>
    <x v="0"/>
  </r>
  <r>
    <n v="27827527"/>
    <x v="0"/>
    <x v="1657"/>
    <s v="FZ 1696_2022-07-29T12x20x00"/>
    <s v="B737/8"/>
    <x v="5"/>
    <x v="120"/>
    <x v="2"/>
    <s v="Operational"/>
    <s v="FZ 1696"/>
    <m/>
    <m/>
    <m/>
    <m/>
    <x v="0"/>
    <x v="0"/>
  </r>
  <r>
    <n v="27827537"/>
    <x v="0"/>
    <x v="1658"/>
    <s v="FZ 1696_2022-07-29T12x20x00"/>
    <s v="B737/8"/>
    <x v="5"/>
    <x v="120"/>
    <x v="0"/>
    <s v="Operational"/>
    <s v="FZ 1696"/>
    <m/>
    <m/>
    <m/>
    <m/>
    <x v="0"/>
    <x v="0"/>
  </r>
  <r>
    <n v="27827592"/>
    <x v="0"/>
    <x v="1659"/>
    <m/>
    <m/>
    <x v="1"/>
    <x v="31"/>
    <x v="8"/>
    <s v="Operational"/>
    <m/>
    <m/>
    <m/>
    <m/>
    <m/>
    <x v="0"/>
    <x v="0"/>
  </r>
  <r>
    <n v="27827594"/>
    <x v="0"/>
    <x v="1659"/>
    <m/>
    <m/>
    <x v="1"/>
    <x v="31"/>
    <x v="9"/>
    <s v="Operational"/>
    <m/>
    <m/>
    <m/>
    <m/>
    <m/>
    <x v="0"/>
    <x v="0"/>
  </r>
  <r>
    <n v="27827609"/>
    <x v="0"/>
    <x v="1660"/>
    <s v="IR 610_2022-07-29T12x50x00"/>
    <s v="A319"/>
    <x v="0"/>
    <x v="3"/>
    <x v="3"/>
    <s v="Operational"/>
    <s v="IR 610"/>
    <m/>
    <m/>
    <m/>
    <m/>
    <x v="0"/>
    <x v="0"/>
  </r>
  <r>
    <n v="27827616"/>
    <x v="0"/>
    <x v="1661"/>
    <s v="D3 188_2022-07-29T12x30x00"/>
    <s v="B737/4"/>
    <x v="1"/>
    <x v="69"/>
    <x v="3"/>
    <s v="Operational"/>
    <s v="D3 188"/>
    <m/>
    <m/>
    <m/>
    <m/>
    <x v="0"/>
    <x v="0"/>
  </r>
  <r>
    <n v="27827622"/>
    <x v="0"/>
    <x v="1662"/>
    <m/>
    <m/>
    <x v="1"/>
    <x v="31"/>
    <x v="8"/>
    <s v="Operational"/>
    <m/>
    <m/>
    <m/>
    <m/>
    <m/>
    <x v="0"/>
    <x v="0"/>
  </r>
  <r>
    <n v="27827624"/>
    <x v="0"/>
    <x v="1662"/>
    <m/>
    <m/>
    <x v="1"/>
    <x v="31"/>
    <x v="9"/>
    <s v="Operational"/>
    <m/>
    <m/>
    <m/>
    <m/>
    <m/>
    <x v="0"/>
    <x v="0"/>
  </r>
  <r>
    <n v="27827641"/>
    <x v="0"/>
    <x v="1663"/>
    <s v="D3 188_2022-07-29T12x30x00"/>
    <s v="B737/4"/>
    <x v="1"/>
    <x v="69"/>
    <x v="4"/>
    <s v="Operational"/>
    <s v="D3 188"/>
    <m/>
    <m/>
    <m/>
    <m/>
    <x v="0"/>
    <x v="0"/>
  </r>
  <r>
    <n v="27827649"/>
    <x v="0"/>
    <x v="1664"/>
    <s v="SV 554_2022-07-29T12x45x00"/>
    <s v="B787/9"/>
    <x v="0"/>
    <x v="61"/>
    <x v="3"/>
    <s v="Operational"/>
    <s v="SV 554"/>
    <m/>
    <m/>
    <m/>
    <m/>
    <x v="0"/>
    <x v="0"/>
  </r>
  <r>
    <n v="27827674"/>
    <x v="0"/>
    <x v="1665"/>
    <s v="FX 5040_2022-07-29T12x15x00"/>
    <s v="B777/2"/>
    <x v="1"/>
    <x v="150"/>
    <x v="1"/>
    <s v="Operational"/>
    <s v="FX 5040"/>
    <m/>
    <m/>
    <m/>
    <m/>
    <x v="0"/>
    <x v="0"/>
  </r>
  <r>
    <n v="27827680"/>
    <x v="0"/>
    <x v="1666"/>
    <s v="EK 051_2022-07-29T12x30x00"/>
    <s v="B777/3-ER"/>
    <x v="3"/>
    <x v="44"/>
    <x v="1"/>
    <s v="Operational"/>
    <s v="EK 051"/>
    <m/>
    <m/>
    <m/>
    <m/>
    <x v="0"/>
    <x v="0"/>
  </r>
  <r>
    <n v="27827703"/>
    <x v="0"/>
    <x v="1667"/>
    <s v="IR 610_2022-07-29T12x50x00"/>
    <s v="A319"/>
    <x v="0"/>
    <x v="3"/>
    <x v="10"/>
    <s v="Operational"/>
    <s v="IR 610"/>
    <m/>
    <m/>
    <m/>
    <m/>
    <x v="0"/>
    <x v="0"/>
  </r>
  <r>
    <n v="27827704"/>
    <x v="0"/>
    <x v="1668"/>
    <s v="IR 610_2022-07-29T12x50x00"/>
    <s v="A319"/>
    <x v="0"/>
    <x v="3"/>
    <x v="11"/>
    <s v="Operational"/>
    <s v="IR 610"/>
    <m/>
    <m/>
    <m/>
    <m/>
    <x v="0"/>
    <x v="0"/>
  </r>
  <r>
    <n v="27827735"/>
    <x v="0"/>
    <x v="1669"/>
    <s v="FZ 860_2022-07-29T12x35x00"/>
    <s v="B737/8"/>
    <x v="1"/>
    <x v="11"/>
    <x v="3"/>
    <s v="Operational"/>
    <s v="FZ 860"/>
    <m/>
    <m/>
    <m/>
    <m/>
    <x v="0"/>
    <x v="0"/>
  </r>
  <r>
    <n v="27827739"/>
    <x v="0"/>
    <x v="1670"/>
    <s v="FZ 860_2022-07-29T12x35x00"/>
    <s v="B737/8"/>
    <x v="1"/>
    <x v="11"/>
    <x v="4"/>
    <s v="Operational"/>
    <s v="FZ 860"/>
    <m/>
    <m/>
    <m/>
    <m/>
    <x v="0"/>
    <x v="0"/>
  </r>
  <r>
    <n v="27827757"/>
    <x v="0"/>
    <x v="1671"/>
    <s v="EK 958_2022-07-29T12x55x00"/>
    <s v="B777/3-ER"/>
    <x v="4"/>
    <x v="25"/>
    <x v="3"/>
    <s v="Operational"/>
    <s v="EK 958"/>
    <m/>
    <m/>
    <m/>
    <m/>
    <x v="0"/>
    <x v="0"/>
  </r>
  <r>
    <n v="27827767"/>
    <x v="0"/>
    <x v="1672"/>
    <m/>
    <m/>
    <x v="1"/>
    <x v="31"/>
    <x v="8"/>
    <s v="Operational"/>
    <m/>
    <m/>
    <m/>
    <m/>
    <m/>
    <x v="0"/>
    <x v="0"/>
  </r>
  <r>
    <n v="27827769"/>
    <x v="0"/>
    <x v="1672"/>
    <m/>
    <m/>
    <x v="1"/>
    <x v="31"/>
    <x v="9"/>
    <s v="Operational"/>
    <m/>
    <m/>
    <m/>
    <m/>
    <m/>
    <x v="0"/>
    <x v="0"/>
  </r>
  <r>
    <n v="27827779"/>
    <x v="0"/>
    <x v="1673"/>
    <s v="SV 554_2022-07-29T12x45x00"/>
    <s v="B787/9"/>
    <x v="0"/>
    <x v="61"/>
    <x v="4"/>
    <s v="Operational"/>
    <s v="SV 554"/>
    <m/>
    <m/>
    <m/>
    <m/>
    <x v="0"/>
    <x v="0"/>
  </r>
  <r>
    <n v="27827793"/>
    <x v="0"/>
    <x v="1674"/>
    <s v="EK 958_2022-07-29T12x55x00"/>
    <s v="B777/3-ER"/>
    <x v="4"/>
    <x v="25"/>
    <x v="4"/>
    <s v="Operational"/>
    <s v="EK 958"/>
    <m/>
    <m/>
    <m/>
    <m/>
    <x v="0"/>
    <x v="0"/>
  </r>
  <r>
    <n v="27827796"/>
    <x v="0"/>
    <x v="1674"/>
    <s v="IR 610_2022-07-29T12x50x00"/>
    <s v="A319"/>
    <x v="0"/>
    <x v="3"/>
    <x v="2"/>
    <s v="Operational"/>
    <s v="IR 610"/>
    <m/>
    <m/>
    <m/>
    <m/>
    <x v="0"/>
    <x v="0"/>
  </r>
  <r>
    <n v="27827802"/>
    <x v="0"/>
    <x v="1675"/>
    <s v="D3 188_2022-07-29T12x30x00"/>
    <s v="B737/4"/>
    <x v="1"/>
    <x v="69"/>
    <x v="2"/>
    <s v="Operational"/>
    <s v="D3 188"/>
    <m/>
    <m/>
    <m/>
    <m/>
    <x v="0"/>
    <x v="0"/>
  </r>
  <r>
    <n v="27827813"/>
    <x v="0"/>
    <x v="1676"/>
    <s v="IR 610_2022-07-29T12x50x00"/>
    <s v="A319"/>
    <x v="0"/>
    <x v="3"/>
    <x v="0"/>
    <s v="Operational"/>
    <s v="IR 610"/>
    <m/>
    <m/>
    <m/>
    <m/>
    <x v="0"/>
    <x v="0"/>
  </r>
  <r>
    <n v="27827832"/>
    <x v="0"/>
    <x v="1677"/>
    <m/>
    <m/>
    <x v="1"/>
    <x v="31"/>
    <x v="8"/>
    <s v="Operational"/>
    <m/>
    <m/>
    <m/>
    <m/>
    <m/>
    <x v="0"/>
    <x v="0"/>
  </r>
  <r>
    <n v="27827834"/>
    <x v="0"/>
    <x v="1677"/>
    <m/>
    <m/>
    <x v="1"/>
    <x v="31"/>
    <x v="9"/>
    <s v="Operational"/>
    <m/>
    <m/>
    <m/>
    <m/>
    <m/>
    <x v="0"/>
    <x v="0"/>
  </r>
  <r>
    <n v="27827840"/>
    <x v="0"/>
    <x v="1678"/>
    <s v="D3 188_2022-07-29T12x30x00"/>
    <s v="B737/4"/>
    <x v="1"/>
    <x v="69"/>
    <x v="0"/>
    <s v="Operational"/>
    <s v="D3 188"/>
    <m/>
    <m/>
    <m/>
    <m/>
    <x v="0"/>
    <x v="0"/>
  </r>
  <r>
    <n v="27827853"/>
    <x v="0"/>
    <x v="1679"/>
    <m/>
    <s v="A380/8"/>
    <x v="1"/>
    <x v="164"/>
    <x v="1"/>
    <s v="Operational"/>
    <m/>
    <m/>
    <m/>
    <m/>
    <m/>
    <x v="0"/>
    <x v="0"/>
  </r>
  <r>
    <n v="27827871"/>
    <x v="0"/>
    <x v="1680"/>
    <s v="IX 193_2022-07-29T13x25x00"/>
    <s v="B737/8"/>
    <x v="1"/>
    <x v="135"/>
    <x v="3"/>
    <s v="Operational"/>
    <s v="IX 193"/>
    <m/>
    <m/>
    <m/>
    <m/>
    <x v="0"/>
    <x v="0"/>
  </r>
  <r>
    <n v="27827879"/>
    <x v="0"/>
    <x v="1681"/>
    <s v="6E 083_2022-07-29T12x55x00"/>
    <s v="A320-NEO"/>
    <x v="0"/>
    <x v="9"/>
    <x v="3"/>
    <s v="Operational"/>
    <s v="6E 083"/>
    <m/>
    <m/>
    <m/>
    <m/>
    <x v="0"/>
    <x v="0"/>
  </r>
  <r>
    <n v="27827892"/>
    <x v="0"/>
    <x v="1682"/>
    <s v="IX 193_2022-07-29T13x25x00"/>
    <s v="B737/8"/>
    <x v="1"/>
    <x v="135"/>
    <x v="4"/>
    <s v="Operational"/>
    <s v="IX 193"/>
    <m/>
    <m/>
    <m/>
    <m/>
    <x v="0"/>
    <x v="0"/>
  </r>
  <r>
    <n v="27827908"/>
    <x v="0"/>
    <x v="1683"/>
    <s v="GF 507_2022-07-29T13x00x00"/>
    <s v="A320"/>
    <x v="0"/>
    <x v="3"/>
    <x v="1"/>
    <s v="Operational"/>
    <s v="GF 507"/>
    <m/>
    <m/>
    <m/>
    <m/>
    <x v="0"/>
    <x v="0"/>
  </r>
  <r>
    <n v="27827926"/>
    <x v="0"/>
    <x v="1684"/>
    <s v="6E 083_2022-07-29T12x55x00"/>
    <s v="A320-NEO"/>
    <x v="0"/>
    <x v="9"/>
    <x v="10"/>
    <s v="Operational"/>
    <s v="6E 083"/>
    <m/>
    <m/>
    <m/>
    <m/>
    <x v="0"/>
    <x v="0"/>
  </r>
  <r>
    <n v="27827927"/>
    <x v="0"/>
    <x v="1685"/>
    <s v="6E 083_2022-07-29T12x55x00"/>
    <s v="A320-NEO"/>
    <x v="0"/>
    <x v="9"/>
    <x v="11"/>
    <s v="Operational"/>
    <s v="6E 083"/>
    <m/>
    <m/>
    <m/>
    <m/>
    <x v="0"/>
    <x v="0"/>
  </r>
  <r>
    <n v="27827941"/>
    <x v="0"/>
    <x v="1686"/>
    <s v="FZ 860_2022-07-29T12x35x00"/>
    <s v="B737/8"/>
    <x v="1"/>
    <x v="11"/>
    <x v="2"/>
    <s v="Operational"/>
    <s v="FZ 860"/>
    <m/>
    <m/>
    <m/>
    <m/>
    <x v="0"/>
    <x v="0"/>
  </r>
  <r>
    <n v="27827950"/>
    <x v="0"/>
    <x v="1687"/>
    <s v="SV 554_2022-07-29T12x45x00"/>
    <s v="B787/9"/>
    <x v="0"/>
    <x v="61"/>
    <x v="2"/>
    <s v="Operational"/>
    <s v="SV 554"/>
    <m/>
    <m/>
    <m/>
    <m/>
    <x v="0"/>
    <x v="0"/>
  </r>
  <r>
    <n v="27827955"/>
    <x v="0"/>
    <x v="1688"/>
    <s v="FZ 860_2022-07-29T12x35x00"/>
    <s v="B737/8"/>
    <x v="1"/>
    <x v="11"/>
    <x v="0"/>
    <s v="Operational"/>
    <s v="FZ 860"/>
    <m/>
    <m/>
    <m/>
    <m/>
    <x v="0"/>
    <x v="0"/>
  </r>
  <r>
    <n v="27827966"/>
    <x v="0"/>
    <x v="1689"/>
    <s v="SV 554_2022-07-29T12x45x00"/>
    <s v="B787/9"/>
    <x v="0"/>
    <x v="61"/>
    <x v="0"/>
    <s v="Operational"/>
    <s v="SV 554"/>
    <m/>
    <m/>
    <m/>
    <m/>
    <x v="0"/>
    <x v="0"/>
  </r>
  <r>
    <n v="27827987"/>
    <x v="0"/>
    <x v="1690"/>
    <m/>
    <m/>
    <x v="3"/>
    <x v="102"/>
    <x v="5"/>
    <s v="Operational"/>
    <m/>
    <m/>
    <m/>
    <m/>
    <m/>
    <x v="0"/>
    <x v="0"/>
  </r>
  <r>
    <n v="27827993"/>
    <x v="0"/>
    <x v="1691"/>
    <m/>
    <m/>
    <x v="3"/>
    <x v="102"/>
    <x v="6"/>
    <s v="Operational"/>
    <m/>
    <m/>
    <m/>
    <m/>
    <m/>
    <x v="0"/>
    <x v="0"/>
  </r>
  <r>
    <n v="27828004"/>
    <x v="0"/>
    <x v="1692"/>
    <s v="EK 612_2022-07-29T23x20x00"/>
    <s v="B777/3-ER"/>
    <x v="3"/>
    <x v="102"/>
    <x v="23"/>
    <s v="Operational"/>
    <m/>
    <m/>
    <m/>
    <m/>
    <m/>
    <x v="0"/>
    <x v="0"/>
  </r>
  <r>
    <n v="27828009"/>
    <x v="0"/>
    <x v="1693"/>
    <m/>
    <m/>
    <x v="3"/>
    <x v="102"/>
    <x v="6"/>
    <s v="Operational"/>
    <m/>
    <m/>
    <m/>
    <m/>
    <m/>
    <x v="0"/>
    <x v="0"/>
  </r>
  <r>
    <n v="27828016"/>
    <x v="0"/>
    <x v="1694"/>
    <s v="EK 612_2022-07-29T23x20x00"/>
    <s v="B777/2-LR"/>
    <x v="3"/>
    <x v="102"/>
    <x v="23"/>
    <s v="Operational"/>
    <m/>
    <m/>
    <m/>
    <m/>
    <m/>
    <x v="0"/>
    <x v="0"/>
  </r>
  <r>
    <n v="27828028"/>
    <x v="0"/>
    <x v="1695"/>
    <m/>
    <m/>
    <x v="1"/>
    <x v="31"/>
    <x v="8"/>
    <s v="Operational"/>
    <m/>
    <m/>
    <m/>
    <m/>
    <m/>
    <x v="0"/>
    <x v="0"/>
  </r>
  <r>
    <n v="27828030"/>
    <x v="0"/>
    <x v="1695"/>
    <m/>
    <m/>
    <x v="1"/>
    <x v="31"/>
    <x v="9"/>
    <s v="Operational"/>
    <m/>
    <m/>
    <m/>
    <m/>
    <m/>
    <x v="0"/>
    <x v="0"/>
  </r>
  <r>
    <n v="27828045"/>
    <x v="0"/>
    <x v="1696"/>
    <m/>
    <m/>
    <x v="1"/>
    <x v="31"/>
    <x v="8"/>
    <s v="Operational"/>
    <m/>
    <m/>
    <m/>
    <m/>
    <m/>
    <x v="0"/>
    <x v="0"/>
  </r>
  <r>
    <n v="27828047"/>
    <x v="0"/>
    <x v="1696"/>
    <m/>
    <m/>
    <x v="1"/>
    <x v="31"/>
    <x v="9"/>
    <s v="Operational"/>
    <m/>
    <m/>
    <m/>
    <m/>
    <m/>
    <x v="0"/>
    <x v="0"/>
  </r>
  <r>
    <n v="27828065"/>
    <x v="0"/>
    <x v="1697"/>
    <s v="EK 958_2022-07-29T12x55x00"/>
    <s v="B777/3-ER"/>
    <x v="4"/>
    <x v="25"/>
    <x v="2"/>
    <s v="Operational"/>
    <s v="EK 958"/>
    <m/>
    <m/>
    <m/>
    <m/>
    <x v="0"/>
    <x v="0"/>
  </r>
  <r>
    <n v="27828066"/>
    <x v="0"/>
    <x v="1697"/>
    <s v="SEP 724_2022-07-29T12x30x00"/>
    <s v="B737/8"/>
    <x v="0"/>
    <x v="0"/>
    <x v="1"/>
    <s v="Operational"/>
    <s v="SEP 724"/>
    <m/>
    <m/>
    <m/>
    <m/>
    <x v="0"/>
    <x v="0"/>
  </r>
  <r>
    <n v="27828101"/>
    <x v="0"/>
    <x v="1698"/>
    <s v="EK 584_2022-07-29T12x45x00"/>
    <s v="B777/3-ER"/>
    <x v="3"/>
    <x v="106"/>
    <x v="1"/>
    <s v="Operational"/>
    <s v="EK 584"/>
    <m/>
    <m/>
    <m/>
    <m/>
    <x v="0"/>
    <x v="0"/>
  </r>
  <r>
    <n v="27828108"/>
    <x v="0"/>
    <x v="1699"/>
    <s v="EK 958_2022-07-29T12x55x00"/>
    <s v="B777/3-ER"/>
    <x v="4"/>
    <x v="25"/>
    <x v="0"/>
    <s v="Operational"/>
    <s v="EK 958"/>
    <m/>
    <m/>
    <m/>
    <m/>
    <x v="0"/>
    <x v="0"/>
  </r>
  <r>
    <n v="27828149"/>
    <x v="0"/>
    <x v="1700"/>
    <s v="IX 193_2022-07-29T13x25x00"/>
    <s v="B737/8"/>
    <x v="1"/>
    <x v="135"/>
    <x v="2"/>
    <s v="Operational"/>
    <s v="IX 193"/>
    <m/>
    <m/>
    <m/>
    <m/>
    <x v="0"/>
    <x v="0"/>
  </r>
  <r>
    <n v="27828160"/>
    <x v="0"/>
    <x v="1701"/>
    <s v="EK 507_2022-07-29T13x20x00"/>
    <s v="B777/3-ER"/>
    <x v="3"/>
    <x v="85"/>
    <x v="3"/>
    <s v="Operational"/>
    <s v="EK 507"/>
    <m/>
    <m/>
    <m/>
    <m/>
    <x v="0"/>
    <x v="0"/>
  </r>
  <r>
    <n v="27828162"/>
    <x v="0"/>
    <x v="1702"/>
    <s v="IX 193_2022-07-29T13x25x00"/>
    <s v="B737/8"/>
    <x v="1"/>
    <x v="135"/>
    <x v="0"/>
    <s v="Operational"/>
    <s v="IX 193"/>
    <m/>
    <m/>
    <m/>
    <m/>
    <x v="0"/>
    <x v="0"/>
  </r>
  <r>
    <n v="27828184"/>
    <x v="0"/>
    <x v="1703"/>
    <s v="EK 507_2022-07-29T13x20x00"/>
    <s v="B777/3-ER"/>
    <x v="3"/>
    <x v="85"/>
    <x v="4"/>
    <s v="Operational"/>
    <s v="EK 507"/>
    <m/>
    <m/>
    <m/>
    <m/>
    <x v="0"/>
    <x v="0"/>
  </r>
  <r>
    <n v="27828199"/>
    <x v="0"/>
    <x v="1704"/>
    <s v="FZ 820_2022-07-29T12x25x00"/>
    <s v="B737/8"/>
    <x v="1"/>
    <x v="101"/>
    <x v="3"/>
    <s v="Operational"/>
    <s v="FZ 820"/>
    <m/>
    <m/>
    <m/>
    <m/>
    <x v="0"/>
    <x v="0"/>
  </r>
  <r>
    <n v="27828212"/>
    <x v="0"/>
    <x v="1705"/>
    <s v="UPS 012_2022-07-29T11x20x00"/>
    <s v="B747/8"/>
    <x v="1"/>
    <x v="74"/>
    <x v="1"/>
    <s v="Operational"/>
    <s v="UPS 012"/>
    <m/>
    <m/>
    <m/>
    <m/>
    <x v="0"/>
    <x v="0"/>
  </r>
  <r>
    <n v="27828226"/>
    <x v="0"/>
    <x v="1706"/>
    <s v="FZ 820_2022-07-29T12x25x00"/>
    <s v="B737/8"/>
    <x v="1"/>
    <x v="101"/>
    <x v="4"/>
    <s v="Operational"/>
    <s v="FZ 820"/>
    <m/>
    <m/>
    <m/>
    <m/>
    <x v="0"/>
    <x v="0"/>
  </r>
  <r>
    <n v="27828245"/>
    <x v="0"/>
    <x v="1707"/>
    <m/>
    <m/>
    <x v="1"/>
    <x v="31"/>
    <x v="8"/>
    <s v="Operational"/>
    <m/>
    <m/>
    <m/>
    <m/>
    <m/>
    <x v="0"/>
    <x v="0"/>
  </r>
  <r>
    <n v="27828253"/>
    <x v="0"/>
    <x v="1708"/>
    <m/>
    <m/>
    <x v="1"/>
    <x v="31"/>
    <x v="9"/>
    <s v="Operational"/>
    <m/>
    <m/>
    <m/>
    <m/>
    <m/>
    <x v="0"/>
    <x v="0"/>
  </r>
  <r>
    <n v="27828361"/>
    <x v="0"/>
    <x v="1709"/>
    <s v="6E 083_2022-07-29T12x55x00"/>
    <s v="A320-NEO"/>
    <x v="0"/>
    <x v="9"/>
    <x v="2"/>
    <s v="Operational"/>
    <s v="6E 083"/>
    <m/>
    <m/>
    <m/>
    <m/>
    <x v="0"/>
    <x v="0"/>
  </r>
  <r>
    <n v="27828381"/>
    <x v="0"/>
    <x v="1710"/>
    <m/>
    <m/>
    <x v="1"/>
    <x v="31"/>
    <x v="8"/>
    <s v="Operational"/>
    <m/>
    <m/>
    <m/>
    <m/>
    <m/>
    <x v="0"/>
    <x v="0"/>
  </r>
  <r>
    <n v="27828386"/>
    <x v="0"/>
    <x v="1711"/>
    <s v="6E 083_2022-07-29T12x55x00"/>
    <s v="A320-NEO"/>
    <x v="0"/>
    <x v="9"/>
    <x v="0"/>
    <s v="Operational"/>
    <s v="6E 083"/>
    <m/>
    <m/>
    <m/>
    <m/>
    <x v="0"/>
    <x v="0"/>
  </r>
  <r>
    <n v="27828394"/>
    <x v="0"/>
    <x v="1711"/>
    <m/>
    <m/>
    <x v="1"/>
    <x v="31"/>
    <x v="9"/>
    <s v="Operational"/>
    <m/>
    <m/>
    <m/>
    <m/>
    <m/>
    <x v="0"/>
    <x v="0"/>
  </r>
  <r>
    <n v="27828406"/>
    <x v="0"/>
    <x v="1712"/>
    <s v="EK 507_2022-07-29T13x20x00"/>
    <s v="B777/3-ER"/>
    <x v="3"/>
    <x v="85"/>
    <x v="2"/>
    <s v="Operational"/>
    <s v="EK 507"/>
    <m/>
    <m/>
    <m/>
    <m/>
    <x v="0"/>
    <x v="0"/>
  </r>
  <r>
    <n v="27828417"/>
    <x v="0"/>
    <x v="1713"/>
    <s v="EK 507_2022-07-29T13x20x00"/>
    <s v="B777/3-ER"/>
    <x v="3"/>
    <x v="85"/>
    <x v="0"/>
    <s v="Operational"/>
    <s v="EK 507"/>
    <m/>
    <m/>
    <m/>
    <m/>
    <x v="0"/>
    <x v="0"/>
  </r>
  <r>
    <n v="27828429"/>
    <x v="0"/>
    <x v="1714"/>
    <s v="IX 196_2022-07-29T13x00x00"/>
    <s v="B737/8"/>
    <x v="1"/>
    <x v="52"/>
    <x v="1"/>
    <s v="Operational"/>
    <s v="IX 196"/>
    <m/>
    <m/>
    <m/>
    <m/>
    <x v="0"/>
    <x v="0"/>
  </r>
  <r>
    <n v="27828443"/>
    <x v="0"/>
    <x v="1715"/>
    <m/>
    <m/>
    <x v="1"/>
    <x v="31"/>
    <x v="8"/>
    <s v="Operational"/>
    <m/>
    <m/>
    <m/>
    <m/>
    <m/>
    <x v="0"/>
    <x v="0"/>
  </r>
  <r>
    <n v="27828447"/>
    <x v="0"/>
    <x v="1716"/>
    <s v="FZ 1449_2022-07-29T12x20x00"/>
    <s v="B737/8-MAX"/>
    <x v="5"/>
    <x v="139"/>
    <x v="1"/>
    <s v="Operational"/>
    <s v="FZ 1449"/>
    <m/>
    <m/>
    <m/>
    <m/>
    <x v="0"/>
    <x v="0"/>
  </r>
  <r>
    <n v="27828453"/>
    <x v="0"/>
    <x v="1717"/>
    <s v="FZ 027_2022-07-29T13x10x00"/>
    <s v="B737/8"/>
    <x v="1"/>
    <x v="121"/>
    <x v="1"/>
    <s v="Operational"/>
    <s v="FZ 027"/>
    <m/>
    <m/>
    <m/>
    <m/>
    <x v="0"/>
    <x v="0"/>
  </r>
  <r>
    <n v="27828459"/>
    <x v="0"/>
    <x v="1718"/>
    <m/>
    <m/>
    <x v="1"/>
    <x v="31"/>
    <x v="9"/>
    <s v="Operational"/>
    <m/>
    <m/>
    <m/>
    <m/>
    <m/>
    <x v="0"/>
    <x v="0"/>
  </r>
  <r>
    <n v="27828504"/>
    <x v="0"/>
    <x v="1719"/>
    <s v="FZ 820_2022-07-29T12x25x00"/>
    <s v="B737/8"/>
    <x v="1"/>
    <x v="101"/>
    <x v="2"/>
    <s v="Operational"/>
    <s v="FZ 820"/>
    <m/>
    <m/>
    <m/>
    <m/>
    <x v="0"/>
    <x v="0"/>
  </r>
  <r>
    <n v="27828519"/>
    <x v="0"/>
    <x v="1720"/>
    <s v="FZ 820_2022-07-29T12x25x00"/>
    <s v="B737/8"/>
    <x v="1"/>
    <x v="101"/>
    <x v="0"/>
    <s v="Operational"/>
    <s v="FZ 820"/>
    <m/>
    <m/>
    <m/>
    <m/>
    <x v="0"/>
    <x v="0"/>
  </r>
  <r>
    <n v="27828566"/>
    <x v="0"/>
    <x v="1721"/>
    <s v="PA 211_2022-07-29T13x00x00"/>
    <s v="A321"/>
    <x v="0"/>
    <x v="63"/>
    <x v="1"/>
    <s v="Operational"/>
    <s v="PA 211"/>
    <m/>
    <m/>
    <m/>
    <m/>
    <x v="0"/>
    <x v="0"/>
  </r>
  <r>
    <n v="27828587"/>
    <x v="0"/>
    <x v="1722"/>
    <s v="EK 336_2022-07-29T13x00x00"/>
    <s v="B777/3-ER"/>
    <x v="4"/>
    <x v="70"/>
    <x v="1"/>
    <s v="Operational"/>
    <s v="EK 336"/>
    <m/>
    <m/>
    <m/>
    <m/>
    <x v="0"/>
    <x v="0"/>
  </r>
  <r>
    <n v="27828624"/>
    <x v="0"/>
    <x v="1723"/>
    <m/>
    <m/>
    <x v="1"/>
    <x v="31"/>
    <x v="8"/>
    <s v="Operational"/>
    <m/>
    <m/>
    <m/>
    <m/>
    <m/>
    <x v="0"/>
    <x v="0"/>
  </r>
  <r>
    <n v="27828626"/>
    <x v="0"/>
    <x v="1723"/>
    <m/>
    <m/>
    <x v="1"/>
    <x v="31"/>
    <x v="9"/>
    <s v="Operational"/>
    <m/>
    <m/>
    <m/>
    <m/>
    <m/>
    <x v="0"/>
    <x v="0"/>
  </r>
  <r>
    <n v="27828639"/>
    <x v="0"/>
    <x v="1724"/>
    <m/>
    <m/>
    <x v="1"/>
    <x v="31"/>
    <x v="8"/>
    <s v="Operational"/>
    <m/>
    <m/>
    <m/>
    <m/>
    <m/>
    <x v="0"/>
    <x v="0"/>
  </r>
  <r>
    <n v="27828641"/>
    <x v="0"/>
    <x v="1724"/>
    <m/>
    <m/>
    <x v="1"/>
    <x v="31"/>
    <x v="9"/>
    <s v="Operational"/>
    <m/>
    <m/>
    <m/>
    <m/>
    <m/>
    <x v="0"/>
    <x v="0"/>
  </r>
  <r>
    <n v="27828650"/>
    <x v="0"/>
    <x v="1725"/>
    <s v="J9 124_2022-07-29T12x45x00"/>
    <s v="A320"/>
    <x v="0"/>
    <x v="57"/>
    <x v="1"/>
    <s v="Operational"/>
    <s v="J9 124"/>
    <m/>
    <m/>
    <m/>
    <m/>
    <x v="0"/>
    <x v="0"/>
  </r>
  <r>
    <n v="27828685"/>
    <x v="0"/>
    <x v="1726"/>
    <s v="QB 2211_2022-07-29T11x50x00"/>
    <s v="A320"/>
    <x v="1"/>
    <x v="72"/>
    <x v="1"/>
    <s v="Operational"/>
    <s v="QB 2211"/>
    <m/>
    <m/>
    <m/>
    <m/>
    <x v="0"/>
    <x v="0"/>
  </r>
  <r>
    <n v="27828704"/>
    <x v="0"/>
    <x v="1727"/>
    <s v="IX 346_2022-07-29T13x10x00"/>
    <s v="B737/8"/>
    <x v="1"/>
    <x v="96"/>
    <x v="1"/>
    <s v="Operational"/>
    <s v="IX 346"/>
    <m/>
    <m/>
    <m/>
    <m/>
    <x v="0"/>
    <x v="0"/>
  </r>
  <r>
    <n v="27828784"/>
    <x v="0"/>
    <x v="1728"/>
    <s v="WY 610_2022-07-29T13x15x00"/>
    <s v="B737/8-MAX"/>
    <x v="0"/>
    <x v="63"/>
    <x v="1"/>
    <s v="Operational"/>
    <s v="WY 610"/>
    <m/>
    <m/>
    <m/>
    <m/>
    <x v="0"/>
    <x v="0"/>
  </r>
  <r>
    <n v="27828875"/>
    <x v="0"/>
    <x v="1729"/>
    <s v="FZ 864_2022-07-29T13x20x00"/>
    <s v="B737/8-MAX"/>
    <x v="1"/>
    <x v="155"/>
    <x v="3"/>
    <s v="Operational"/>
    <s v="FZ 864"/>
    <m/>
    <m/>
    <m/>
    <m/>
    <x v="0"/>
    <x v="0"/>
  </r>
  <r>
    <n v="27828888"/>
    <x v="0"/>
    <x v="1730"/>
    <s v="ET 603_2022-07-29T13x10x00"/>
    <s v="A350/9"/>
    <x v="0"/>
    <x v="88"/>
    <x v="1"/>
    <s v="Operational"/>
    <s v="ET 603"/>
    <m/>
    <m/>
    <m/>
    <m/>
    <x v="0"/>
    <x v="0"/>
  </r>
  <r>
    <n v="27828903"/>
    <x v="0"/>
    <x v="1731"/>
    <s v="FZ 864_2022-07-29T13x20x00"/>
    <s v="B737/8-MAX"/>
    <x v="1"/>
    <x v="155"/>
    <x v="4"/>
    <s v="Operational"/>
    <s v="FZ 864"/>
    <m/>
    <m/>
    <m/>
    <m/>
    <x v="0"/>
    <x v="0"/>
  </r>
  <r>
    <n v="27828921"/>
    <x v="0"/>
    <x v="1732"/>
    <m/>
    <m/>
    <x v="1"/>
    <x v="31"/>
    <x v="8"/>
    <s v="Operational"/>
    <m/>
    <m/>
    <m/>
    <m/>
    <m/>
    <x v="0"/>
    <x v="0"/>
  </r>
  <r>
    <n v="27828924"/>
    <x v="0"/>
    <x v="1733"/>
    <m/>
    <m/>
    <x v="1"/>
    <x v="31"/>
    <x v="9"/>
    <s v="Operational"/>
    <m/>
    <m/>
    <m/>
    <m/>
    <m/>
    <x v="0"/>
    <x v="0"/>
  </r>
  <r>
    <n v="27828928"/>
    <x v="0"/>
    <x v="1734"/>
    <m/>
    <m/>
    <x v="5"/>
    <x v="139"/>
    <x v="6"/>
    <s v="Operational"/>
    <m/>
    <m/>
    <m/>
    <m/>
    <m/>
    <x v="0"/>
    <x v="0"/>
  </r>
  <r>
    <n v="27828935"/>
    <x v="0"/>
    <x v="1735"/>
    <s v="PK 204_2022-07-29T12x30x00"/>
    <s v="B777/3-ER"/>
    <x v="0"/>
    <x v="91"/>
    <x v="1"/>
    <s v="Operational"/>
    <s v="PK 204"/>
    <m/>
    <m/>
    <m/>
    <m/>
    <x v="0"/>
    <x v="0"/>
  </r>
  <r>
    <n v="27829006"/>
    <x v="0"/>
    <x v="1736"/>
    <s v="FZ 864_2022-07-29T13x20x00"/>
    <s v="B737/8-MAX"/>
    <x v="1"/>
    <x v="155"/>
    <x v="2"/>
    <s v="Operational"/>
    <s v="FZ 864"/>
    <m/>
    <m/>
    <m/>
    <m/>
    <x v="0"/>
    <x v="0"/>
  </r>
  <r>
    <n v="27829013"/>
    <x v="0"/>
    <x v="1737"/>
    <s v="SV 589_2022-07-29T13x30x00"/>
    <s v="A330/3"/>
    <x v="0"/>
    <x v="113"/>
    <x v="1"/>
    <s v="Operational"/>
    <s v="SV 589"/>
    <m/>
    <m/>
    <m/>
    <m/>
    <x v="0"/>
    <x v="0"/>
  </r>
  <r>
    <n v="27829019"/>
    <x v="0"/>
    <x v="1738"/>
    <s v="FZ 864_2022-07-29T13x20x00"/>
    <s v="B737/8-MAX"/>
    <x v="1"/>
    <x v="155"/>
    <x v="0"/>
    <s v="Operational"/>
    <s v="FZ 864"/>
    <m/>
    <m/>
    <m/>
    <m/>
    <x v="0"/>
    <x v="0"/>
  </r>
  <r>
    <n v="27829045"/>
    <x v="0"/>
    <x v="1739"/>
    <s v="FZ 1721_2022-07-29T17x40x00"/>
    <s v="B737/7-MAX"/>
    <x v="5"/>
    <x v="139"/>
    <x v="23"/>
    <s v="Operational"/>
    <m/>
    <m/>
    <m/>
    <m/>
    <m/>
    <x v="0"/>
    <x v="0"/>
  </r>
  <r>
    <n v="27829058"/>
    <x v="0"/>
    <x v="1740"/>
    <m/>
    <m/>
    <x v="5"/>
    <x v="139"/>
    <x v="6"/>
    <s v="Operational"/>
    <m/>
    <m/>
    <m/>
    <m/>
    <m/>
    <x v="0"/>
    <x v="0"/>
  </r>
  <r>
    <n v="27829079"/>
    <x v="0"/>
    <x v="1741"/>
    <s v="PK 221_2022-07-29T13x40x00"/>
    <s v="A320"/>
    <x v="0"/>
    <x v="29"/>
    <x v="3"/>
    <s v="Operational"/>
    <s v="PK 221"/>
    <m/>
    <m/>
    <m/>
    <m/>
    <x v="0"/>
    <x v="0"/>
  </r>
  <r>
    <n v="27829089"/>
    <x v="0"/>
    <x v="1742"/>
    <m/>
    <m/>
    <x v="1"/>
    <x v="31"/>
    <x v="8"/>
    <s v="Operational"/>
    <m/>
    <m/>
    <m/>
    <m/>
    <m/>
    <x v="0"/>
    <x v="0"/>
  </r>
  <r>
    <n v="27829092"/>
    <x v="0"/>
    <x v="1743"/>
    <m/>
    <m/>
    <x v="1"/>
    <x v="31"/>
    <x v="9"/>
    <s v="Operational"/>
    <m/>
    <m/>
    <m/>
    <m/>
    <m/>
    <x v="0"/>
    <x v="0"/>
  </r>
  <r>
    <n v="27829130"/>
    <x v="0"/>
    <x v="1744"/>
    <s v="6E 072_2022-07-29T13x05x00"/>
    <s v="A320-NEO"/>
    <x v="0"/>
    <x v="9"/>
    <x v="1"/>
    <s v="Operational"/>
    <s v="6E 072"/>
    <m/>
    <m/>
    <m/>
    <m/>
    <x v="0"/>
    <x v="0"/>
  </r>
  <r>
    <n v="27829137"/>
    <x v="0"/>
    <x v="1745"/>
    <s v="UK 201_2022-07-29T14x15x00"/>
    <s v="A321-NEO"/>
    <x v="0"/>
    <x v="9"/>
    <x v="3"/>
    <s v="Operational"/>
    <s v="UK 201"/>
    <m/>
    <m/>
    <m/>
    <m/>
    <x v="0"/>
    <x v="0"/>
  </r>
  <r>
    <n v="27829179"/>
    <x v="0"/>
    <x v="1746"/>
    <s v="KU 673_2022-07-29T13x55x00"/>
    <s v="A320-NEO"/>
    <x v="0"/>
    <x v="92"/>
    <x v="3"/>
    <s v="Operational"/>
    <s v="KU 673"/>
    <m/>
    <m/>
    <m/>
    <m/>
    <x v="0"/>
    <x v="0"/>
  </r>
  <r>
    <n v="27829218"/>
    <x v="0"/>
    <x v="1747"/>
    <m/>
    <m/>
    <x v="1"/>
    <x v="31"/>
    <x v="8"/>
    <s v="Operational"/>
    <m/>
    <m/>
    <m/>
    <m/>
    <m/>
    <x v="0"/>
    <x v="0"/>
  </r>
  <r>
    <n v="27829220"/>
    <x v="0"/>
    <x v="1747"/>
    <m/>
    <m/>
    <x v="1"/>
    <x v="31"/>
    <x v="9"/>
    <s v="Operational"/>
    <m/>
    <m/>
    <m/>
    <m/>
    <m/>
    <x v="0"/>
    <x v="0"/>
  </r>
  <r>
    <n v="27829222"/>
    <x v="0"/>
    <x v="1748"/>
    <s v="UK 201_2022-07-29T14x15x00"/>
    <s v="A321-NEO"/>
    <x v="0"/>
    <x v="9"/>
    <x v="10"/>
    <s v="Operational"/>
    <s v="UK 201"/>
    <m/>
    <m/>
    <m/>
    <m/>
    <x v="0"/>
    <x v="0"/>
  </r>
  <r>
    <n v="27829223"/>
    <x v="0"/>
    <x v="1749"/>
    <s v="UK 201_2022-07-29T14x15x00"/>
    <s v="A321-NEO"/>
    <x v="0"/>
    <x v="9"/>
    <x v="11"/>
    <s v="Operational"/>
    <s v="UK 201"/>
    <m/>
    <m/>
    <m/>
    <m/>
    <x v="0"/>
    <x v="0"/>
  </r>
  <r>
    <n v="27829227"/>
    <x v="0"/>
    <x v="1750"/>
    <m/>
    <m/>
    <x v="1"/>
    <x v="74"/>
    <x v="8"/>
    <s v="Operational"/>
    <s v="UPS 076"/>
    <m/>
    <m/>
    <m/>
    <m/>
    <x v="0"/>
    <x v="0"/>
  </r>
  <r>
    <n v="27829237"/>
    <x v="0"/>
    <x v="1751"/>
    <s v="KU 673_2022-07-29T13x55x00"/>
    <s v="A320-NEO"/>
    <x v="0"/>
    <x v="92"/>
    <x v="4"/>
    <s v="Operational"/>
    <s v="KU 673"/>
    <m/>
    <m/>
    <m/>
    <m/>
    <x v="0"/>
    <x v="0"/>
  </r>
  <r>
    <n v="27829268"/>
    <x v="0"/>
    <x v="1752"/>
    <m/>
    <m/>
    <x v="1"/>
    <x v="74"/>
    <x v="9"/>
    <s v="Operational"/>
    <m/>
    <m/>
    <m/>
    <m/>
    <m/>
    <x v="0"/>
    <x v="0"/>
  </r>
  <r>
    <n v="27829277"/>
    <x v="0"/>
    <x v="1753"/>
    <s v="FZ 1210_2022-07-29T13x45x00"/>
    <s v="B737/8-MAX"/>
    <x v="5"/>
    <x v="33"/>
    <x v="3"/>
    <s v="Operational"/>
    <s v="FZ 1210"/>
    <m/>
    <m/>
    <m/>
    <m/>
    <x v="0"/>
    <x v="0"/>
  </r>
  <r>
    <n v="27829315"/>
    <x v="0"/>
    <x v="1754"/>
    <s v="UPS 003_2022-07-29T13x50x00"/>
    <s v="B747/8"/>
    <x v="1"/>
    <x v="110"/>
    <x v="1"/>
    <s v="Operational"/>
    <s v="UPS 003"/>
    <m/>
    <m/>
    <m/>
    <m/>
    <x v="0"/>
    <x v="0"/>
  </r>
  <r>
    <n v="27829326"/>
    <x v="0"/>
    <x v="1755"/>
    <s v="FZ 8626_2022-07-29T10x30x00"/>
    <s v="B737/8"/>
    <x v="1"/>
    <x v="1"/>
    <x v="1"/>
    <s v="Operational"/>
    <m/>
    <m/>
    <m/>
    <m/>
    <m/>
    <x v="0"/>
    <x v="0"/>
  </r>
  <r>
    <n v="27829328"/>
    <x v="0"/>
    <x v="1756"/>
    <s v="PK 221_2022-07-29T13x40x00"/>
    <s v="A320"/>
    <x v="0"/>
    <x v="29"/>
    <x v="10"/>
    <s v="Operational"/>
    <s v="PK 221"/>
    <m/>
    <m/>
    <m/>
    <m/>
    <x v="0"/>
    <x v="0"/>
  </r>
  <r>
    <n v="27829329"/>
    <x v="0"/>
    <x v="1756"/>
    <s v="PK 221_2022-07-29T13x40x00"/>
    <s v="A320"/>
    <x v="0"/>
    <x v="29"/>
    <x v="11"/>
    <s v="Operational"/>
    <s v="PK 221"/>
    <m/>
    <m/>
    <m/>
    <m/>
    <x v="0"/>
    <x v="0"/>
  </r>
  <r>
    <n v="27829340"/>
    <x v="0"/>
    <x v="1757"/>
    <m/>
    <m/>
    <x v="1"/>
    <x v="31"/>
    <x v="8"/>
    <s v="Operational"/>
    <m/>
    <m/>
    <m/>
    <m/>
    <m/>
    <x v="0"/>
    <x v="0"/>
  </r>
  <r>
    <n v="27829342"/>
    <x v="0"/>
    <x v="1757"/>
    <m/>
    <m/>
    <x v="1"/>
    <x v="31"/>
    <x v="9"/>
    <s v="Operational"/>
    <m/>
    <m/>
    <m/>
    <m/>
    <m/>
    <x v="0"/>
    <x v="0"/>
  </r>
  <r>
    <n v="27829353"/>
    <x v="0"/>
    <x v="1758"/>
    <s v="FZ 1210_2022-07-29T13x45x00"/>
    <s v="B737/8-MAX"/>
    <x v="5"/>
    <x v="33"/>
    <x v="4"/>
    <s v="Operational"/>
    <s v="FZ 1210"/>
    <m/>
    <m/>
    <m/>
    <m/>
    <x v="0"/>
    <x v="0"/>
  </r>
  <r>
    <n v="27829422"/>
    <x v="0"/>
    <x v="1759"/>
    <s v="IR 657_2022-07-29T13x50x00"/>
    <s v="A319"/>
    <x v="0"/>
    <x v="3"/>
    <x v="1"/>
    <s v="Operational"/>
    <s v="IR 657"/>
    <m/>
    <m/>
    <m/>
    <m/>
    <x v="0"/>
    <x v="0"/>
  </r>
  <r>
    <n v="27829439"/>
    <x v="0"/>
    <x v="1760"/>
    <s v="PK 221_2022-07-29T13x40x00"/>
    <s v="A320"/>
    <x v="0"/>
    <x v="29"/>
    <x v="2"/>
    <s v="Operational"/>
    <s v="PK 221"/>
    <m/>
    <m/>
    <m/>
    <m/>
    <x v="0"/>
    <x v="0"/>
  </r>
  <r>
    <n v="27829449"/>
    <x v="0"/>
    <x v="1761"/>
    <m/>
    <m/>
    <x v="1"/>
    <x v="31"/>
    <x v="8"/>
    <s v="Operational"/>
    <m/>
    <m/>
    <m/>
    <m/>
    <m/>
    <x v="0"/>
    <x v="0"/>
  </r>
  <r>
    <n v="27829451"/>
    <x v="0"/>
    <x v="1761"/>
    <m/>
    <m/>
    <x v="1"/>
    <x v="31"/>
    <x v="9"/>
    <s v="Operational"/>
    <m/>
    <m/>
    <m/>
    <m/>
    <m/>
    <x v="0"/>
    <x v="0"/>
  </r>
  <r>
    <n v="27829453"/>
    <x v="0"/>
    <x v="1762"/>
    <m/>
    <m/>
    <x v="5"/>
    <x v="82"/>
    <x v="13"/>
    <s v="Operational"/>
    <m/>
    <m/>
    <m/>
    <m/>
    <m/>
    <x v="0"/>
    <x v="0"/>
  </r>
  <r>
    <n v="27829459"/>
    <x v="0"/>
    <x v="1763"/>
    <m/>
    <m/>
    <x v="5"/>
    <x v="82"/>
    <x v="14"/>
    <s v="Operational"/>
    <m/>
    <m/>
    <m/>
    <m/>
    <m/>
    <x v="0"/>
    <x v="0"/>
  </r>
  <r>
    <n v="27829467"/>
    <x v="0"/>
    <x v="1764"/>
    <s v="FZ 1680_2022-07-29T14x30x00"/>
    <s v="B737/8-MAX"/>
    <x v="5"/>
    <x v="139"/>
    <x v="2"/>
    <s v="Operational"/>
    <m/>
    <m/>
    <m/>
    <m/>
    <m/>
    <x v="0"/>
    <x v="0"/>
  </r>
  <r>
    <n v="27829471"/>
    <x v="0"/>
    <x v="1765"/>
    <s v="PK 221_2022-07-29T13x40x00"/>
    <s v="A320"/>
    <x v="0"/>
    <x v="29"/>
    <x v="0"/>
    <s v="Operational"/>
    <s v="PK 221"/>
    <m/>
    <m/>
    <m/>
    <m/>
    <x v="0"/>
    <x v="0"/>
  </r>
  <r>
    <n v="27829482"/>
    <x v="0"/>
    <x v="1766"/>
    <s v="FZ 1680_2022-07-29T14x30x00"/>
    <s v="B737/8-MAX"/>
    <x v="5"/>
    <x v="139"/>
    <x v="0"/>
    <s v="Operational"/>
    <m/>
    <m/>
    <m/>
    <m/>
    <m/>
    <x v="0"/>
    <x v="0"/>
  </r>
  <r>
    <n v="27829553"/>
    <x v="0"/>
    <x v="1767"/>
    <s v="KU 673_2022-07-29T13x55x00"/>
    <s v="A320-NEO"/>
    <x v="0"/>
    <x v="92"/>
    <x v="2"/>
    <s v="Operational"/>
    <s v="KU 673"/>
    <m/>
    <m/>
    <m/>
    <m/>
    <x v="0"/>
    <x v="0"/>
  </r>
  <r>
    <n v="27829557"/>
    <x v="0"/>
    <x v="1768"/>
    <m/>
    <m/>
    <x v="4"/>
    <x v="65"/>
    <x v="6"/>
    <s v="Operational"/>
    <m/>
    <m/>
    <m/>
    <m/>
    <m/>
    <x v="0"/>
    <x v="0"/>
  </r>
  <r>
    <n v="27829568"/>
    <x v="0"/>
    <x v="1769"/>
    <s v="KU 673_2022-07-29T13x55x00"/>
    <s v="A320-NEO"/>
    <x v="0"/>
    <x v="92"/>
    <x v="0"/>
    <s v="Operational"/>
    <s v="KU 673"/>
    <m/>
    <m/>
    <m/>
    <m/>
    <x v="0"/>
    <x v="0"/>
  </r>
  <r>
    <n v="27829604"/>
    <x v="0"/>
    <x v="1770"/>
    <s v="EK 9747_2022-07-29T13x55x00"/>
    <s v="B777/3-ER"/>
    <x v="6"/>
    <x v="169"/>
    <x v="1"/>
    <s v="Operational"/>
    <s v="EK 9747"/>
    <m/>
    <m/>
    <m/>
    <m/>
    <x v="0"/>
    <x v="0"/>
  </r>
  <r>
    <n v="27829621"/>
    <x v="0"/>
    <x v="1771"/>
    <s v="FZ 1210_2022-07-29T13x45x00"/>
    <s v="B737/8-MAX"/>
    <x v="5"/>
    <x v="33"/>
    <x v="2"/>
    <s v="Operational"/>
    <s v="FZ 1210"/>
    <m/>
    <m/>
    <m/>
    <m/>
    <x v="0"/>
    <x v="0"/>
  </r>
  <r>
    <n v="27829650"/>
    <x v="0"/>
    <x v="1772"/>
    <s v="FZ 1210_2022-07-29T13x45x00"/>
    <s v="B737/8-MAX"/>
    <x v="5"/>
    <x v="33"/>
    <x v="0"/>
    <s v="Operational"/>
    <s v="FZ 1210"/>
    <m/>
    <m/>
    <m/>
    <m/>
    <x v="0"/>
    <x v="0"/>
  </r>
  <r>
    <n v="27829696"/>
    <x v="0"/>
    <x v="1773"/>
    <s v="EK 928_2022-07-29T13x35x00"/>
    <s v="A380/8"/>
    <x v="4"/>
    <x v="65"/>
    <x v="2"/>
    <s v="Operational"/>
    <m/>
    <m/>
    <m/>
    <m/>
    <m/>
    <x v="0"/>
    <x v="0"/>
  </r>
  <r>
    <n v="27829710"/>
    <x v="0"/>
    <x v="1774"/>
    <s v="FZ 044_2022-07-29T13x45x00"/>
    <s v="B737/8"/>
    <x v="1"/>
    <x v="72"/>
    <x v="3"/>
    <s v="Operational"/>
    <s v="FZ 044"/>
    <m/>
    <m/>
    <m/>
    <m/>
    <x v="0"/>
    <x v="0"/>
  </r>
  <r>
    <n v="27829717"/>
    <x v="0"/>
    <x v="1775"/>
    <s v="FZ 318_2022-07-29T14x15x00"/>
    <s v="B737/8"/>
    <x v="1"/>
    <x v="35"/>
    <x v="3"/>
    <s v="Operational"/>
    <s v="FZ 318"/>
    <m/>
    <m/>
    <m/>
    <m/>
    <x v="0"/>
    <x v="0"/>
  </r>
  <r>
    <n v="27829727"/>
    <x v="0"/>
    <x v="1776"/>
    <s v="SEP 701_2022-07-29T13x00x00"/>
    <s v="B737/8"/>
    <x v="0"/>
    <x v="50"/>
    <x v="3"/>
    <s v="Operational"/>
    <s v="SEP 701"/>
    <m/>
    <m/>
    <m/>
    <m/>
    <x v="0"/>
    <x v="0"/>
  </r>
  <r>
    <n v="27829739"/>
    <x v="0"/>
    <x v="1777"/>
    <s v="FZ 044_2022-07-29T13x45x00"/>
    <s v="B737/8"/>
    <x v="1"/>
    <x v="72"/>
    <x v="4"/>
    <s v="Operational"/>
    <s v="FZ 044"/>
    <m/>
    <m/>
    <m/>
    <m/>
    <x v="0"/>
    <x v="0"/>
  </r>
  <r>
    <n v="27829743"/>
    <x v="0"/>
    <x v="1778"/>
    <s v="FZ 318_2022-07-29T14x15x00"/>
    <s v="B737/8"/>
    <x v="1"/>
    <x v="35"/>
    <x v="4"/>
    <s v="Operational"/>
    <s v="FZ 318"/>
    <m/>
    <m/>
    <m/>
    <m/>
    <x v="0"/>
    <x v="0"/>
  </r>
  <r>
    <n v="27829746"/>
    <x v="0"/>
    <x v="1779"/>
    <s v="FZ 1407_2022-07-29T13x35x00"/>
    <s v="B737/8-MAX"/>
    <x v="5"/>
    <x v="154"/>
    <x v="1"/>
    <s v="Operational"/>
    <s v="FZ 1407"/>
    <m/>
    <m/>
    <m/>
    <m/>
    <x v="0"/>
    <x v="0"/>
  </r>
  <r>
    <n v="27829754"/>
    <x v="0"/>
    <x v="1780"/>
    <s v="EK 928_2022-07-29T13x35x00"/>
    <s v="A380/8"/>
    <x v="4"/>
    <x v="65"/>
    <x v="0"/>
    <s v="Operational"/>
    <m/>
    <m/>
    <m/>
    <m/>
    <m/>
    <x v="0"/>
    <x v="0"/>
  </r>
  <r>
    <n v="27829786"/>
    <x v="0"/>
    <x v="1781"/>
    <m/>
    <m/>
    <x v="5"/>
    <x v="140"/>
    <x v="6"/>
    <s v="Operational"/>
    <m/>
    <m/>
    <m/>
    <m/>
    <m/>
    <x v="0"/>
    <x v="0"/>
  </r>
  <r>
    <n v="27829826"/>
    <x v="0"/>
    <x v="1782"/>
    <s v="GF 508_2022-07-29T14x10x00"/>
    <s v="A320-NEO"/>
    <x v="0"/>
    <x v="40"/>
    <x v="3"/>
    <s v="Operational"/>
    <s v="GF 508"/>
    <m/>
    <m/>
    <m/>
    <m/>
    <x v="0"/>
    <x v="0"/>
  </r>
  <r>
    <n v="27829838"/>
    <x v="0"/>
    <x v="1783"/>
    <s v="EK 230_2022-07-29T14x30x00"/>
    <s v="B777/3-ER"/>
    <x v="4"/>
    <x v="64"/>
    <x v="3"/>
    <s v="Operational"/>
    <s v="EK 230"/>
    <m/>
    <m/>
    <m/>
    <m/>
    <x v="0"/>
    <x v="0"/>
  </r>
  <r>
    <n v="27829845"/>
    <x v="0"/>
    <x v="1784"/>
    <m/>
    <m/>
    <x v="1"/>
    <x v="31"/>
    <x v="8"/>
    <s v="Operational"/>
    <m/>
    <m/>
    <m/>
    <m/>
    <m/>
    <x v="0"/>
    <x v="0"/>
  </r>
  <r>
    <n v="27829847"/>
    <x v="0"/>
    <x v="1784"/>
    <m/>
    <m/>
    <x v="1"/>
    <x v="31"/>
    <x v="9"/>
    <s v="Operational"/>
    <m/>
    <m/>
    <m/>
    <m/>
    <m/>
    <x v="0"/>
    <x v="0"/>
  </r>
  <r>
    <n v="27829903"/>
    <x v="0"/>
    <x v="1785"/>
    <s v="FZ 257_2022-07-29T13x40x00"/>
    <s v="B737/8"/>
    <x v="5"/>
    <x v="120"/>
    <x v="1"/>
    <s v="Operational"/>
    <s v="FZ 257"/>
    <m/>
    <m/>
    <m/>
    <m/>
    <x v="0"/>
    <x v="0"/>
  </r>
  <r>
    <n v="27829924"/>
    <x v="0"/>
    <x v="1786"/>
    <s v="UK 201_2022-07-29T14x15x00"/>
    <s v="A321-NEO"/>
    <x v="0"/>
    <x v="9"/>
    <x v="2"/>
    <s v="Operational"/>
    <s v="UK 201"/>
    <m/>
    <m/>
    <m/>
    <m/>
    <x v="0"/>
    <x v="0"/>
  </r>
  <r>
    <n v="27829931"/>
    <x v="0"/>
    <x v="1787"/>
    <s v="SQ 494_2022-07-29T14x25x00"/>
    <s v="A350/9"/>
    <x v="0"/>
    <x v="91"/>
    <x v="3"/>
    <s v="Operational"/>
    <s v="SQ 494"/>
    <m/>
    <m/>
    <m/>
    <m/>
    <x v="0"/>
    <x v="0"/>
  </r>
  <r>
    <n v="27829936"/>
    <x v="0"/>
    <x v="1788"/>
    <s v="GF 508_2022-07-29T14x10x00"/>
    <s v="A320-NEO"/>
    <x v="0"/>
    <x v="40"/>
    <x v="4"/>
    <s v="Operational"/>
    <s v="GF 508"/>
    <m/>
    <m/>
    <m/>
    <m/>
    <x v="0"/>
    <x v="0"/>
  </r>
  <r>
    <n v="27829944"/>
    <x v="0"/>
    <x v="1789"/>
    <s v="EK 117_2022-07-29T14x00x00"/>
    <s v="B777/3-ER"/>
    <x v="3"/>
    <x v="104"/>
    <x v="1"/>
    <s v="Operational"/>
    <s v="EK 117"/>
    <m/>
    <m/>
    <m/>
    <m/>
    <x v="0"/>
    <x v="0"/>
  </r>
  <r>
    <n v="27829956"/>
    <x v="0"/>
    <x v="1790"/>
    <s v="UK 201_2022-07-29T14x15x00"/>
    <s v="A321-NEO"/>
    <x v="0"/>
    <x v="9"/>
    <x v="0"/>
    <s v="Operational"/>
    <s v="UK 201"/>
    <m/>
    <m/>
    <m/>
    <m/>
    <x v="0"/>
    <x v="0"/>
  </r>
  <r>
    <n v="27829966"/>
    <x v="0"/>
    <x v="1791"/>
    <s v="SQ 494_2022-07-29T14x25x00"/>
    <s v="A350/9"/>
    <x v="0"/>
    <x v="91"/>
    <x v="4"/>
    <s v="Operational"/>
    <s v="SQ 494"/>
    <m/>
    <m/>
    <m/>
    <m/>
    <x v="0"/>
    <x v="0"/>
  </r>
  <r>
    <n v="27829985"/>
    <x v="0"/>
    <x v="1792"/>
    <s v="FZ 044_2022-07-29T13x45x00"/>
    <s v="B737/8"/>
    <x v="1"/>
    <x v="72"/>
    <x v="2"/>
    <s v="Operational"/>
    <s v="FZ 044"/>
    <m/>
    <m/>
    <m/>
    <m/>
    <x v="0"/>
    <x v="0"/>
  </r>
  <r>
    <n v="27830003"/>
    <x v="0"/>
    <x v="1793"/>
    <s v="FZ 318_2022-07-29T14x15x00"/>
    <s v="B737/8"/>
    <x v="1"/>
    <x v="35"/>
    <x v="2"/>
    <s v="Operational"/>
    <s v="FZ 318"/>
    <m/>
    <m/>
    <m/>
    <m/>
    <x v="0"/>
    <x v="0"/>
  </r>
  <r>
    <n v="27830011"/>
    <x v="0"/>
    <x v="1794"/>
    <s v="FZ 044_2022-07-29T13x45x00"/>
    <s v="B737/8"/>
    <x v="1"/>
    <x v="72"/>
    <x v="0"/>
    <s v="Operational"/>
    <s v="FZ 044"/>
    <m/>
    <m/>
    <m/>
    <m/>
    <x v="0"/>
    <x v="0"/>
  </r>
  <r>
    <n v="27830025"/>
    <x v="0"/>
    <x v="1795"/>
    <s v="FZ 318_2022-07-29T14x15x00"/>
    <s v="B737/8"/>
    <x v="1"/>
    <x v="35"/>
    <x v="0"/>
    <s v="Operational"/>
    <s v="FZ 318"/>
    <m/>
    <m/>
    <m/>
    <m/>
    <x v="0"/>
    <x v="0"/>
  </r>
  <r>
    <n v="27830057"/>
    <x v="0"/>
    <x v="1796"/>
    <s v="SG 017_2022-07-29T14x00x00"/>
    <s v="B737/8-MAX"/>
    <x v="0"/>
    <x v="57"/>
    <x v="3"/>
    <s v="Operational"/>
    <s v="SG 017"/>
    <m/>
    <m/>
    <m/>
    <m/>
    <x v="0"/>
    <x v="0"/>
  </r>
  <r>
    <n v="27830065"/>
    <x v="0"/>
    <x v="1797"/>
    <m/>
    <m/>
    <x v="1"/>
    <x v="31"/>
    <x v="8"/>
    <s v="Operational"/>
    <m/>
    <m/>
    <m/>
    <m/>
    <m/>
    <x v="0"/>
    <x v="0"/>
  </r>
  <r>
    <n v="27830067"/>
    <x v="0"/>
    <x v="1797"/>
    <m/>
    <m/>
    <x v="1"/>
    <x v="31"/>
    <x v="9"/>
    <s v="Operational"/>
    <m/>
    <m/>
    <m/>
    <m/>
    <m/>
    <x v="0"/>
    <x v="0"/>
  </r>
  <r>
    <n v="27830070"/>
    <x v="0"/>
    <x v="1798"/>
    <s v="FZ 1928_2022-07-29T13x50x00"/>
    <s v="B737/8"/>
    <x v="5"/>
    <x v="140"/>
    <x v="15"/>
    <s v="Technical"/>
    <m/>
    <m/>
    <m/>
    <m/>
    <m/>
    <x v="0"/>
    <x v="0"/>
  </r>
  <r>
    <n v="27830073"/>
    <x v="0"/>
    <x v="1799"/>
    <s v="FZ 1928_2022-07-29T13x50x00"/>
    <s v="B737/8"/>
    <x v="5"/>
    <x v="140"/>
    <x v="17"/>
    <s v="Technical"/>
    <m/>
    <m/>
    <m/>
    <m/>
    <m/>
    <x v="0"/>
    <x v="0"/>
  </r>
  <r>
    <n v="27830096"/>
    <x v="0"/>
    <x v="1800"/>
    <s v="SG 017_2022-07-29T14x00x00"/>
    <s v="B737/8-MAX"/>
    <x v="0"/>
    <x v="57"/>
    <x v="4"/>
    <s v="Operational"/>
    <s v="SG 017"/>
    <m/>
    <m/>
    <m/>
    <m/>
    <x v="0"/>
    <x v="0"/>
  </r>
  <r>
    <n v="27830127"/>
    <x v="0"/>
    <x v="1801"/>
    <s v="EK 517_2022-07-29T14x10x00"/>
    <s v="B777/3-ER"/>
    <x v="3"/>
    <x v="26"/>
    <x v="3"/>
    <s v="Operational"/>
    <s v="EK 517"/>
    <m/>
    <m/>
    <m/>
    <m/>
    <x v="0"/>
    <x v="0"/>
  </r>
  <r>
    <n v="27830132"/>
    <x v="0"/>
    <x v="1802"/>
    <s v="EK 517_2022-07-29T14x10x00"/>
    <s v="B777/3-ER"/>
    <x v="3"/>
    <x v="26"/>
    <x v="4"/>
    <s v="Operational"/>
    <s v="EK 517"/>
    <m/>
    <m/>
    <m/>
    <m/>
    <x v="0"/>
    <x v="0"/>
  </r>
  <r>
    <n v="27830149"/>
    <x v="0"/>
    <x v="1803"/>
    <s v="EK 230_2022-07-29T14x30x00"/>
    <s v="B777/3-ER"/>
    <x v="4"/>
    <x v="64"/>
    <x v="4"/>
    <s v="Operational"/>
    <s v="EK 230"/>
    <m/>
    <m/>
    <m/>
    <m/>
    <x v="0"/>
    <x v="0"/>
  </r>
  <r>
    <n v="27830155"/>
    <x v="0"/>
    <x v="1804"/>
    <s v="SEP 701_2022-07-29T13x00x00"/>
    <s v="B737/8"/>
    <x v="0"/>
    <x v="50"/>
    <x v="4"/>
    <s v="Operational"/>
    <s v="SEP 701"/>
    <m/>
    <m/>
    <m/>
    <m/>
    <x v="0"/>
    <x v="0"/>
  </r>
  <r>
    <n v="27830189"/>
    <x v="0"/>
    <x v="1805"/>
    <s v="SEP 701_2022-07-29T13x00x00"/>
    <s v="B737/8"/>
    <x v="0"/>
    <x v="50"/>
    <x v="2"/>
    <s v="Operational"/>
    <s v="SEP 701"/>
    <m/>
    <m/>
    <m/>
    <m/>
    <x v="0"/>
    <x v="0"/>
  </r>
  <r>
    <n v="27830196"/>
    <x v="0"/>
    <x v="1806"/>
    <s v="PR 658_2022-07-29T14x05x00"/>
    <s v="A330/3"/>
    <x v="0"/>
    <x v="17"/>
    <x v="3"/>
    <s v="Operational"/>
    <s v="PR 658"/>
    <m/>
    <m/>
    <m/>
    <m/>
    <x v="0"/>
    <x v="0"/>
  </r>
  <r>
    <n v="27830213"/>
    <x v="0"/>
    <x v="1807"/>
    <s v="FZ 203_2022-07-29T13x30x00"/>
    <s v="B737/8"/>
    <x v="1"/>
    <x v="101"/>
    <x v="1"/>
    <s v="Operational"/>
    <s v="FZ 203"/>
    <m/>
    <m/>
    <m/>
    <m/>
    <x v="0"/>
    <x v="0"/>
  </r>
  <r>
    <n v="27830225"/>
    <x v="0"/>
    <x v="1808"/>
    <s v="SEP 701_2022-07-29T13x00x00"/>
    <s v="B737/8"/>
    <x v="0"/>
    <x v="50"/>
    <x v="0"/>
    <s v="Operational"/>
    <s v="SEP 701"/>
    <m/>
    <m/>
    <m/>
    <m/>
    <x v="0"/>
    <x v="0"/>
  </r>
  <r>
    <n v="27830237"/>
    <x v="0"/>
    <x v="1809"/>
    <s v="EK 230_2022-07-29T14x30x00"/>
    <s v="B777/3-ER"/>
    <x v="4"/>
    <x v="64"/>
    <x v="2"/>
    <s v="Operational"/>
    <s v="EK 230"/>
    <m/>
    <m/>
    <m/>
    <m/>
    <x v="0"/>
    <x v="0"/>
  </r>
  <r>
    <n v="27830244"/>
    <x v="0"/>
    <x v="1810"/>
    <m/>
    <m/>
    <x v="1"/>
    <x v="93"/>
    <x v="13"/>
    <s v="Operational"/>
    <m/>
    <m/>
    <m/>
    <m/>
    <m/>
    <x v="0"/>
    <x v="0"/>
  </r>
  <r>
    <n v="27830265"/>
    <x v="0"/>
    <x v="1811"/>
    <s v="GF 508_2022-07-29T14x10x00"/>
    <s v="A320-NEO"/>
    <x v="0"/>
    <x v="40"/>
    <x v="2"/>
    <s v="Operational"/>
    <s v="GF 508"/>
    <m/>
    <m/>
    <m/>
    <m/>
    <x v="0"/>
    <x v="0"/>
  </r>
  <r>
    <n v="27830268"/>
    <x v="0"/>
    <x v="1812"/>
    <s v="EK 230_2022-07-29T14x30x00"/>
    <s v="B777/3-ER"/>
    <x v="4"/>
    <x v="64"/>
    <x v="0"/>
    <s v="Operational"/>
    <s v="EK 230"/>
    <m/>
    <m/>
    <m/>
    <m/>
    <x v="0"/>
    <x v="0"/>
  </r>
  <r>
    <n v="27830280"/>
    <x v="0"/>
    <x v="1813"/>
    <m/>
    <m/>
    <x v="1"/>
    <x v="31"/>
    <x v="8"/>
    <s v="Operational"/>
    <m/>
    <m/>
    <m/>
    <m/>
    <m/>
    <x v="0"/>
    <x v="0"/>
  </r>
  <r>
    <n v="27830282"/>
    <x v="0"/>
    <x v="1813"/>
    <m/>
    <m/>
    <x v="1"/>
    <x v="31"/>
    <x v="9"/>
    <s v="Operational"/>
    <m/>
    <m/>
    <m/>
    <m/>
    <m/>
    <x v="0"/>
    <x v="0"/>
  </r>
  <r>
    <n v="27830292"/>
    <x v="0"/>
    <x v="1814"/>
    <m/>
    <m/>
    <x v="1"/>
    <x v="93"/>
    <x v="14"/>
    <s v="Operational"/>
    <m/>
    <m/>
    <m/>
    <m/>
    <m/>
    <x v="0"/>
    <x v="0"/>
  </r>
  <r>
    <n v="27830300"/>
    <x v="0"/>
    <x v="1815"/>
    <s v="GF 508_2022-07-29T14x10x00"/>
    <s v="A320-NEO"/>
    <x v="0"/>
    <x v="40"/>
    <x v="0"/>
    <s v="Operational"/>
    <s v="GF 508"/>
    <m/>
    <m/>
    <m/>
    <m/>
    <x v="0"/>
    <x v="0"/>
  </r>
  <r>
    <n v="27830328"/>
    <x v="0"/>
    <x v="1816"/>
    <s v="FZ 1228_2022-07-29T14x30x00"/>
    <s v="B737/8"/>
    <x v="5"/>
    <x v="157"/>
    <x v="3"/>
    <s v="Operational"/>
    <s v="FZ 1228"/>
    <m/>
    <m/>
    <m/>
    <m/>
    <x v="0"/>
    <x v="0"/>
  </r>
  <r>
    <n v="27830338"/>
    <x v="0"/>
    <x v="1817"/>
    <s v="PR 658_2022-07-29T14x05x00"/>
    <s v="A330/3"/>
    <x v="0"/>
    <x v="17"/>
    <x v="4"/>
    <s v="Operational"/>
    <s v="PR 658"/>
    <m/>
    <m/>
    <m/>
    <m/>
    <x v="0"/>
    <x v="0"/>
  </r>
  <r>
    <n v="27830368"/>
    <x v="0"/>
    <x v="1818"/>
    <s v="FZ 1228_2022-07-29T14x30x00"/>
    <s v="B737/8"/>
    <x v="5"/>
    <x v="157"/>
    <x v="4"/>
    <s v="Operational"/>
    <s v="FZ 1228"/>
    <m/>
    <m/>
    <m/>
    <m/>
    <x v="0"/>
    <x v="0"/>
  </r>
  <r>
    <n v="27830374"/>
    <x v="0"/>
    <x v="1819"/>
    <s v="SQ 494_2022-07-29T14x25x00"/>
    <s v="A350/9"/>
    <x v="0"/>
    <x v="91"/>
    <x v="2"/>
    <s v="Operational"/>
    <s v="SQ 494"/>
    <m/>
    <m/>
    <m/>
    <m/>
    <x v="0"/>
    <x v="0"/>
  </r>
  <r>
    <n v="27830389"/>
    <x v="0"/>
    <x v="1820"/>
    <s v="FZ 1928_2022-07-29T13x50x00"/>
    <s v="B737/8"/>
    <x v="5"/>
    <x v="140"/>
    <x v="2"/>
    <s v="Operational"/>
    <m/>
    <m/>
    <m/>
    <m/>
    <m/>
    <x v="0"/>
    <x v="0"/>
  </r>
  <r>
    <n v="27830401"/>
    <x v="0"/>
    <x v="1821"/>
    <s v="SQ 494_2022-07-29T14x25x00"/>
    <s v="A350/9"/>
    <x v="0"/>
    <x v="91"/>
    <x v="0"/>
    <s v="Operational"/>
    <s v="SQ 494"/>
    <m/>
    <m/>
    <m/>
    <m/>
    <x v="0"/>
    <x v="0"/>
  </r>
  <r>
    <n v="27830412"/>
    <x v="0"/>
    <x v="1822"/>
    <s v="FZ 1928_2022-07-29T13x50x00"/>
    <s v="B737/8"/>
    <x v="5"/>
    <x v="140"/>
    <x v="0"/>
    <s v="Operational"/>
    <m/>
    <m/>
    <m/>
    <m/>
    <m/>
    <x v="0"/>
    <x v="0"/>
  </r>
  <r>
    <n v="27830458"/>
    <x v="0"/>
    <x v="1823"/>
    <s v="J4 621_2022-07-29T14x00x00"/>
    <s v="B737/5"/>
    <x v="1"/>
    <x v="1"/>
    <x v="3"/>
    <s v="Operational"/>
    <s v="J4 621"/>
    <m/>
    <m/>
    <m/>
    <m/>
    <x v="0"/>
    <x v="0"/>
  </r>
  <r>
    <n v="27830463"/>
    <x v="0"/>
    <x v="1824"/>
    <s v="J4 621_2022-07-29T14x00x00"/>
    <s v="B737/5"/>
    <x v="1"/>
    <x v="1"/>
    <x v="4"/>
    <s v="Operational"/>
    <s v="J4 621"/>
    <m/>
    <m/>
    <m/>
    <m/>
    <x v="0"/>
    <x v="0"/>
  </r>
  <r>
    <n v="27830467"/>
    <x v="0"/>
    <x v="1825"/>
    <s v="SV 555_2022-07-29T14x15x00"/>
    <s v="B787/9"/>
    <x v="0"/>
    <x v="61"/>
    <x v="1"/>
    <s v="Operational"/>
    <s v="SV 555"/>
    <m/>
    <m/>
    <m/>
    <m/>
    <x v="0"/>
    <x v="0"/>
  </r>
  <r>
    <n v="27830506"/>
    <x v="0"/>
    <x v="1826"/>
    <s v="SG 017_2022-07-29T14x00x00"/>
    <s v="B737/8-MAX"/>
    <x v="0"/>
    <x v="57"/>
    <x v="2"/>
    <s v="Operational"/>
    <s v="SG 017"/>
    <m/>
    <m/>
    <m/>
    <m/>
    <x v="0"/>
    <x v="0"/>
  </r>
  <r>
    <n v="27830521"/>
    <x v="0"/>
    <x v="1827"/>
    <s v="SG 017_2022-07-29T14x00x00"/>
    <s v="B737/8-MAX"/>
    <x v="0"/>
    <x v="57"/>
    <x v="0"/>
    <s v="Operational"/>
    <s v="SG 017"/>
    <m/>
    <m/>
    <m/>
    <m/>
    <x v="0"/>
    <x v="0"/>
  </r>
  <r>
    <n v="27830539"/>
    <x v="0"/>
    <x v="1828"/>
    <m/>
    <m/>
    <x v="1"/>
    <x v="31"/>
    <x v="8"/>
    <s v="Operational"/>
    <m/>
    <m/>
    <m/>
    <m/>
    <m/>
    <x v="0"/>
    <x v="0"/>
  </r>
  <r>
    <n v="27830541"/>
    <x v="0"/>
    <x v="1828"/>
    <m/>
    <m/>
    <x v="1"/>
    <x v="31"/>
    <x v="9"/>
    <s v="Operational"/>
    <m/>
    <m/>
    <m/>
    <m/>
    <m/>
    <x v="0"/>
    <x v="0"/>
  </r>
  <r>
    <n v="27830558"/>
    <x v="0"/>
    <x v="1829"/>
    <s v="AI 915_2022-07-29T15x00x00"/>
    <s v="B787/8"/>
    <x v="0"/>
    <x v="22"/>
    <x v="3"/>
    <s v="Operational"/>
    <s v="AI 915"/>
    <m/>
    <m/>
    <m/>
    <m/>
    <x v="0"/>
    <x v="0"/>
  </r>
  <r>
    <n v="27830589"/>
    <x v="0"/>
    <x v="1830"/>
    <s v="EK 602_2022-07-29T14x00x00"/>
    <s v="B777/3-ER"/>
    <x v="2"/>
    <x v="81"/>
    <x v="1"/>
    <s v="Operational"/>
    <s v="EK 602"/>
    <m/>
    <m/>
    <m/>
    <m/>
    <x v="0"/>
    <x v="0"/>
  </r>
  <r>
    <n v="27830628"/>
    <x v="0"/>
    <x v="1831"/>
    <s v="FZ 336_2022-07-29T13x45x00"/>
    <s v="B737/8"/>
    <x v="1"/>
    <x v="87"/>
    <x v="3"/>
    <s v="Operational"/>
    <s v="FZ 336"/>
    <m/>
    <m/>
    <m/>
    <m/>
    <x v="0"/>
    <x v="0"/>
  </r>
  <r>
    <n v="27830634"/>
    <x v="0"/>
    <x v="1832"/>
    <s v="FZ 336_2022-07-29T13x45x00"/>
    <s v="B737/8"/>
    <x v="1"/>
    <x v="87"/>
    <x v="4"/>
    <s v="Operational"/>
    <s v="FZ 336"/>
    <m/>
    <m/>
    <m/>
    <m/>
    <x v="0"/>
    <x v="0"/>
  </r>
  <r>
    <n v="27830637"/>
    <x v="0"/>
    <x v="1833"/>
    <s v="IX 612_2022-07-29T14x00x00"/>
    <s v="B737/8"/>
    <x v="1"/>
    <x v="6"/>
    <x v="1"/>
    <s v="Operational"/>
    <s v="IX 612"/>
    <m/>
    <m/>
    <m/>
    <m/>
    <x v="0"/>
    <x v="0"/>
  </r>
  <r>
    <n v="27830670"/>
    <x v="0"/>
    <x v="1834"/>
    <s v="EK 338_2022-07-29T14x35x00"/>
    <s v="B777/3-ER"/>
    <x v="4"/>
    <x v="20"/>
    <x v="3"/>
    <s v="Operational"/>
    <s v="EK 338"/>
    <m/>
    <m/>
    <m/>
    <m/>
    <x v="0"/>
    <x v="0"/>
  </r>
  <r>
    <n v="27830704"/>
    <x v="0"/>
    <x v="1835"/>
    <s v="PA 410_2022-07-29T13x10x00"/>
    <s v="A321"/>
    <x v="0"/>
    <x v="63"/>
    <x v="3"/>
    <s v="Operational"/>
    <s v="PA 410"/>
    <m/>
    <m/>
    <m/>
    <m/>
    <x v="0"/>
    <x v="0"/>
  </r>
  <r>
    <n v="27830708"/>
    <x v="0"/>
    <x v="1836"/>
    <s v="EK 517_2022-07-29T14x10x00"/>
    <s v="B777/3-ER"/>
    <x v="3"/>
    <x v="26"/>
    <x v="2"/>
    <s v="Operational"/>
    <s v="EK 517"/>
    <m/>
    <m/>
    <m/>
    <m/>
    <x v="0"/>
    <x v="0"/>
  </r>
  <r>
    <n v="27830714"/>
    <x v="0"/>
    <x v="1837"/>
    <s v="EK 241_2022-07-29T23x30x00"/>
    <s v="A380/8"/>
    <x v="4"/>
    <x v="55"/>
    <x v="1"/>
    <s v="Operational"/>
    <m/>
    <m/>
    <m/>
    <m/>
    <m/>
    <x v="0"/>
    <x v="0"/>
  </r>
  <r>
    <n v="27830720"/>
    <x v="0"/>
    <x v="1838"/>
    <s v="EK 713_2022-07-30T05x25x00"/>
    <s v="B777/3-ER"/>
    <x v="6"/>
    <x v="163"/>
    <x v="1"/>
    <s v="Operational"/>
    <m/>
    <m/>
    <m/>
    <m/>
    <m/>
    <x v="0"/>
    <x v="0"/>
  </r>
  <r>
    <n v="27830726"/>
    <x v="0"/>
    <x v="1839"/>
    <s v="EK 338_2022-07-28T22x59x00"/>
    <s v="B777/3-ER"/>
    <x v="6"/>
    <x v="163"/>
    <x v="3"/>
    <s v="Operational"/>
    <s v="EK 338"/>
    <m/>
    <m/>
    <m/>
    <m/>
    <x v="0"/>
    <x v="0"/>
  </r>
  <r>
    <n v="27830731"/>
    <x v="0"/>
    <x v="1840"/>
    <s v="PA 410_2022-07-29T13x10x00"/>
    <s v="A321"/>
    <x v="0"/>
    <x v="63"/>
    <x v="10"/>
    <s v="Operational"/>
    <s v="PA 410"/>
    <m/>
    <m/>
    <m/>
    <m/>
    <x v="0"/>
    <x v="0"/>
  </r>
  <r>
    <n v="27830733"/>
    <x v="0"/>
    <x v="1841"/>
    <s v="PA 410_2022-07-29T13x10x00"/>
    <s v="A321"/>
    <x v="0"/>
    <x v="63"/>
    <x v="11"/>
    <s v="Operational"/>
    <s v="PA 410"/>
    <m/>
    <m/>
    <m/>
    <m/>
    <x v="0"/>
    <x v="0"/>
  </r>
  <r>
    <n v="27830739"/>
    <x v="0"/>
    <x v="1842"/>
    <s v="EK 517_2022-07-29T14x10x00"/>
    <s v="B777/3-ER"/>
    <x v="3"/>
    <x v="26"/>
    <x v="0"/>
    <s v="Operational"/>
    <s v="EK 517"/>
    <m/>
    <m/>
    <m/>
    <m/>
    <x v="0"/>
    <x v="0"/>
  </r>
  <r>
    <n v="27830756"/>
    <x v="0"/>
    <x v="1843"/>
    <s v="FZ 1228_2022-07-29T14x30x00"/>
    <s v="B737/8"/>
    <x v="5"/>
    <x v="157"/>
    <x v="2"/>
    <s v="Operational"/>
    <s v="FZ 1228"/>
    <m/>
    <m/>
    <m/>
    <m/>
    <x v="0"/>
    <x v="0"/>
  </r>
  <r>
    <n v="27830769"/>
    <x v="0"/>
    <x v="1844"/>
    <s v="FZ 1228_2022-07-29T14x30x00"/>
    <s v="B737/8"/>
    <x v="5"/>
    <x v="157"/>
    <x v="0"/>
    <s v="Operational"/>
    <s v="FZ 1228"/>
    <m/>
    <m/>
    <m/>
    <m/>
    <x v="0"/>
    <x v="0"/>
  </r>
  <r>
    <n v="27830784"/>
    <x v="0"/>
    <x v="1845"/>
    <s v="FZ 620_2022-07-29T14x10x00"/>
    <s v="B737/8-MAX"/>
    <x v="1"/>
    <x v="34"/>
    <x v="3"/>
    <s v="Operational"/>
    <s v="FZ 620"/>
    <m/>
    <m/>
    <m/>
    <m/>
    <x v="0"/>
    <x v="0"/>
  </r>
  <r>
    <n v="27830789"/>
    <x v="0"/>
    <x v="1846"/>
    <s v="FZ 620_2022-07-29T14x10x00"/>
    <s v="B737/8-MAX"/>
    <x v="1"/>
    <x v="34"/>
    <x v="4"/>
    <s v="Operational"/>
    <s v="FZ 620"/>
    <m/>
    <m/>
    <m/>
    <m/>
    <x v="0"/>
    <x v="0"/>
  </r>
  <r>
    <n v="27830803"/>
    <x v="0"/>
    <x v="1847"/>
    <s v="PR 658_2022-07-29T14x05x00"/>
    <s v="A330/3"/>
    <x v="0"/>
    <x v="17"/>
    <x v="2"/>
    <s v="Operational"/>
    <s v="PR 658"/>
    <m/>
    <m/>
    <m/>
    <m/>
    <x v="0"/>
    <x v="0"/>
  </r>
  <r>
    <n v="27830814"/>
    <x v="0"/>
    <x v="1848"/>
    <s v="EK 509_2022-07-29T14x00x00"/>
    <s v="B777/3-ER"/>
    <x v="6"/>
    <x v="170"/>
    <x v="1"/>
    <s v="Operational"/>
    <s v="EK 509"/>
    <m/>
    <m/>
    <m/>
    <m/>
    <x v="0"/>
    <x v="0"/>
  </r>
  <r>
    <n v="27830829"/>
    <x v="0"/>
    <x v="1849"/>
    <s v="PR 658_2022-07-29T14x05x00"/>
    <s v="A330/3"/>
    <x v="0"/>
    <x v="17"/>
    <x v="0"/>
    <s v="Operational"/>
    <s v="PR 658"/>
    <m/>
    <m/>
    <m/>
    <m/>
    <x v="0"/>
    <x v="0"/>
  </r>
  <r>
    <n v="27830863"/>
    <x v="0"/>
    <x v="1850"/>
    <s v="J4 621_2022-07-29T14x00x00"/>
    <s v="B737/5"/>
    <x v="1"/>
    <x v="1"/>
    <x v="2"/>
    <s v="Operational"/>
    <s v="J4 621"/>
    <m/>
    <m/>
    <m/>
    <m/>
    <x v="0"/>
    <x v="0"/>
  </r>
  <r>
    <n v="27830866"/>
    <x v="0"/>
    <x v="1851"/>
    <s v="6E 084_2022-07-29T13x55x00"/>
    <s v="A320-NEO"/>
    <x v="0"/>
    <x v="9"/>
    <x v="1"/>
    <s v="Operational"/>
    <s v="6E 084"/>
    <m/>
    <m/>
    <m/>
    <m/>
    <x v="0"/>
    <x v="0"/>
  </r>
  <r>
    <n v="27830880"/>
    <x v="0"/>
    <x v="1852"/>
    <s v="AI 915_2022-07-29T15x00x00"/>
    <s v="B787/8"/>
    <x v="0"/>
    <x v="22"/>
    <x v="4"/>
    <s v="Operational"/>
    <s v="AI 915"/>
    <m/>
    <m/>
    <m/>
    <m/>
    <x v="0"/>
    <x v="0"/>
  </r>
  <r>
    <n v="27830902"/>
    <x v="0"/>
    <x v="1853"/>
    <s v="J4 621_2022-07-29T14x00x00"/>
    <s v="B737/5"/>
    <x v="1"/>
    <x v="1"/>
    <x v="0"/>
    <s v="Operational"/>
    <s v="J4 621"/>
    <m/>
    <m/>
    <m/>
    <m/>
    <x v="0"/>
    <x v="0"/>
  </r>
  <r>
    <n v="27830925"/>
    <x v="0"/>
    <x v="1854"/>
    <s v="FZ 867_2022-07-29T14x20x00"/>
    <s v="B737/8-MAX"/>
    <x v="1"/>
    <x v="116"/>
    <x v="1"/>
    <s v="Operational"/>
    <s v="FZ 867"/>
    <m/>
    <m/>
    <m/>
    <m/>
    <x v="0"/>
    <x v="0"/>
  </r>
  <r>
    <n v="27830950"/>
    <x v="0"/>
    <x v="1855"/>
    <s v="6E 021_2022-07-29T14x40x00"/>
    <s v="A320-NEO"/>
    <x v="0"/>
    <x v="113"/>
    <x v="3"/>
    <s v="Operational"/>
    <s v="6E 021"/>
    <m/>
    <m/>
    <m/>
    <m/>
    <x v="0"/>
    <x v="0"/>
  </r>
  <r>
    <n v="27830963"/>
    <x v="0"/>
    <x v="1856"/>
    <s v="EK 338_2022-07-29T14x35x00"/>
    <s v="B777/3-ER"/>
    <x v="4"/>
    <x v="20"/>
    <x v="4"/>
    <s v="Operational"/>
    <s v="EK 338"/>
    <m/>
    <m/>
    <m/>
    <m/>
    <x v="0"/>
    <x v="0"/>
  </r>
  <r>
    <n v="27830968"/>
    <x v="0"/>
    <x v="1857"/>
    <s v="AI 915_2022-07-29T15x00x00"/>
    <s v="B787/8"/>
    <x v="0"/>
    <x v="22"/>
    <x v="2"/>
    <s v="Operational"/>
    <s v="AI 915"/>
    <m/>
    <m/>
    <m/>
    <m/>
    <x v="0"/>
    <x v="0"/>
  </r>
  <r>
    <n v="27830982"/>
    <x v="0"/>
    <x v="1858"/>
    <s v="FZ 336_2022-07-29T13x45x00"/>
    <s v="B737/8"/>
    <x v="1"/>
    <x v="87"/>
    <x v="2"/>
    <s v="Operational"/>
    <s v="FZ 336"/>
    <m/>
    <m/>
    <m/>
    <m/>
    <x v="0"/>
    <x v="0"/>
  </r>
  <r>
    <n v="27830986"/>
    <x v="0"/>
    <x v="1859"/>
    <m/>
    <m/>
    <x v="2"/>
    <x v="79"/>
    <x v="6"/>
    <s v="Operational"/>
    <m/>
    <m/>
    <m/>
    <m/>
    <m/>
    <x v="0"/>
    <x v="0"/>
  </r>
  <r>
    <n v="27830997"/>
    <x v="0"/>
    <x v="1860"/>
    <s v="FZ 336_2022-07-29T13x45x00"/>
    <s v="B737/8"/>
    <x v="1"/>
    <x v="87"/>
    <x v="0"/>
    <s v="Operational"/>
    <s v="FZ 336"/>
    <m/>
    <m/>
    <m/>
    <m/>
    <x v="0"/>
    <x v="0"/>
  </r>
  <r>
    <n v="27831005"/>
    <x v="0"/>
    <x v="1861"/>
    <s v="AI 915_2022-07-29T15x00x00"/>
    <s v="B787/8"/>
    <x v="0"/>
    <x v="22"/>
    <x v="0"/>
    <s v="Operational"/>
    <s v="AI 915"/>
    <m/>
    <m/>
    <m/>
    <m/>
    <x v="0"/>
    <x v="0"/>
  </r>
  <r>
    <n v="27831041"/>
    <x v="0"/>
    <x v="1862"/>
    <m/>
    <m/>
    <x v="1"/>
    <x v="31"/>
    <x v="8"/>
    <s v="Operational"/>
    <m/>
    <m/>
    <m/>
    <m/>
    <m/>
    <x v="0"/>
    <x v="0"/>
  </r>
  <r>
    <n v="27831043"/>
    <x v="0"/>
    <x v="1862"/>
    <m/>
    <m/>
    <x v="1"/>
    <x v="31"/>
    <x v="9"/>
    <s v="Operational"/>
    <m/>
    <m/>
    <m/>
    <m/>
    <m/>
    <x v="0"/>
    <x v="0"/>
  </r>
  <r>
    <n v="27831049"/>
    <x v="0"/>
    <x v="1863"/>
    <s v="6E 021_2022-07-29T14x40x00"/>
    <s v="A320-NEO"/>
    <x v="0"/>
    <x v="113"/>
    <x v="4"/>
    <s v="Operational"/>
    <s v="6E 021"/>
    <m/>
    <m/>
    <m/>
    <m/>
    <x v="0"/>
    <x v="0"/>
  </r>
  <r>
    <n v="27831090"/>
    <x v="0"/>
    <x v="1864"/>
    <s v="EK 817_2022-07-29T14x35x00"/>
    <s v="B777/3-ER"/>
    <x v="4"/>
    <x v="119"/>
    <x v="1"/>
    <s v="Operational"/>
    <s v="EK 817"/>
    <m/>
    <m/>
    <m/>
    <m/>
    <x v="0"/>
    <x v="0"/>
  </r>
  <r>
    <n v="27831104"/>
    <x v="0"/>
    <x v="1865"/>
    <s v="EK 338_2022-07-29T14x35x00"/>
    <s v="B777/3-ER"/>
    <x v="4"/>
    <x v="20"/>
    <x v="2"/>
    <s v="Operational"/>
    <m/>
    <m/>
    <m/>
    <m/>
    <m/>
    <x v="0"/>
    <x v="0"/>
  </r>
  <r>
    <n v="27831120"/>
    <x v="0"/>
    <x v="1866"/>
    <s v="EK 338_2022-07-29T14x35x00"/>
    <s v="B777/3-ER"/>
    <x v="4"/>
    <x v="20"/>
    <x v="0"/>
    <s v="Operational"/>
    <m/>
    <m/>
    <m/>
    <m/>
    <m/>
    <x v="0"/>
    <x v="0"/>
  </r>
  <r>
    <n v="27831143"/>
    <x v="0"/>
    <x v="1867"/>
    <s v="FZ 620_2022-07-29T14x10x00"/>
    <s v="B737/8-MAX"/>
    <x v="1"/>
    <x v="34"/>
    <x v="2"/>
    <s v="Operational"/>
    <s v="FZ 620"/>
    <m/>
    <m/>
    <m/>
    <m/>
    <x v="0"/>
    <x v="0"/>
  </r>
  <r>
    <n v="27831156"/>
    <x v="0"/>
    <x v="1868"/>
    <m/>
    <m/>
    <x v="8"/>
    <x v="133"/>
    <x v="6"/>
    <s v="Operational"/>
    <m/>
    <m/>
    <m/>
    <m/>
    <m/>
    <x v="0"/>
    <x v="0"/>
  </r>
  <r>
    <n v="27831168"/>
    <x v="0"/>
    <x v="1869"/>
    <s v="FZ 620_2022-07-29T14x10x00"/>
    <s v="B737/8-MAX"/>
    <x v="1"/>
    <x v="34"/>
    <x v="0"/>
    <s v="Operational"/>
    <s v="FZ 620"/>
    <m/>
    <m/>
    <m/>
    <m/>
    <x v="0"/>
    <x v="0"/>
  </r>
  <r>
    <n v="27831186"/>
    <x v="0"/>
    <x v="1870"/>
    <s v="PA 410_2022-07-29T13x10x00"/>
    <s v="A321"/>
    <x v="0"/>
    <x v="63"/>
    <x v="2"/>
    <s v="Operational"/>
    <s v="PA 410"/>
    <m/>
    <m/>
    <m/>
    <m/>
    <x v="0"/>
    <x v="0"/>
  </r>
  <r>
    <n v="27831200"/>
    <x v="0"/>
    <x v="1871"/>
    <s v="EK 236_2022-07-29T15x10x00"/>
    <s v="B777/3-ER"/>
    <x v="4"/>
    <x v="97"/>
    <x v="3"/>
    <s v="Operational"/>
    <s v="EK 236"/>
    <m/>
    <m/>
    <m/>
    <m/>
    <x v="0"/>
    <x v="0"/>
  </r>
  <r>
    <n v="27831205"/>
    <x v="0"/>
    <x v="1872"/>
    <s v="PA 410_2022-07-29T13x10x00"/>
    <s v="A321"/>
    <x v="0"/>
    <x v="63"/>
    <x v="0"/>
    <s v="Operational"/>
    <s v="PA 410"/>
    <m/>
    <m/>
    <m/>
    <m/>
    <x v="0"/>
    <x v="0"/>
  </r>
  <r>
    <n v="27831271"/>
    <x v="0"/>
    <x v="1873"/>
    <s v="IX 248_2022-07-29T14x25x00"/>
    <s v="B737/8"/>
    <x v="1"/>
    <x v="135"/>
    <x v="1"/>
    <s v="Operational"/>
    <s v="IX 248"/>
    <m/>
    <m/>
    <m/>
    <m/>
    <x v="0"/>
    <x v="0"/>
  </r>
  <r>
    <n v="27831290"/>
    <x v="0"/>
    <x v="1874"/>
    <s v="6E 021_2022-07-29T14x40x00"/>
    <s v="A320-NEO"/>
    <x v="0"/>
    <x v="113"/>
    <x v="2"/>
    <s v="Operational"/>
    <s v="6E 021"/>
    <m/>
    <m/>
    <m/>
    <m/>
    <x v="0"/>
    <x v="0"/>
  </r>
  <r>
    <n v="27831313"/>
    <x v="0"/>
    <x v="1875"/>
    <s v="6E 021_2022-07-29T14x40x00"/>
    <s v="A320-NEO"/>
    <x v="0"/>
    <x v="113"/>
    <x v="0"/>
    <s v="Operational"/>
    <s v="6E 021"/>
    <m/>
    <m/>
    <m/>
    <m/>
    <x v="0"/>
    <x v="0"/>
  </r>
  <r>
    <n v="27831337"/>
    <x v="0"/>
    <x v="1876"/>
    <s v="FZ 886_2022-07-29T14x45x00"/>
    <s v="B737/8"/>
    <x v="8"/>
    <x v="133"/>
    <x v="2"/>
    <s v="Operational"/>
    <s v="FZ 369"/>
    <m/>
    <m/>
    <m/>
    <m/>
    <x v="0"/>
    <x v="0"/>
  </r>
  <r>
    <n v="27831354"/>
    <x v="0"/>
    <x v="1877"/>
    <s v="FZ 886_2022-07-29T14x45x00"/>
    <s v="B737/8"/>
    <x v="8"/>
    <x v="133"/>
    <x v="0"/>
    <s v="Operational"/>
    <s v="FZ 369"/>
    <m/>
    <m/>
    <m/>
    <m/>
    <x v="0"/>
    <x v="0"/>
  </r>
  <r>
    <n v="27831369"/>
    <x v="0"/>
    <x v="1878"/>
    <s v="EK 236_2022-07-29T15x10x00"/>
    <s v="B777/3-ER"/>
    <x v="4"/>
    <x v="97"/>
    <x v="4"/>
    <s v="Operational"/>
    <s v="EK 236"/>
    <m/>
    <m/>
    <m/>
    <m/>
    <x v="0"/>
    <x v="0"/>
  </r>
  <r>
    <n v="27831420"/>
    <x v="0"/>
    <x v="1879"/>
    <s v="PK 224_2022-07-29T14x40x00"/>
    <s v="A320"/>
    <x v="0"/>
    <x v="29"/>
    <x v="1"/>
    <s v="Operational"/>
    <s v="PK 224"/>
    <m/>
    <m/>
    <m/>
    <m/>
    <x v="0"/>
    <x v="0"/>
  </r>
  <r>
    <n v="27831428"/>
    <x v="0"/>
    <x v="1880"/>
    <s v="FZ 047_2022-07-29T14x35x00"/>
    <s v="B737/8"/>
    <x v="1"/>
    <x v="11"/>
    <x v="1"/>
    <s v="Operational"/>
    <s v="FZ 047"/>
    <m/>
    <m/>
    <m/>
    <m/>
    <x v="0"/>
    <x v="0"/>
  </r>
  <r>
    <n v="27831468"/>
    <x v="0"/>
    <x v="1881"/>
    <s v="SV 560_2022-07-29T15x00x00"/>
    <s v="A330/3"/>
    <x v="0"/>
    <x v="61"/>
    <x v="3"/>
    <s v="Operational"/>
    <s v="SV 560"/>
    <m/>
    <m/>
    <m/>
    <m/>
    <x v="0"/>
    <x v="0"/>
  </r>
  <r>
    <n v="27831476"/>
    <x v="0"/>
    <x v="1882"/>
    <s v="OV 247_2022-07-29T14x55x00"/>
    <s v="A320-NEO"/>
    <x v="1"/>
    <x v="83"/>
    <x v="3"/>
    <s v="Operational"/>
    <s v="OV 247"/>
    <m/>
    <m/>
    <m/>
    <m/>
    <x v="0"/>
    <x v="0"/>
  </r>
  <r>
    <n v="27831480"/>
    <x v="0"/>
    <x v="1883"/>
    <s v="OV 247_2022-07-29T14x55x00"/>
    <s v="A320-NEO"/>
    <x v="1"/>
    <x v="83"/>
    <x v="4"/>
    <s v="Operational"/>
    <s v="OV 247"/>
    <m/>
    <m/>
    <m/>
    <m/>
    <x v="0"/>
    <x v="0"/>
  </r>
  <r>
    <n v="27831495"/>
    <x v="0"/>
    <x v="1884"/>
    <s v="EK 236_2022-07-29T15x10x00"/>
    <s v="B777/3-ER"/>
    <x v="4"/>
    <x v="97"/>
    <x v="2"/>
    <s v="Operational"/>
    <s v="EK 236"/>
    <m/>
    <m/>
    <m/>
    <m/>
    <x v="0"/>
    <x v="0"/>
  </r>
  <r>
    <n v="27831505"/>
    <x v="0"/>
    <x v="1885"/>
    <m/>
    <m/>
    <x v="1"/>
    <x v="110"/>
    <x v="6"/>
    <s v="Operational"/>
    <m/>
    <m/>
    <m/>
    <m/>
    <m/>
    <x v="0"/>
    <x v="0"/>
  </r>
  <r>
    <n v="27831510"/>
    <x v="0"/>
    <x v="1886"/>
    <s v="EK 236_2022-07-29T15x10x00"/>
    <s v="B777/3-ER"/>
    <x v="4"/>
    <x v="97"/>
    <x v="0"/>
    <s v="Operational"/>
    <s v="EK 236"/>
    <m/>
    <m/>
    <m/>
    <m/>
    <x v="0"/>
    <x v="0"/>
  </r>
  <r>
    <n v="27831535"/>
    <x v="0"/>
    <x v="1887"/>
    <s v="SV 560_2022-07-29T15x00x00"/>
    <s v="A330/3"/>
    <x v="0"/>
    <x v="61"/>
    <x v="4"/>
    <s v="Operational"/>
    <s v="SV 560"/>
    <m/>
    <m/>
    <m/>
    <m/>
    <x v="0"/>
    <x v="0"/>
  </r>
  <r>
    <n v="27831540"/>
    <x v="0"/>
    <x v="1888"/>
    <s v="EK 509_2022-07-29T14x45x00"/>
    <s v="B777/3-ER"/>
    <x v="2"/>
    <x v="79"/>
    <x v="2"/>
    <s v="Operational"/>
    <s v="EK 346"/>
    <m/>
    <m/>
    <m/>
    <m/>
    <x v="0"/>
    <x v="0"/>
  </r>
  <r>
    <n v="27831550"/>
    <x v="0"/>
    <x v="1889"/>
    <s v="FZ 540_2022-07-29T14x50x00"/>
    <s v="B737/8"/>
    <x v="8"/>
    <x v="108"/>
    <x v="3"/>
    <s v="Operational"/>
    <s v="FZ 540"/>
    <m/>
    <m/>
    <m/>
    <m/>
    <x v="0"/>
    <x v="0"/>
  </r>
  <r>
    <n v="27831558"/>
    <x v="0"/>
    <x v="1890"/>
    <s v="EK 509_2022-07-29T14x45x00"/>
    <s v="B777/3-ER"/>
    <x v="2"/>
    <x v="79"/>
    <x v="0"/>
    <s v="Operational"/>
    <s v="EK 346"/>
    <m/>
    <m/>
    <m/>
    <m/>
    <x v="0"/>
    <x v="0"/>
  </r>
  <r>
    <n v="27831576"/>
    <x v="0"/>
    <x v="1891"/>
    <s v="FZ 540_2022-07-29T14x50x00"/>
    <s v="B737/8"/>
    <x v="8"/>
    <x v="108"/>
    <x v="4"/>
    <s v="Operational"/>
    <s v="FZ 540"/>
    <m/>
    <m/>
    <m/>
    <m/>
    <x v="0"/>
    <x v="0"/>
  </r>
  <r>
    <n v="27831579"/>
    <x v="0"/>
    <x v="1892"/>
    <s v="OV 247_2022-07-29T14x55x00"/>
    <s v="A320-NEO"/>
    <x v="1"/>
    <x v="83"/>
    <x v="2"/>
    <s v="Operational"/>
    <s v="OV 247"/>
    <m/>
    <m/>
    <m/>
    <m/>
    <x v="0"/>
    <x v="0"/>
  </r>
  <r>
    <n v="27831603"/>
    <x v="0"/>
    <x v="1893"/>
    <s v="OV 247_2022-07-29T14x55x00"/>
    <s v="A320-NEO"/>
    <x v="1"/>
    <x v="83"/>
    <x v="0"/>
    <s v="Operational"/>
    <s v="OV 247"/>
    <m/>
    <m/>
    <m/>
    <m/>
    <x v="0"/>
    <x v="0"/>
  </r>
  <r>
    <n v="27831674"/>
    <x v="0"/>
    <x v="1894"/>
    <s v="XY 207_2022-07-29T14x55x00"/>
    <s v="A320-NEO"/>
    <x v="0"/>
    <x v="9"/>
    <x v="3"/>
    <s v="Operational"/>
    <s v="XY 207"/>
    <m/>
    <m/>
    <m/>
    <m/>
    <x v="0"/>
    <x v="0"/>
  </r>
  <r>
    <n v="27831688"/>
    <x v="0"/>
    <x v="1895"/>
    <s v="CA 663_2022-07-29T15x25x00"/>
    <s v="A330/3"/>
    <x v="5"/>
    <x v="98"/>
    <x v="3"/>
    <s v="Operational"/>
    <s v="CA 663"/>
    <m/>
    <m/>
    <m/>
    <m/>
    <x v="0"/>
    <x v="0"/>
  </r>
  <r>
    <n v="27831720"/>
    <x v="0"/>
    <x v="1896"/>
    <s v="XY 207_2022-07-29T14x55x00"/>
    <s v="A320-NEO"/>
    <x v="0"/>
    <x v="9"/>
    <x v="10"/>
    <s v="Operational"/>
    <s v="XY 207"/>
    <m/>
    <m/>
    <m/>
    <m/>
    <x v="0"/>
    <x v="0"/>
  </r>
  <r>
    <n v="27831721"/>
    <x v="0"/>
    <x v="1896"/>
    <s v="XY 207_2022-07-29T14x55x00"/>
    <s v="A320-NEO"/>
    <x v="0"/>
    <x v="9"/>
    <x v="11"/>
    <s v="Operational"/>
    <s v="XY 207"/>
    <m/>
    <m/>
    <m/>
    <m/>
    <x v="0"/>
    <x v="0"/>
  </r>
  <r>
    <n v="27831730"/>
    <x v="0"/>
    <x v="1897"/>
    <s v="FZ 540_2022-07-29T14x50x00"/>
    <s v="B737/8"/>
    <x v="8"/>
    <x v="108"/>
    <x v="2"/>
    <s v="Operational"/>
    <s v="FZ 540"/>
    <m/>
    <m/>
    <m/>
    <m/>
    <x v="0"/>
    <x v="0"/>
  </r>
  <r>
    <n v="27831746"/>
    <x v="0"/>
    <x v="1898"/>
    <s v="FZ 540_2022-07-29T14x50x00"/>
    <s v="B737/8"/>
    <x v="8"/>
    <x v="108"/>
    <x v="0"/>
    <s v="Operational"/>
    <s v="FZ 540"/>
    <m/>
    <m/>
    <m/>
    <m/>
    <x v="0"/>
    <x v="0"/>
  </r>
  <r>
    <n v="27831767"/>
    <x v="0"/>
    <x v="1899"/>
    <s v="FZ 060_2022-07-29T14x55x00"/>
    <s v="B737/8"/>
    <x v="1"/>
    <x v="52"/>
    <x v="3"/>
    <s v="Operational"/>
    <s v="FZ 060"/>
    <m/>
    <m/>
    <m/>
    <m/>
    <x v="0"/>
    <x v="0"/>
  </r>
  <r>
    <n v="27831770"/>
    <x v="0"/>
    <x v="1900"/>
    <s v="FZ 060_2022-07-29T14x55x00"/>
    <s v="B737/8"/>
    <x v="1"/>
    <x v="52"/>
    <x v="4"/>
    <s v="Operational"/>
    <s v="FZ 060"/>
    <m/>
    <m/>
    <m/>
    <m/>
    <x v="0"/>
    <x v="0"/>
  </r>
  <r>
    <n v="27831787"/>
    <x v="0"/>
    <x v="1901"/>
    <m/>
    <m/>
    <x v="1"/>
    <x v="93"/>
    <x v="13"/>
    <s v="Operational"/>
    <m/>
    <m/>
    <m/>
    <m/>
    <m/>
    <x v="0"/>
    <x v="0"/>
  </r>
  <r>
    <n v="27831820"/>
    <x v="0"/>
    <x v="1902"/>
    <s v="FZ 712_2022-07-29T14x40x00"/>
    <s v="B737/8"/>
    <x v="1"/>
    <x v="96"/>
    <x v="3"/>
    <s v="Operational"/>
    <s v="FZ 712"/>
    <m/>
    <m/>
    <m/>
    <m/>
    <x v="0"/>
    <x v="0"/>
  </r>
  <r>
    <n v="27831823"/>
    <x v="0"/>
    <x v="1903"/>
    <s v="FZ 712_2022-07-29T14x40x00"/>
    <s v="B737/8"/>
    <x v="1"/>
    <x v="96"/>
    <x v="4"/>
    <s v="Operational"/>
    <s v="FZ 712"/>
    <m/>
    <m/>
    <m/>
    <m/>
    <x v="0"/>
    <x v="0"/>
  </r>
  <r>
    <n v="27831829"/>
    <x v="0"/>
    <x v="1904"/>
    <s v="SV 560_2022-07-29T15x00x00"/>
    <s v="A330/3"/>
    <x v="0"/>
    <x v="61"/>
    <x v="2"/>
    <s v="Operational"/>
    <s v="SV 560"/>
    <m/>
    <m/>
    <m/>
    <m/>
    <x v="0"/>
    <x v="0"/>
  </r>
  <r>
    <n v="27831830"/>
    <x v="0"/>
    <x v="1904"/>
    <s v="FZ 712_2022-07-29T14x40x00"/>
    <s v="B737/8"/>
    <x v="1"/>
    <x v="96"/>
    <x v="15"/>
    <s v="Technical"/>
    <s v="FZ 712"/>
    <m/>
    <m/>
    <m/>
    <m/>
    <x v="0"/>
    <x v="0"/>
  </r>
  <r>
    <n v="27831850"/>
    <x v="0"/>
    <x v="1905"/>
    <s v="SV 560_2022-07-29T15x00x00"/>
    <s v="A330/3"/>
    <x v="0"/>
    <x v="61"/>
    <x v="0"/>
    <s v="Operational"/>
    <s v="SV 560"/>
    <m/>
    <m/>
    <m/>
    <m/>
    <x v="0"/>
    <x v="0"/>
  </r>
  <r>
    <n v="27831861"/>
    <x v="0"/>
    <x v="1906"/>
    <s v="FZ 712_2022-07-29T14x40x00"/>
    <s v="B737/8"/>
    <x v="1"/>
    <x v="96"/>
    <x v="17"/>
    <s v="Technical"/>
    <s v="FZ 712"/>
    <m/>
    <m/>
    <m/>
    <m/>
    <x v="0"/>
    <x v="0"/>
  </r>
  <r>
    <n v="27831919"/>
    <x v="0"/>
    <x v="1907"/>
    <s v="EK 927_2022-07-30T04x15x00"/>
    <s v="B777/3-ER"/>
    <x v="3"/>
    <x v="85"/>
    <x v="1"/>
    <s v="Operational"/>
    <m/>
    <m/>
    <m/>
    <m/>
    <m/>
    <x v="0"/>
    <x v="0"/>
  </r>
  <r>
    <n v="27831936"/>
    <x v="0"/>
    <x v="1908"/>
    <s v="XY 507_2022-07-29T14x40x00"/>
    <s v="A320"/>
    <x v="0"/>
    <x v="63"/>
    <x v="3"/>
    <s v="Operational"/>
    <s v="XY 507"/>
    <m/>
    <m/>
    <m/>
    <m/>
    <x v="0"/>
    <x v="0"/>
  </r>
  <r>
    <n v="27831943"/>
    <x v="0"/>
    <x v="1909"/>
    <m/>
    <s v="A380/8"/>
    <x v="1"/>
    <x v="110"/>
    <x v="2"/>
    <s v="Operational"/>
    <m/>
    <m/>
    <m/>
    <m/>
    <m/>
    <x v="0"/>
    <x v="0"/>
  </r>
  <r>
    <n v="27831962"/>
    <x v="0"/>
    <x v="1910"/>
    <s v="KU 674_2022-07-29T14x55x00"/>
    <s v="A320-NEO"/>
    <x v="0"/>
    <x v="92"/>
    <x v="1"/>
    <s v="Operational"/>
    <s v="KU 674"/>
    <m/>
    <m/>
    <m/>
    <m/>
    <x v="0"/>
    <x v="0"/>
  </r>
  <r>
    <n v="27831964"/>
    <x v="0"/>
    <x v="1910"/>
    <m/>
    <s v="A380/8"/>
    <x v="1"/>
    <x v="110"/>
    <x v="0"/>
    <s v="Operational"/>
    <m/>
    <m/>
    <m/>
    <m/>
    <m/>
    <x v="0"/>
    <x v="0"/>
  </r>
  <r>
    <n v="27831984"/>
    <x v="0"/>
    <x v="1911"/>
    <s v="XY 207_2022-07-29T14x55x00"/>
    <s v="A320-NEO"/>
    <x v="0"/>
    <x v="9"/>
    <x v="2"/>
    <s v="Operational"/>
    <s v="XY 207"/>
    <m/>
    <m/>
    <m/>
    <m/>
    <x v="0"/>
    <x v="0"/>
  </r>
  <r>
    <n v="27831996"/>
    <x v="0"/>
    <x v="1912"/>
    <m/>
    <m/>
    <x v="2"/>
    <x v="36"/>
    <x v="6"/>
    <s v="Operational"/>
    <m/>
    <m/>
    <m/>
    <m/>
    <m/>
    <x v="0"/>
    <x v="0"/>
  </r>
  <r>
    <n v="27832002"/>
    <x v="0"/>
    <x v="1913"/>
    <s v="XY 207_2022-07-29T14x55x00"/>
    <s v="A320-NEO"/>
    <x v="0"/>
    <x v="9"/>
    <x v="0"/>
    <s v="Operational"/>
    <s v="XY 207"/>
    <m/>
    <m/>
    <m/>
    <m/>
    <x v="0"/>
    <x v="0"/>
  </r>
  <r>
    <n v="27832011"/>
    <x v="0"/>
    <x v="1914"/>
    <s v="XY 507_2022-07-29T14x40x00"/>
    <s v="A320"/>
    <x v="0"/>
    <x v="63"/>
    <x v="10"/>
    <s v="Operational"/>
    <s v="XY 507"/>
    <m/>
    <m/>
    <m/>
    <m/>
    <x v="0"/>
    <x v="0"/>
  </r>
  <r>
    <n v="27832012"/>
    <x v="0"/>
    <x v="1915"/>
    <s v="XY 507_2022-07-29T14x40x00"/>
    <s v="A320"/>
    <x v="0"/>
    <x v="63"/>
    <x v="11"/>
    <s v="Operational"/>
    <s v="XY 507"/>
    <m/>
    <m/>
    <m/>
    <m/>
    <x v="0"/>
    <x v="0"/>
  </r>
  <r>
    <n v="27832029"/>
    <x v="0"/>
    <x v="1916"/>
    <m/>
    <m/>
    <x v="1"/>
    <x v="93"/>
    <x v="14"/>
    <s v="Operational"/>
    <m/>
    <m/>
    <m/>
    <m/>
    <m/>
    <x v="0"/>
    <x v="0"/>
  </r>
  <r>
    <n v="27832038"/>
    <x v="0"/>
    <x v="1917"/>
    <s v="FZ 060_2022-07-29T14x55x00"/>
    <s v="B737/8"/>
    <x v="1"/>
    <x v="52"/>
    <x v="2"/>
    <s v="Operational"/>
    <s v="FZ 060"/>
    <m/>
    <m/>
    <m/>
    <m/>
    <x v="0"/>
    <x v="0"/>
  </r>
  <r>
    <n v="27832039"/>
    <x v="0"/>
    <x v="1918"/>
    <s v="CA 663_2022-07-29T15x25x00"/>
    <s v="A330/3"/>
    <x v="5"/>
    <x v="98"/>
    <x v="4"/>
    <s v="Operational"/>
    <s v="CA 663"/>
    <m/>
    <m/>
    <m/>
    <m/>
    <x v="0"/>
    <x v="0"/>
  </r>
  <r>
    <n v="27832049"/>
    <x v="0"/>
    <x v="1919"/>
    <s v="FZ 060_2022-07-29T14x55x00"/>
    <s v="B737/8"/>
    <x v="1"/>
    <x v="52"/>
    <x v="0"/>
    <s v="Operational"/>
    <s v="FZ 060"/>
    <m/>
    <m/>
    <m/>
    <m/>
    <x v="0"/>
    <x v="0"/>
  </r>
  <r>
    <n v="27832062"/>
    <x v="0"/>
    <x v="1920"/>
    <m/>
    <m/>
    <x v="1"/>
    <x v="93"/>
    <x v="13"/>
    <s v="Operational"/>
    <m/>
    <m/>
    <m/>
    <m/>
    <m/>
    <x v="0"/>
    <x v="0"/>
  </r>
  <r>
    <n v="27832099"/>
    <x v="0"/>
    <x v="1921"/>
    <s v="FZ 712_2022-07-29T14x40x00"/>
    <s v="B737/8"/>
    <x v="1"/>
    <x v="96"/>
    <x v="2"/>
    <s v="Operational"/>
    <s v="FZ 712"/>
    <m/>
    <m/>
    <m/>
    <m/>
    <x v="0"/>
    <x v="0"/>
  </r>
  <r>
    <n v="27832107"/>
    <x v="0"/>
    <x v="1922"/>
    <m/>
    <m/>
    <x v="1"/>
    <x v="93"/>
    <x v="14"/>
    <s v="Operational"/>
    <m/>
    <m/>
    <m/>
    <m/>
    <m/>
    <x v="0"/>
    <x v="0"/>
  </r>
  <r>
    <n v="27832111"/>
    <x v="0"/>
    <x v="1923"/>
    <s v="FZ 712_2022-07-29T14x40x00"/>
    <s v="B737/8"/>
    <x v="1"/>
    <x v="96"/>
    <x v="0"/>
    <s v="Operational"/>
    <s v="FZ 712"/>
    <m/>
    <m/>
    <m/>
    <m/>
    <x v="0"/>
    <x v="0"/>
  </r>
  <r>
    <n v="27832127"/>
    <x v="0"/>
    <x v="1924"/>
    <m/>
    <m/>
    <x v="1"/>
    <x v="93"/>
    <x v="6"/>
    <s v="Operational"/>
    <m/>
    <m/>
    <m/>
    <m/>
    <m/>
    <x v="0"/>
    <x v="0"/>
  </r>
  <r>
    <n v="27832141"/>
    <x v="0"/>
    <x v="1925"/>
    <s v="FZ 752_2022-07-29T15x05x00"/>
    <s v="B737/8-MAX"/>
    <x v="5"/>
    <x v="71"/>
    <x v="3"/>
    <s v="Operational"/>
    <s v="FZ 752"/>
    <m/>
    <m/>
    <m/>
    <m/>
    <x v="0"/>
    <x v="0"/>
  </r>
  <r>
    <n v="27832148"/>
    <x v="0"/>
    <x v="1926"/>
    <s v="FX 008_2022-07-30T00x55x00"/>
    <s v="B777/3"/>
    <x v="1"/>
    <x v="93"/>
    <x v="15"/>
    <s v="Technical"/>
    <m/>
    <m/>
    <m/>
    <m/>
    <m/>
    <x v="0"/>
    <x v="0"/>
  </r>
  <r>
    <n v="27832153"/>
    <x v="0"/>
    <x v="1927"/>
    <s v="FX 008_2022-07-30T00x55x00"/>
    <s v="B777/3"/>
    <x v="1"/>
    <x v="93"/>
    <x v="17"/>
    <s v="Technical"/>
    <m/>
    <m/>
    <m/>
    <m/>
    <m/>
    <x v="0"/>
    <x v="0"/>
  </r>
  <r>
    <n v="27832158"/>
    <x v="0"/>
    <x v="1928"/>
    <s v="FX 008_2022-07-30T00x55x00"/>
    <s v="B777/3"/>
    <x v="1"/>
    <x v="93"/>
    <x v="23"/>
    <s v="Operational"/>
    <m/>
    <m/>
    <m/>
    <m/>
    <m/>
    <x v="0"/>
    <x v="0"/>
  </r>
  <r>
    <n v="27832176"/>
    <x v="0"/>
    <x v="1929"/>
    <s v="CA 663_2022-07-29T15x25x00"/>
    <s v="A330/3"/>
    <x v="5"/>
    <x v="98"/>
    <x v="2"/>
    <s v="Operational"/>
    <s v="CA 663"/>
    <m/>
    <m/>
    <m/>
    <m/>
    <x v="0"/>
    <x v="0"/>
  </r>
  <r>
    <n v="27832182"/>
    <x v="0"/>
    <x v="1930"/>
    <s v="EK 606_2022-07-29T17x35x00"/>
    <s v="B777/3-ER"/>
    <x v="4"/>
    <x v="123"/>
    <x v="24"/>
    <s v="Operational"/>
    <m/>
    <m/>
    <m/>
    <m/>
    <m/>
    <x v="0"/>
    <x v="0"/>
  </r>
  <r>
    <n v="27832186"/>
    <x v="0"/>
    <x v="1931"/>
    <s v="CA 663_2022-07-29T15x25x00"/>
    <s v="A330/3"/>
    <x v="5"/>
    <x v="98"/>
    <x v="0"/>
    <s v="Operational"/>
    <s v="CA 663"/>
    <m/>
    <m/>
    <m/>
    <m/>
    <x v="0"/>
    <x v="0"/>
  </r>
  <r>
    <n v="27832206"/>
    <x v="0"/>
    <x v="1932"/>
    <m/>
    <m/>
    <x v="6"/>
    <x v="75"/>
    <x v="6"/>
    <s v="Operational"/>
    <m/>
    <m/>
    <m/>
    <m/>
    <m/>
    <x v="0"/>
    <x v="0"/>
  </r>
  <r>
    <n v="27832230"/>
    <x v="0"/>
    <x v="1933"/>
    <s v="EK 238_2022-07-29T15x25x00"/>
    <s v="B777/3-ER"/>
    <x v="3"/>
    <x v="59"/>
    <x v="3"/>
    <s v="Operational"/>
    <s v="EK 238"/>
    <m/>
    <m/>
    <m/>
    <m/>
    <x v="0"/>
    <x v="0"/>
  </r>
  <r>
    <n v="27832251"/>
    <x v="0"/>
    <x v="1934"/>
    <m/>
    <m/>
    <x v="4"/>
    <x v="123"/>
    <x v="25"/>
    <s v="Operational"/>
    <m/>
    <m/>
    <m/>
    <m/>
    <m/>
    <x v="0"/>
    <x v="0"/>
  </r>
  <r>
    <n v="27832257"/>
    <x v="0"/>
    <x v="1935"/>
    <s v="XY 507_2022-07-29T14x40x00"/>
    <s v="A320"/>
    <x v="0"/>
    <x v="63"/>
    <x v="2"/>
    <s v="Operational"/>
    <s v="XY 507"/>
    <m/>
    <m/>
    <m/>
    <m/>
    <x v="0"/>
    <x v="0"/>
  </r>
  <r>
    <n v="27832276"/>
    <x v="0"/>
    <x v="1936"/>
    <s v="XY 507_2022-07-29T14x40x00"/>
    <s v="A320"/>
    <x v="0"/>
    <x v="63"/>
    <x v="0"/>
    <s v="Operational"/>
    <s v="XY 507"/>
    <m/>
    <m/>
    <m/>
    <m/>
    <x v="0"/>
    <x v="0"/>
  </r>
  <r>
    <n v="27832286"/>
    <x v="0"/>
    <x v="1937"/>
    <s v="GF 509_2022-07-29T15x10x00"/>
    <s v="A320-NEO"/>
    <x v="0"/>
    <x v="40"/>
    <x v="1"/>
    <s v="Operational"/>
    <s v="GF 509"/>
    <m/>
    <m/>
    <m/>
    <m/>
    <x v="0"/>
    <x v="0"/>
  </r>
  <r>
    <n v="27832300"/>
    <x v="0"/>
    <x v="1938"/>
    <s v="FZ 459_2022-07-29T14x30x00"/>
    <s v="B737/8"/>
    <x v="8"/>
    <x v="171"/>
    <x v="1"/>
    <s v="Operational"/>
    <s v="FZ 459"/>
    <m/>
    <m/>
    <m/>
    <m/>
    <x v="0"/>
    <x v="0"/>
  </r>
  <r>
    <n v="27832337"/>
    <x v="0"/>
    <x v="1939"/>
    <s v="FZ 752_2022-07-29T15x05x00"/>
    <s v="B737/8-MAX"/>
    <x v="5"/>
    <x v="71"/>
    <x v="4"/>
    <s v="Operational"/>
    <s v="FZ 752"/>
    <m/>
    <m/>
    <m/>
    <m/>
    <x v="0"/>
    <x v="0"/>
  </r>
  <r>
    <n v="27832347"/>
    <x v="0"/>
    <x v="1940"/>
    <s v="EK 238_2022-07-29T15x25x00"/>
    <s v="B777/3-ER"/>
    <x v="3"/>
    <x v="59"/>
    <x v="4"/>
    <s v="Operational"/>
    <s v="EK 238"/>
    <m/>
    <m/>
    <m/>
    <m/>
    <x v="0"/>
    <x v="0"/>
  </r>
  <r>
    <n v="27832367"/>
    <x v="0"/>
    <x v="1941"/>
    <m/>
    <m/>
    <x v="4"/>
    <x v="13"/>
    <x v="6"/>
    <s v="Operational"/>
    <m/>
    <m/>
    <m/>
    <m/>
    <m/>
    <x v="0"/>
    <x v="0"/>
  </r>
  <r>
    <n v="27832411"/>
    <x v="0"/>
    <x v="1942"/>
    <s v="EK 858_2022-07-30T05x00x00"/>
    <s v="B777/3-ER"/>
    <x v="7"/>
    <x v="132"/>
    <x v="1"/>
    <s v="Operational"/>
    <m/>
    <m/>
    <m/>
    <m/>
    <m/>
    <x v="0"/>
    <x v="0"/>
  </r>
  <r>
    <n v="27832451"/>
    <x v="0"/>
    <x v="1943"/>
    <s v="EK 046_2022-07-29T09x10x00"/>
    <s v="B777/3-ER"/>
    <x v="3"/>
    <x v="84"/>
    <x v="1"/>
    <s v="Operational"/>
    <m/>
    <m/>
    <m/>
    <m/>
    <m/>
    <x v="0"/>
    <x v="0"/>
  </r>
  <r>
    <n v="27832465"/>
    <x v="0"/>
    <x v="1944"/>
    <s v="EK 212_2022-07-29T15x45x00"/>
    <s v="B777/2-LR"/>
    <x v="4"/>
    <x v="70"/>
    <x v="3"/>
    <s v="Operational"/>
    <s v="EK 212"/>
    <m/>
    <m/>
    <m/>
    <m/>
    <x v="0"/>
    <x v="0"/>
  </r>
  <r>
    <n v="27832486"/>
    <x v="0"/>
    <x v="1945"/>
    <s v="FZ 018_2022-07-29T15x15x00"/>
    <s v="B737/8-MAX"/>
    <x v="8"/>
    <x v="168"/>
    <x v="3"/>
    <s v="Operational"/>
    <s v="FZ 018"/>
    <m/>
    <m/>
    <m/>
    <m/>
    <x v="0"/>
    <x v="0"/>
  </r>
  <r>
    <n v="27832508"/>
    <x v="0"/>
    <x v="1946"/>
    <s v="FZ 752_2022-07-29T15x05x00"/>
    <s v="B737/8-MAX"/>
    <x v="5"/>
    <x v="71"/>
    <x v="2"/>
    <s v="Operational"/>
    <s v="FZ 752"/>
    <m/>
    <m/>
    <m/>
    <m/>
    <x v="0"/>
    <x v="0"/>
  </r>
  <r>
    <n v="27832525"/>
    <x v="0"/>
    <x v="1947"/>
    <s v="EK 725_2022-07-30T05x30x00"/>
    <s v="B777/3-ER"/>
    <x v="6"/>
    <x v="75"/>
    <x v="2"/>
    <s v="Operational"/>
    <m/>
    <m/>
    <m/>
    <m/>
    <m/>
    <x v="0"/>
    <x v="0"/>
  </r>
  <r>
    <n v="27832526"/>
    <x v="0"/>
    <x v="1948"/>
    <s v="FZ 752_2022-07-29T15x05x00"/>
    <s v="B737/8-MAX"/>
    <x v="5"/>
    <x v="71"/>
    <x v="0"/>
    <s v="Operational"/>
    <s v="FZ 752"/>
    <m/>
    <m/>
    <m/>
    <m/>
    <x v="0"/>
    <x v="0"/>
  </r>
  <r>
    <n v="27832547"/>
    <x v="0"/>
    <x v="1949"/>
    <s v="EK 212_2022-07-29T15x45x00"/>
    <s v="B777/2-LR"/>
    <x v="4"/>
    <x v="70"/>
    <x v="4"/>
    <s v="Operational"/>
    <s v="EK 212"/>
    <m/>
    <m/>
    <m/>
    <m/>
    <x v="0"/>
    <x v="0"/>
  </r>
  <r>
    <n v="27832549"/>
    <x v="0"/>
    <x v="1950"/>
    <s v="EK 725_2022-07-30T05x30x00"/>
    <s v="B777/3-ER"/>
    <x v="6"/>
    <x v="75"/>
    <x v="0"/>
    <s v="Operational"/>
    <m/>
    <m/>
    <m/>
    <m/>
    <m/>
    <x v="0"/>
    <x v="0"/>
  </r>
  <r>
    <n v="27832554"/>
    <x v="0"/>
    <x v="1951"/>
    <s v="EK 563_2022-07-29T15x30x00"/>
    <s v="B777/2-LR"/>
    <x v="2"/>
    <x v="36"/>
    <x v="2"/>
    <s v="Operational"/>
    <m/>
    <m/>
    <m/>
    <m/>
    <m/>
    <x v="0"/>
    <x v="0"/>
  </r>
  <r>
    <n v="27832566"/>
    <x v="0"/>
    <x v="1952"/>
    <m/>
    <m/>
    <x v="6"/>
    <x v="161"/>
    <x v="6"/>
    <s v="Operational"/>
    <m/>
    <m/>
    <m/>
    <m/>
    <m/>
    <x v="0"/>
    <x v="0"/>
  </r>
  <r>
    <n v="27832574"/>
    <x v="0"/>
    <x v="1953"/>
    <s v="EK 606_2022-07-29T17x35x00"/>
    <s v="B777/3-ER"/>
    <x v="4"/>
    <x v="123"/>
    <x v="19"/>
    <s v="Operational"/>
    <s v="EK 606"/>
    <m/>
    <m/>
    <m/>
    <m/>
    <x v="0"/>
    <x v="0"/>
  </r>
  <r>
    <n v="27832583"/>
    <x v="0"/>
    <x v="1954"/>
    <s v="EK 563_2022-07-29T15x30x00"/>
    <s v="B777/2-LR"/>
    <x v="2"/>
    <x v="36"/>
    <x v="0"/>
    <s v="Operational"/>
    <m/>
    <m/>
    <m/>
    <m/>
    <m/>
    <x v="0"/>
    <x v="0"/>
  </r>
  <r>
    <n v="27832596"/>
    <x v="0"/>
    <x v="1955"/>
    <s v="UK 202_2022-07-29T15x15x00"/>
    <s v="A321-NEO"/>
    <x v="0"/>
    <x v="9"/>
    <x v="1"/>
    <s v="Operational"/>
    <s v="UK 202"/>
    <m/>
    <m/>
    <m/>
    <m/>
    <x v="0"/>
    <x v="0"/>
  </r>
  <r>
    <n v="27832618"/>
    <x v="0"/>
    <x v="1956"/>
    <s v="SEP 702_2022-07-29T14x00x00"/>
    <s v="B737/8"/>
    <x v="0"/>
    <x v="50"/>
    <x v="1"/>
    <s v="Operational"/>
    <s v="SEP 702"/>
    <m/>
    <m/>
    <m/>
    <m/>
    <x v="0"/>
    <x v="0"/>
  </r>
  <r>
    <n v="27832632"/>
    <x v="0"/>
    <x v="1957"/>
    <s v="KU 675_2022-07-29T15x55x00"/>
    <s v="A320-NEO"/>
    <x v="0"/>
    <x v="3"/>
    <x v="3"/>
    <s v="Operational"/>
    <s v="KU 675"/>
    <m/>
    <m/>
    <m/>
    <m/>
    <x v="0"/>
    <x v="0"/>
  </r>
  <r>
    <n v="27832643"/>
    <x v="0"/>
    <x v="1958"/>
    <s v="EK 044_2022-07-29T15x20x00"/>
    <s v="B777/3-ER"/>
    <x v="4"/>
    <x v="141"/>
    <x v="3"/>
    <s v="Operational"/>
    <s v="EK 044"/>
    <m/>
    <m/>
    <m/>
    <m/>
    <x v="0"/>
    <x v="0"/>
  </r>
  <r>
    <n v="27832671"/>
    <x v="0"/>
    <x v="1959"/>
    <s v="FZ 018_2022-07-29T15x15x00"/>
    <s v="B737/8-MAX"/>
    <x v="8"/>
    <x v="168"/>
    <x v="4"/>
    <s v="Operational"/>
    <s v="FZ 018"/>
    <m/>
    <m/>
    <m/>
    <m/>
    <x v="0"/>
    <x v="0"/>
  </r>
  <r>
    <n v="27832684"/>
    <x v="0"/>
    <x v="1960"/>
    <s v="EK 214_2022-07-29T15x25x00"/>
    <s v="B777/3-ER"/>
    <x v="4"/>
    <x v="13"/>
    <x v="2"/>
    <s v="Operational"/>
    <m/>
    <m/>
    <m/>
    <m/>
    <m/>
    <x v="0"/>
    <x v="0"/>
  </r>
  <r>
    <n v="27832693"/>
    <x v="0"/>
    <x v="1961"/>
    <s v="EK 238_2022-07-29T15x25x00"/>
    <s v="B777/3-ER"/>
    <x v="3"/>
    <x v="59"/>
    <x v="2"/>
    <s v="Operational"/>
    <s v="EK 238"/>
    <m/>
    <m/>
    <m/>
    <m/>
    <x v="0"/>
    <x v="0"/>
  </r>
  <r>
    <n v="27832698"/>
    <x v="0"/>
    <x v="1962"/>
    <s v="EK 214_2022-07-29T15x25x00"/>
    <s v="B777/3-ER"/>
    <x v="4"/>
    <x v="13"/>
    <x v="0"/>
    <s v="Operational"/>
    <m/>
    <m/>
    <m/>
    <m/>
    <m/>
    <x v="0"/>
    <x v="0"/>
  </r>
  <r>
    <n v="27832717"/>
    <x v="0"/>
    <x v="1963"/>
    <s v="EK 238_2022-07-29T15x25x00"/>
    <s v="B777/3-ER"/>
    <x v="3"/>
    <x v="59"/>
    <x v="0"/>
    <s v="Operational"/>
    <s v="EK 238"/>
    <m/>
    <m/>
    <m/>
    <m/>
    <x v="0"/>
    <x v="0"/>
  </r>
  <r>
    <n v="27832732"/>
    <x v="0"/>
    <x v="1964"/>
    <s v="EK 212_2022-07-29T15x45x00"/>
    <s v="B777/2-LR"/>
    <x v="4"/>
    <x v="70"/>
    <x v="2"/>
    <s v="Operational"/>
    <s v="EK 212"/>
    <m/>
    <m/>
    <m/>
    <m/>
    <x v="0"/>
    <x v="0"/>
  </r>
  <r>
    <n v="27832733"/>
    <x v="0"/>
    <x v="1964"/>
    <s v="FZ 1749_2022-07-29T14x55x00"/>
    <s v="B737/8-MAX"/>
    <x v="5"/>
    <x v="33"/>
    <x v="1"/>
    <s v="Operational"/>
    <s v="FZ 1749"/>
    <m/>
    <m/>
    <m/>
    <m/>
    <x v="0"/>
    <x v="0"/>
  </r>
  <r>
    <n v="27832739"/>
    <x v="0"/>
    <x v="1965"/>
    <s v="EK 044_2022-07-29T15x20x00"/>
    <s v="B777/3-ER"/>
    <x v="4"/>
    <x v="141"/>
    <x v="4"/>
    <s v="Operational"/>
    <s v="EK 044"/>
    <m/>
    <m/>
    <m/>
    <m/>
    <x v="0"/>
    <x v="0"/>
  </r>
  <r>
    <n v="27832754"/>
    <x v="0"/>
    <x v="1966"/>
    <s v="FZ 018_2022-07-29T15x15x00"/>
    <s v="B737/8-MAX"/>
    <x v="8"/>
    <x v="168"/>
    <x v="2"/>
    <s v="Operational"/>
    <s v="FZ 018"/>
    <m/>
    <m/>
    <m/>
    <m/>
    <x v="0"/>
    <x v="0"/>
  </r>
  <r>
    <n v="27832755"/>
    <x v="0"/>
    <x v="1967"/>
    <s v="EK 212_2022-07-29T15x45x00"/>
    <s v="B777/2-LR"/>
    <x v="4"/>
    <x v="70"/>
    <x v="0"/>
    <s v="Operational"/>
    <s v="EK 212"/>
    <m/>
    <m/>
    <m/>
    <m/>
    <x v="0"/>
    <x v="0"/>
  </r>
  <r>
    <n v="27832786"/>
    <x v="0"/>
    <x v="1968"/>
    <s v="PA 110_2022-07-29T15x40x00"/>
    <s v="A320"/>
    <x v="0"/>
    <x v="3"/>
    <x v="3"/>
    <s v="Operational"/>
    <s v="PA 110"/>
    <m/>
    <m/>
    <m/>
    <m/>
    <x v="0"/>
    <x v="0"/>
  </r>
  <r>
    <n v="27832812"/>
    <x v="0"/>
    <x v="1969"/>
    <s v="FZ 018_2022-07-29T15x15x00"/>
    <s v="B737/8-MAX"/>
    <x v="8"/>
    <x v="168"/>
    <x v="0"/>
    <s v="Operational"/>
    <s v="FZ 018"/>
    <m/>
    <m/>
    <m/>
    <m/>
    <x v="0"/>
    <x v="0"/>
  </r>
  <r>
    <n v="27832823"/>
    <x v="0"/>
    <x v="1970"/>
    <s v="MS 905_2022-07-29T14x50x00"/>
    <s v="B777/3-ER"/>
    <x v="0"/>
    <x v="0"/>
    <x v="3"/>
    <s v="Operational"/>
    <s v="MS 905"/>
    <m/>
    <m/>
    <m/>
    <m/>
    <x v="0"/>
    <x v="0"/>
  </r>
  <r>
    <n v="27832862"/>
    <x v="0"/>
    <x v="1971"/>
    <m/>
    <m/>
    <x v="1"/>
    <x v="101"/>
    <x v="6"/>
    <s v="Operational"/>
    <m/>
    <m/>
    <m/>
    <m/>
    <m/>
    <x v="0"/>
    <x v="0"/>
  </r>
  <r>
    <n v="27832873"/>
    <x v="0"/>
    <x v="1972"/>
    <s v="KU 675_2022-07-29T15x55x00"/>
    <s v="A320-NEO"/>
    <x v="0"/>
    <x v="3"/>
    <x v="10"/>
    <s v="Operational"/>
    <s v="KU 675"/>
    <m/>
    <m/>
    <m/>
    <m/>
    <x v="0"/>
    <x v="0"/>
  </r>
  <r>
    <n v="27832875"/>
    <x v="0"/>
    <x v="1972"/>
    <s v="KU 675_2022-07-29T15x55x00"/>
    <s v="A320-NEO"/>
    <x v="0"/>
    <x v="3"/>
    <x v="11"/>
    <s v="Operational"/>
    <s v="KU 675"/>
    <m/>
    <m/>
    <m/>
    <m/>
    <x v="0"/>
    <x v="0"/>
  </r>
  <r>
    <n v="27832888"/>
    <x v="0"/>
    <x v="1973"/>
    <s v="MS 905_2022-07-29T14x50x00"/>
    <s v="B777/3-ER"/>
    <x v="0"/>
    <x v="0"/>
    <x v="4"/>
    <s v="Operational"/>
    <s v="MS 905"/>
    <m/>
    <m/>
    <m/>
    <m/>
    <x v="0"/>
    <x v="0"/>
  </r>
  <r>
    <n v="27832912"/>
    <x v="0"/>
    <x v="1974"/>
    <m/>
    <s v="B777/3-ER"/>
    <x v="6"/>
    <x v="161"/>
    <x v="2"/>
    <s v="Operational"/>
    <m/>
    <m/>
    <m/>
    <m/>
    <m/>
    <x v="0"/>
    <x v="0"/>
  </r>
  <r>
    <n v="27832931"/>
    <x v="0"/>
    <x v="1975"/>
    <s v="SG 018_2022-07-29T15x00x00"/>
    <s v="B737/8-MAX"/>
    <x v="0"/>
    <x v="57"/>
    <x v="1"/>
    <s v="Operational"/>
    <s v="SG 018"/>
    <m/>
    <m/>
    <m/>
    <m/>
    <x v="0"/>
    <x v="0"/>
  </r>
  <r>
    <n v="27832950"/>
    <x v="0"/>
    <x v="1976"/>
    <s v="PA 110_2022-07-29T15x40x00"/>
    <s v="A320"/>
    <x v="0"/>
    <x v="3"/>
    <x v="10"/>
    <s v="Operational"/>
    <s v="PA 110"/>
    <m/>
    <m/>
    <m/>
    <m/>
    <x v="0"/>
    <x v="0"/>
  </r>
  <r>
    <n v="27832951"/>
    <x v="0"/>
    <x v="1977"/>
    <s v="PA 110_2022-07-29T15x40x00"/>
    <s v="A320"/>
    <x v="0"/>
    <x v="3"/>
    <x v="11"/>
    <s v="Operational"/>
    <s v="PA 110"/>
    <m/>
    <m/>
    <m/>
    <m/>
    <x v="0"/>
    <x v="0"/>
  </r>
  <r>
    <n v="27832962"/>
    <x v="0"/>
    <x v="1978"/>
    <m/>
    <s v="B777/3-ER"/>
    <x v="6"/>
    <x v="161"/>
    <x v="0"/>
    <s v="Operational"/>
    <m/>
    <m/>
    <m/>
    <m/>
    <m/>
    <x v="0"/>
    <x v="0"/>
  </r>
  <r>
    <n v="27832993"/>
    <x v="0"/>
    <x v="1979"/>
    <s v="KU 675_2022-07-29T15x55x00"/>
    <s v="A320-NEO"/>
    <x v="0"/>
    <x v="3"/>
    <x v="2"/>
    <s v="Operational"/>
    <s v="KU 675"/>
    <m/>
    <m/>
    <m/>
    <m/>
    <x v="0"/>
    <x v="0"/>
  </r>
  <r>
    <n v="27832997"/>
    <x v="0"/>
    <x v="1980"/>
    <s v="EK 044_2022-07-29T15x20x00"/>
    <s v="B777/3-ER"/>
    <x v="4"/>
    <x v="141"/>
    <x v="2"/>
    <s v="Operational"/>
    <s v="EK 044"/>
    <m/>
    <m/>
    <m/>
    <m/>
    <x v="0"/>
    <x v="0"/>
  </r>
  <r>
    <n v="27833012"/>
    <x v="0"/>
    <x v="1981"/>
    <s v="KU 675_2022-07-29T15x55x00"/>
    <s v="A320-NEO"/>
    <x v="0"/>
    <x v="3"/>
    <x v="0"/>
    <s v="Operational"/>
    <s v="KU 675"/>
    <m/>
    <m/>
    <m/>
    <m/>
    <x v="0"/>
    <x v="0"/>
  </r>
  <r>
    <n v="27833026"/>
    <x v="0"/>
    <x v="1982"/>
    <s v="EK 044_2022-07-29T15x20x00"/>
    <s v="B777/3-ER"/>
    <x v="4"/>
    <x v="141"/>
    <x v="0"/>
    <s v="Operational"/>
    <s v="EK 044"/>
    <m/>
    <m/>
    <m/>
    <m/>
    <x v="0"/>
    <x v="0"/>
  </r>
  <r>
    <n v="27833048"/>
    <x v="0"/>
    <x v="1983"/>
    <s v="EK 012_2022-07-29T15x40x00"/>
    <s v="B777/3-ER"/>
    <x v="3"/>
    <x v="78"/>
    <x v="3"/>
    <s v="Operational"/>
    <s v="EK 012"/>
    <m/>
    <m/>
    <m/>
    <m/>
    <x v="0"/>
    <x v="0"/>
  </r>
  <r>
    <n v="27833065"/>
    <x v="0"/>
    <x v="1984"/>
    <m/>
    <m/>
    <x v="2"/>
    <x v="58"/>
    <x v="6"/>
    <s v="Operational"/>
    <m/>
    <m/>
    <m/>
    <m/>
    <m/>
    <x v="0"/>
    <x v="0"/>
  </r>
  <r>
    <n v="27833072"/>
    <x v="0"/>
    <x v="1985"/>
    <s v="FZ 917_2022-07-29T15x10x00"/>
    <s v="B737/8"/>
    <x v="5"/>
    <x v="140"/>
    <x v="1"/>
    <s v="Operational"/>
    <s v="FZ 917"/>
    <m/>
    <m/>
    <m/>
    <m/>
    <x v="0"/>
    <x v="0"/>
  </r>
  <r>
    <n v="27833094"/>
    <x v="0"/>
    <x v="1986"/>
    <s v="FZ 734_2022-07-29T15x10x00"/>
    <s v="B737/8"/>
    <x v="1"/>
    <x v="6"/>
    <x v="3"/>
    <s v="Operational"/>
    <s v="FZ 734"/>
    <m/>
    <m/>
    <m/>
    <m/>
    <x v="0"/>
    <x v="0"/>
  </r>
  <r>
    <n v="27833100"/>
    <x v="0"/>
    <x v="1987"/>
    <s v="FZ 734_2022-07-29T15x10x00"/>
    <s v="B737/8"/>
    <x v="1"/>
    <x v="6"/>
    <x v="4"/>
    <s v="Operational"/>
    <s v="FZ 734"/>
    <m/>
    <m/>
    <m/>
    <m/>
    <x v="0"/>
    <x v="0"/>
  </r>
  <r>
    <n v="27833150"/>
    <x v="0"/>
    <x v="1988"/>
    <s v="PA 110_2022-07-29T15x40x00"/>
    <s v="A320"/>
    <x v="0"/>
    <x v="3"/>
    <x v="2"/>
    <s v="Operational"/>
    <s v="PA 110"/>
    <m/>
    <m/>
    <m/>
    <m/>
    <x v="0"/>
    <x v="0"/>
  </r>
  <r>
    <n v="27833163"/>
    <x v="0"/>
    <x v="1989"/>
    <s v="W5 065_2022-07-29T15x30x00"/>
    <s v="A310"/>
    <x v="0"/>
    <x v="14"/>
    <x v="3"/>
    <s v="Operational"/>
    <s v="W5 065"/>
    <m/>
    <m/>
    <m/>
    <m/>
    <x v="0"/>
    <x v="0"/>
  </r>
  <r>
    <n v="27833174"/>
    <x v="0"/>
    <x v="1990"/>
    <s v="PA 110_2022-07-29T15x40x00"/>
    <s v="A320"/>
    <x v="0"/>
    <x v="3"/>
    <x v="0"/>
    <s v="Operational"/>
    <s v="PA 110"/>
    <m/>
    <m/>
    <m/>
    <m/>
    <x v="0"/>
    <x v="0"/>
  </r>
  <r>
    <n v="27833187"/>
    <x v="0"/>
    <x v="1991"/>
    <s v="FZ 159_2022-07-29T14x55x00"/>
    <s v="B737/8"/>
    <x v="1"/>
    <x v="72"/>
    <x v="1"/>
    <s v="Operational"/>
    <s v="FZ 159"/>
    <m/>
    <m/>
    <m/>
    <m/>
    <x v="0"/>
    <x v="0"/>
  </r>
  <r>
    <n v="27833207"/>
    <x v="0"/>
    <x v="1992"/>
    <s v="MS 905_2022-07-29T14x50x00"/>
    <s v="B777/3-ER"/>
    <x v="0"/>
    <x v="0"/>
    <x v="2"/>
    <s v="Operational"/>
    <s v="MS 905"/>
    <m/>
    <m/>
    <m/>
    <m/>
    <x v="0"/>
    <x v="0"/>
  </r>
  <r>
    <n v="27833208"/>
    <x v="0"/>
    <x v="1993"/>
    <m/>
    <s v="B777/2-LR"/>
    <x v="7"/>
    <x v="39"/>
    <x v="1"/>
    <s v="Operational"/>
    <m/>
    <m/>
    <m/>
    <m/>
    <m/>
    <x v="0"/>
    <x v="0"/>
  </r>
  <r>
    <n v="27833212"/>
    <x v="0"/>
    <x v="1994"/>
    <s v="EK 012_2022-07-29T15x40x00"/>
    <s v="B777/3-ER"/>
    <x v="3"/>
    <x v="78"/>
    <x v="4"/>
    <s v="Operational"/>
    <s v="EK 012"/>
    <m/>
    <m/>
    <m/>
    <m/>
    <x v="0"/>
    <x v="0"/>
  </r>
  <r>
    <n v="27833216"/>
    <x v="0"/>
    <x v="1995"/>
    <s v="EK 533_2022-07-29T11x15x00"/>
    <s v="B777/2-LR"/>
    <x v="7"/>
    <x v="39"/>
    <x v="3"/>
    <s v="Operational"/>
    <s v="EK 533"/>
    <m/>
    <m/>
    <m/>
    <m/>
    <x v="0"/>
    <x v="0"/>
  </r>
  <r>
    <n v="27833219"/>
    <x v="0"/>
    <x v="1995"/>
    <m/>
    <s v="B777/2-LR"/>
    <x v="7"/>
    <x v="39"/>
    <x v="27"/>
    <s v="Operational"/>
    <s v="EK 533"/>
    <m/>
    <m/>
    <m/>
    <m/>
    <x v="0"/>
    <x v="0"/>
  </r>
  <r>
    <n v="27833226"/>
    <x v="0"/>
    <x v="1996"/>
    <s v="W6 2357_2022-07-29T15x30x00"/>
    <s v="A321-NEO"/>
    <x v="1"/>
    <x v="101"/>
    <x v="2"/>
    <s v="Operational"/>
    <s v="W6 2357"/>
    <m/>
    <m/>
    <m/>
    <m/>
    <x v="0"/>
    <x v="0"/>
  </r>
  <r>
    <n v="27833233"/>
    <x v="0"/>
    <x v="1997"/>
    <m/>
    <m/>
    <x v="3"/>
    <x v="30"/>
    <x v="6"/>
    <s v="Operational"/>
    <m/>
    <m/>
    <m/>
    <m/>
    <m/>
    <x v="0"/>
    <x v="0"/>
  </r>
  <r>
    <n v="27833240"/>
    <x v="0"/>
    <x v="1998"/>
    <s v="W6 2357_2022-07-29T15x30x00"/>
    <s v="A321-NEO"/>
    <x v="1"/>
    <x v="101"/>
    <x v="0"/>
    <s v="Operational"/>
    <s v="W6 2357"/>
    <m/>
    <m/>
    <m/>
    <m/>
    <x v="0"/>
    <x v="0"/>
  </r>
  <r>
    <n v="27833255"/>
    <x v="0"/>
    <x v="1999"/>
    <s v="MS 905_2022-07-29T14x50x00"/>
    <s v="B777/3-ER"/>
    <x v="0"/>
    <x v="0"/>
    <x v="0"/>
    <s v="Operational"/>
    <s v="MS 905"/>
    <m/>
    <m/>
    <m/>
    <m/>
    <x v="0"/>
    <x v="0"/>
  </r>
  <r>
    <n v="27833270"/>
    <x v="0"/>
    <x v="2000"/>
    <s v="EK 318_2022-07-29T22x40x00"/>
    <s v="B777/3-ER"/>
    <x v="3"/>
    <x v="26"/>
    <x v="1"/>
    <s v="Operational"/>
    <m/>
    <m/>
    <m/>
    <m/>
    <m/>
    <x v="0"/>
    <x v="0"/>
  </r>
  <r>
    <n v="27833288"/>
    <x v="0"/>
    <x v="2001"/>
    <s v="FZ 843_2022-07-29T15x15x00"/>
    <s v="B737/9-MAX"/>
    <x v="5"/>
    <x v="158"/>
    <x v="1"/>
    <s v="Operational"/>
    <s v="FZ 843"/>
    <m/>
    <m/>
    <m/>
    <m/>
    <x v="0"/>
    <x v="0"/>
  </r>
  <r>
    <n v="27833307"/>
    <x v="0"/>
    <x v="2002"/>
    <s v="EK 147_2022-07-30T04x05x00"/>
    <s v="A380/8"/>
    <x v="2"/>
    <x v="58"/>
    <x v="2"/>
    <s v="Operational"/>
    <m/>
    <m/>
    <m/>
    <m/>
    <m/>
    <x v="0"/>
    <x v="0"/>
  </r>
  <r>
    <n v="27833319"/>
    <x v="0"/>
    <x v="2003"/>
    <s v="FZ 604_2022-07-29T16x00x00"/>
    <s v="B737/8"/>
    <x v="1"/>
    <x v="116"/>
    <x v="3"/>
    <s v="Operational"/>
    <s v="FZ 604"/>
    <m/>
    <m/>
    <m/>
    <m/>
    <x v="0"/>
    <x v="0"/>
  </r>
  <r>
    <n v="27833326"/>
    <x v="0"/>
    <x v="2004"/>
    <s v="EK 147_2022-07-30T04x05x00"/>
    <s v="A380/8"/>
    <x v="2"/>
    <x v="58"/>
    <x v="0"/>
    <s v="Operational"/>
    <m/>
    <m/>
    <m/>
    <m/>
    <m/>
    <x v="0"/>
    <x v="0"/>
  </r>
  <r>
    <n v="27833343"/>
    <x v="0"/>
    <x v="2005"/>
    <s v="FZ 604_2022-07-29T16x00x00"/>
    <s v="B737/8"/>
    <x v="1"/>
    <x v="116"/>
    <x v="4"/>
    <s v="Operational"/>
    <s v="FZ 604"/>
    <m/>
    <m/>
    <m/>
    <m/>
    <x v="0"/>
    <x v="0"/>
  </r>
  <r>
    <n v="27833356"/>
    <x v="0"/>
    <x v="2006"/>
    <s v="FZ 8748_2022-07-29T16x00x00"/>
    <s v="B737/8-MAX"/>
    <x v="5"/>
    <x v="154"/>
    <x v="3"/>
    <s v="Operational"/>
    <s v="FZ 8748"/>
    <m/>
    <m/>
    <m/>
    <m/>
    <x v="0"/>
    <x v="0"/>
  </r>
  <r>
    <n v="27833386"/>
    <x v="0"/>
    <x v="2007"/>
    <s v="FZ 734_2022-07-29T15x10x00"/>
    <s v="B737/8"/>
    <x v="1"/>
    <x v="6"/>
    <x v="2"/>
    <s v="Operational"/>
    <s v="FZ 734"/>
    <m/>
    <m/>
    <m/>
    <m/>
    <x v="0"/>
    <x v="0"/>
  </r>
  <r>
    <n v="27833406"/>
    <x v="0"/>
    <x v="2008"/>
    <s v="EK 012_2022-07-29T15x40x00"/>
    <s v="B777/3-ER"/>
    <x v="3"/>
    <x v="78"/>
    <x v="2"/>
    <s v="Operational"/>
    <s v="EK 012"/>
    <m/>
    <m/>
    <m/>
    <m/>
    <x v="0"/>
    <x v="0"/>
  </r>
  <r>
    <n v="27833410"/>
    <x v="0"/>
    <x v="2009"/>
    <s v="FZ 734_2022-07-29T15x10x00"/>
    <s v="B737/8"/>
    <x v="1"/>
    <x v="6"/>
    <x v="0"/>
    <s v="Operational"/>
    <s v="FZ 734"/>
    <m/>
    <m/>
    <m/>
    <m/>
    <x v="0"/>
    <x v="0"/>
  </r>
  <r>
    <n v="27833434"/>
    <x v="0"/>
    <x v="2010"/>
    <s v="EK 012_2022-07-29T15x40x00"/>
    <s v="B777/3-ER"/>
    <x v="3"/>
    <x v="78"/>
    <x v="0"/>
    <s v="Operational"/>
    <s v="EK 012"/>
    <m/>
    <m/>
    <m/>
    <m/>
    <x v="0"/>
    <x v="0"/>
  </r>
  <r>
    <n v="27833457"/>
    <x v="0"/>
    <x v="2011"/>
    <s v="EK 606_2022-07-29T17x35x00"/>
    <s v="B777/3-ER"/>
    <x v="4"/>
    <x v="123"/>
    <x v="9"/>
    <s v="Operational"/>
    <m/>
    <m/>
    <m/>
    <m/>
    <m/>
    <x v="0"/>
    <x v="0"/>
  </r>
  <r>
    <n v="27833475"/>
    <x v="0"/>
    <x v="2012"/>
    <s v="W5 065_2022-07-29T15x30x00"/>
    <s v="A310"/>
    <x v="0"/>
    <x v="14"/>
    <x v="4"/>
    <s v="Operational"/>
    <s v="W5 065"/>
    <m/>
    <m/>
    <m/>
    <m/>
    <x v="0"/>
    <x v="0"/>
  </r>
  <r>
    <n v="27833506"/>
    <x v="0"/>
    <x v="2013"/>
    <m/>
    <m/>
    <x v="4"/>
    <x v="123"/>
    <x v="13"/>
    <s v="Operational"/>
    <m/>
    <m/>
    <m/>
    <m/>
    <m/>
    <x v="0"/>
    <x v="0"/>
  </r>
  <r>
    <n v="27833524"/>
    <x v="0"/>
    <x v="2014"/>
    <s v="W5 065_2022-07-29T15x30x00"/>
    <s v="A310"/>
    <x v="0"/>
    <x v="14"/>
    <x v="2"/>
    <s v="Operational"/>
    <s v="W5 065"/>
    <m/>
    <m/>
    <m/>
    <m/>
    <x v="0"/>
    <x v="0"/>
  </r>
  <r>
    <n v="27833536"/>
    <x v="0"/>
    <x v="2015"/>
    <m/>
    <m/>
    <x v="6"/>
    <x v="170"/>
    <x v="6"/>
    <s v="Operational"/>
    <m/>
    <m/>
    <m/>
    <m/>
    <m/>
    <x v="0"/>
    <x v="0"/>
  </r>
  <r>
    <n v="27833549"/>
    <x v="0"/>
    <x v="2016"/>
    <s v="W5 065_2022-07-29T15x30x00"/>
    <s v="A310"/>
    <x v="0"/>
    <x v="14"/>
    <x v="0"/>
    <s v="Operational"/>
    <s v="W5 065"/>
    <m/>
    <m/>
    <m/>
    <m/>
    <x v="0"/>
    <x v="0"/>
  </r>
  <r>
    <n v="27833561"/>
    <x v="0"/>
    <x v="2017"/>
    <s v="FZ 143_2022-07-29T15x00x00"/>
    <s v="B737/8"/>
    <x v="1"/>
    <x v="87"/>
    <x v="1"/>
    <s v="Operational"/>
    <s v="FZ 143"/>
    <m/>
    <m/>
    <m/>
    <m/>
    <x v="0"/>
    <x v="0"/>
  </r>
  <r>
    <n v="27833572"/>
    <x v="0"/>
    <x v="2018"/>
    <s v="IRB 9722_2022-07-29T15x55x00"/>
    <s v="A300/6"/>
    <x v="0"/>
    <x v="12"/>
    <x v="3"/>
    <s v="Operational"/>
    <s v="IRB 9722"/>
    <m/>
    <m/>
    <m/>
    <m/>
    <x v="0"/>
    <x v="0"/>
  </r>
  <r>
    <n v="27833592"/>
    <x v="0"/>
    <x v="2019"/>
    <m/>
    <m/>
    <x v="4"/>
    <x v="123"/>
    <x v="14"/>
    <s v="Operational"/>
    <m/>
    <m/>
    <m/>
    <m/>
    <m/>
    <x v="0"/>
    <x v="0"/>
  </r>
  <r>
    <n v="27833599"/>
    <x v="0"/>
    <x v="2020"/>
    <s v="IA 105_2022-07-29T16x00x00"/>
    <s v="B737/8"/>
    <x v="1"/>
    <x v="87"/>
    <x v="3"/>
    <s v="Operational"/>
    <s v="IA 105"/>
    <m/>
    <m/>
    <m/>
    <m/>
    <x v="0"/>
    <x v="0"/>
  </r>
  <r>
    <n v="27833608"/>
    <x v="0"/>
    <x v="2021"/>
    <m/>
    <m/>
    <x v="4"/>
    <x v="123"/>
    <x v="13"/>
    <s v="Operational"/>
    <m/>
    <m/>
    <m/>
    <m/>
    <m/>
    <x v="0"/>
    <x v="0"/>
  </r>
  <r>
    <n v="27833616"/>
    <x v="0"/>
    <x v="2022"/>
    <s v="T5 811_2022-07-29T15x45x00"/>
    <s v="B737/8"/>
    <x v="1"/>
    <x v="11"/>
    <x v="3"/>
    <s v="Operational"/>
    <s v="T5 811"/>
    <m/>
    <m/>
    <m/>
    <m/>
    <x v="0"/>
    <x v="0"/>
  </r>
  <r>
    <n v="27833629"/>
    <x v="0"/>
    <x v="2023"/>
    <s v="FZ 604_2022-07-29T16x00x00"/>
    <s v="B737/8"/>
    <x v="1"/>
    <x v="116"/>
    <x v="2"/>
    <s v="Operational"/>
    <s v="FZ 604"/>
    <m/>
    <m/>
    <m/>
    <m/>
    <x v="0"/>
    <x v="0"/>
  </r>
  <r>
    <n v="27833638"/>
    <x v="0"/>
    <x v="2024"/>
    <s v="T5 811_2022-07-29T15x45x00"/>
    <s v="B737/8"/>
    <x v="1"/>
    <x v="11"/>
    <x v="4"/>
    <s v="Operational"/>
    <s v="T5 811"/>
    <m/>
    <m/>
    <m/>
    <m/>
    <x v="0"/>
    <x v="0"/>
  </r>
  <r>
    <n v="27833640"/>
    <x v="0"/>
    <x v="2025"/>
    <s v="IA 105_2022-07-29T16x00x00"/>
    <s v="B737/8"/>
    <x v="1"/>
    <x v="87"/>
    <x v="4"/>
    <s v="Operational"/>
    <s v="IA 105"/>
    <m/>
    <m/>
    <m/>
    <m/>
    <x v="0"/>
    <x v="0"/>
  </r>
  <r>
    <n v="27833657"/>
    <x v="0"/>
    <x v="2026"/>
    <s v="FZ 604_2022-07-29T16x00x00"/>
    <s v="B737/8"/>
    <x v="1"/>
    <x v="116"/>
    <x v="0"/>
    <s v="Operational"/>
    <s v="FZ 604"/>
    <m/>
    <m/>
    <m/>
    <m/>
    <x v="0"/>
    <x v="0"/>
  </r>
  <r>
    <n v="27833669"/>
    <x v="0"/>
    <x v="2027"/>
    <s v="RQ 901_2022-07-29T15x50x00"/>
    <s v="A340/3"/>
    <x v="5"/>
    <x v="18"/>
    <x v="3"/>
    <s v="Operational"/>
    <s v="RQ 901"/>
    <m/>
    <m/>
    <m/>
    <m/>
    <x v="0"/>
    <x v="0"/>
  </r>
  <r>
    <n v="27833674"/>
    <x v="0"/>
    <x v="2028"/>
    <s v="IRB 9722_2022-07-29T15x55x00"/>
    <s v="A300/6"/>
    <x v="0"/>
    <x v="12"/>
    <x v="4"/>
    <s v="Operational"/>
    <s v="IRB 9722"/>
    <m/>
    <m/>
    <m/>
    <m/>
    <x v="0"/>
    <x v="0"/>
  </r>
  <r>
    <n v="27833689"/>
    <x v="0"/>
    <x v="2029"/>
    <s v="6E 024_2022-07-29T15x40x00"/>
    <s v="A320-NEO"/>
    <x v="0"/>
    <x v="113"/>
    <x v="1"/>
    <s v="Operational"/>
    <s v="6E 024"/>
    <m/>
    <m/>
    <m/>
    <m/>
    <x v="0"/>
    <x v="0"/>
  </r>
  <r>
    <n v="27833706"/>
    <x v="0"/>
    <x v="2030"/>
    <s v="RQ 901_2022-07-29T15x50x00"/>
    <s v="A340/3"/>
    <x v="5"/>
    <x v="18"/>
    <x v="4"/>
    <s v="Operational"/>
    <s v="RQ 901"/>
    <m/>
    <m/>
    <m/>
    <m/>
    <x v="0"/>
    <x v="0"/>
  </r>
  <r>
    <n v="27833722"/>
    <x v="0"/>
    <x v="2031"/>
    <s v="FZ 034_2022-07-29T15x05x00"/>
    <s v="B737/8"/>
    <x v="1"/>
    <x v="2"/>
    <x v="3"/>
    <s v="Operational"/>
    <s v="FZ 034"/>
    <m/>
    <m/>
    <m/>
    <m/>
    <x v="0"/>
    <x v="0"/>
  </r>
  <r>
    <n v="27833730"/>
    <x v="0"/>
    <x v="2032"/>
    <m/>
    <m/>
    <x v="4"/>
    <x v="123"/>
    <x v="14"/>
    <s v="Operational"/>
    <m/>
    <m/>
    <m/>
    <m/>
    <m/>
    <x v="0"/>
    <x v="0"/>
  </r>
  <r>
    <n v="27833739"/>
    <x v="0"/>
    <x v="2033"/>
    <s v="J4 622_2022-07-29T15x30x00"/>
    <s v="B737/5"/>
    <x v="1"/>
    <x v="1"/>
    <x v="1"/>
    <s v="Operational"/>
    <s v="J4 622"/>
    <m/>
    <m/>
    <m/>
    <m/>
    <x v="0"/>
    <x v="0"/>
  </r>
  <r>
    <n v="27833750"/>
    <x v="0"/>
    <x v="2034"/>
    <m/>
    <m/>
    <x v="4"/>
    <x v="123"/>
    <x v="13"/>
    <s v="Operational"/>
    <m/>
    <m/>
    <m/>
    <m/>
    <m/>
    <x v="0"/>
    <x v="0"/>
  </r>
  <r>
    <n v="27833763"/>
    <x v="0"/>
    <x v="2035"/>
    <s v="FZ 8748_2022-07-29T16x00x00"/>
    <s v="B737/8-MAX"/>
    <x v="5"/>
    <x v="154"/>
    <x v="4"/>
    <s v="Operational"/>
    <s v="FZ 8748"/>
    <m/>
    <m/>
    <m/>
    <m/>
    <x v="0"/>
    <x v="0"/>
  </r>
  <r>
    <n v="27833781"/>
    <x v="0"/>
    <x v="2036"/>
    <s v="6E 055_2022-07-29T15x50x00"/>
    <s v="A320-NEO"/>
    <x v="0"/>
    <x v="88"/>
    <x v="3"/>
    <s v="Operational"/>
    <s v="6E 055"/>
    <m/>
    <m/>
    <m/>
    <m/>
    <x v="0"/>
    <x v="0"/>
  </r>
  <r>
    <n v="27833784"/>
    <x v="0"/>
    <x v="2036"/>
    <s v="EK 517_2022-07-29T15x50x00"/>
    <s v="B777/3-ER"/>
    <x v="6"/>
    <x v="170"/>
    <x v="2"/>
    <s v="Operational"/>
    <m/>
    <m/>
    <m/>
    <m/>
    <m/>
    <x v="0"/>
    <x v="0"/>
  </r>
  <r>
    <n v="27833815"/>
    <x v="0"/>
    <x v="2037"/>
    <s v="FZ 8748_2022-07-29T16x00x00"/>
    <s v="B737/8-MAX"/>
    <x v="5"/>
    <x v="154"/>
    <x v="2"/>
    <s v="Operational"/>
    <s v="FZ 8748"/>
    <m/>
    <m/>
    <m/>
    <m/>
    <x v="0"/>
    <x v="0"/>
  </r>
  <r>
    <n v="27833816"/>
    <x v="0"/>
    <x v="2038"/>
    <s v="FZ 8748_2022-07-29T16x00x00"/>
    <s v="B737/8-MAX"/>
    <x v="5"/>
    <x v="154"/>
    <x v="35"/>
    <s v="Technical"/>
    <s v="FZ 8748"/>
    <m/>
    <m/>
    <m/>
    <m/>
    <x v="0"/>
    <x v="0"/>
  </r>
  <r>
    <n v="27833819"/>
    <x v="0"/>
    <x v="2039"/>
    <s v="FZ 8748_2022-07-29T16x00x00"/>
    <s v="B737/8-MAX"/>
    <x v="5"/>
    <x v="154"/>
    <x v="16"/>
    <s v="Technical"/>
    <s v="FZ 8748"/>
    <m/>
    <m/>
    <m/>
    <m/>
    <x v="0"/>
    <x v="0"/>
  </r>
  <r>
    <n v="27833827"/>
    <x v="0"/>
    <x v="2040"/>
    <s v="FZ 8748_2022-07-29T16x00x00"/>
    <s v="B737/8-MAX"/>
    <x v="5"/>
    <x v="154"/>
    <x v="3"/>
    <s v="Operational"/>
    <s v="FZ 8748"/>
    <m/>
    <m/>
    <m/>
    <m/>
    <x v="0"/>
    <x v="0"/>
  </r>
  <r>
    <n v="27833832"/>
    <x v="0"/>
    <x v="2041"/>
    <s v="EK 517_2022-07-29T15x50x00"/>
    <s v="B777/3-ER"/>
    <x v="6"/>
    <x v="170"/>
    <x v="0"/>
    <s v="Operational"/>
    <m/>
    <m/>
    <m/>
    <m/>
    <m/>
    <x v="0"/>
    <x v="0"/>
  </r>
  <r>
    <n v="27833854"/>
    <x v="0"/>
    <x v="2042"/>
    <s v="EK 226_2022-07-29T15x40x00"/>
    <s v="A380/8"/>
    <x v="4"/>
    <x v="73"/>
    <x v="3"/>
    <s v="Operational"/>
    <s v="EK 226"/>
    <m/>
    <m/>
    <m/>
    <m/>
    <x v="0"/>
    <x v="0"/>
  </r>
  <r>
    <n v="27833863"/>
    <x v="0"/>
    <x v="2043"/>
    <s v="EK 216_2022-07-29T15x30x00"/>
    <s v="A380/8"/>
    <x v="3"/>
    <x v="30"/>
    <x v="2"/>
    <s v="Operational"/>
    <m/>
    <m/>
    <m/>
    <m/>
    <m/>
    <x v="0"/>
    <x v="0"/>
  </r>
  <r>
    <n v="27833871"/>
    <x v="0"/>
    <x v="2044"/>
    <s v="EK 226_2022-07-29T15x40x00"/>
    <s v="A380/8"/>
    <x v="4"/>
    <x v="73"/>
    <x v="4"/>
    <s v="Operational"/>
    <s v="EK 226"/>
    <m/>
    <m/>
    <m/>
    <m/>
    <x v="0"/>
    <x v="0"/>
  </r>
  <r>
    <n v="27833884"/>
    <x v="0"/>
    <x v="2045"/>
    <s v="EK 216_2022-07-29T15x30x00"/>
    <s v="A380/8"/>
    <x v="3"/>
    <x v="30"/>
    <x v="0"/>
    <s v="Operational"/>
    <m/>
    <m/>
    <m/>
    <m/>
    <m/>
    <x v="0"/>
    <x v="0"/>
  </r>
  <r>
    <n v="27833899"/>
    <x v="0"/>
    <x v="2046"/>
    <s v="IA 105_2022-07-29T16x00x00"/>
    <s v="B737/8"/>
    <x v="1"/>
    <x v="87"/>
    <x v="2"/>
    <s v="Operational"/>
    <s v="IA 105"/>
    <m/>
    <m/>
    <m/>
    <m/>
    <x v="0"/>
    <x v="0"/>
  </r>
  <r>
    <n v="27833901"/>
    <x v="0"/>
    <x v="2047"/>
    <s v="SV 550_2022-07-29T15x30x00"/>
    <s v="B777/3-ER"/>
    <x v="0"/>
    <x v="50"/>
    <x v="3"/>
    <s v="Operational"/>
    <s v="SV 550"/>
    <m/>
    <m/>
    <m/>
    <m/>
    <x v="0"/>
    <x v="0"/>
  </r>
  <r>
    <n v="27833932"/>
    <x v="0"/>
    <x v="2048"/>
    <s v="IA 105_2022-07-29T16x00x00"/>
    <s v="B737/8"/>
    <x v="1"/>
    <x v="87"/>
    <x v="0"/>
    <s v="Operational"/>
    <s v="IA 105"/>
    <m/>
    <m/>
    <m/>
    <m/>
    <x v="0"/>
    <x v="0"/>
  </r>
  <r>
    <n v="27833960"/>
    <x v="0"/>
    <x v="2049"/>
    <s v="XY 208_2022-07-29T15x45x00"/>
    <s v="A320-NEO"/>
    <x v="0"/>
    <x v="9"/>
    <x v="1"/>
    <s v="Operational"/>
    <s v="XY 208"/>
    <m/>
    <m/>
    <m/>
    <m/>
    <x v="0"/>
    <x v="0"/>
  </r>
  <r>
    <n v="27833978"/>
    <x v="0"/>
    <x v="2050"/>
    <s v="EK 840_2022-07-29T16x00x00"/>
    <s v="B777/3-ER"/>
    <x v="3"/>
    <x v="124"/>
    <x v="3"/>
    <s v="Operational"/>
    <s v="EK 840"/>
    <m/>
    <m/>
    <m/>
    <m/>
    <x v="0"/>
    <x v="0"/>
  </r>
  <r>
    <n v="27833991"/>
    <x v="0"/>
    <x v="2051"/>
    <s v="T5 811_2022-07-29T15x45x00"/>
    <s v="B737/8"/>
    <x v="1"/>
    <x v="11"/>
    <x v="2"/>
    <s v="Operational"/>
    <s v="T5 811"/>
    <m/>
    <m/>
    <m/>
    <m/>
    <x v="0"/>
    <x v="0"/>
  </r>
  <r>
    <n v="27834017"/>
    <x v="0"/>
    <x v="2052"/>
    <s v="T5 811_2022-07-29T15x45x00"/>
    <s v="B737/8"/>
    <x v="1"/>
    <x v="11"/>
    <x v="0"/>
    <s v="Operational"/>
    <s v="T5 811"/>
    <m/>
    <m/>
    <m/>
    <m/>
    <x v="0"/>
    <x v="0"/>
  </r>
  <r>
    <n v="27834033"/>
    <x v="0"/>
    <x v="2053"/>
    <s v="FZ 8908_2022-07-29T15x05x00"/>
    <s v="B737/8"/>
    <x v="1"/>
    <x v="135"/>
    <x v="3"/>
    <s v="Operational"/>
    <s v="FZ 8908"/>
    <m/>
    <m/>
    <m/>
    <m/>
    <x v="0"/>
    <x v="0"/>
  </r>
  <r>
    <n v="27834036"/>
    <x v="0"/>
    <x v="2054"/>
    <s v="FZ 8908_2022-07-29T15x05x00"/>
    <s v="B737/8"/>
    <x v="1"/>
    <x v="135"/>
    <x v="4"/>
    <s v="Operational"/>
    <s v="FZ 8908"/>
    <m/>
    <m/>
    <m/>
    <m/>
    <x v="0"/>
    <x v="0"/>
  </r>
  <r>
    <n v="27834044"/>
    <x v="0"/>
    <x v="2055"/>
    <s v="IRB 9722_2022-07-29T15x55x00"/>
    <s v="A300/6"/>
    <x v="0"/>
    <x v="12"/>
    <x v="2"/>
    <s v="Operational"/>
    <s v="IRB 9722"/>
    <m/>
    <m/>
    <m/>
    <m/>
    <x v="0"/>
    <x v="0"/>
  </r>
  <r>
    <n v="27834048"/>
    <x v="0"/>
    <x v="2056"/>
    <s v="FZ 005_2022-07-29T15x45x00"/>
    <s v="B737/8-MAX"/>
    <x v="1"/>
    <x v="34"/>
    <x v="1"/>
    <s v="Operational"/>
    <s v="FZ 005"/>
    <m/>
    <m/>
    <m/>
    <m/>
    <x v="0"/>
    <x v="0"/>
  </r>
  <r>
    <n v="27834064"/>
    <x v="0"/>
    <x v="2057"/>
    <m/>
    <m/>
    <x v="3"/>
    <x v="46"/>
    <x v="6"/>
    <s v="Operational"/>
    <m/>
    <m/>
    <m/>
    <m/>
    <m/>
    <x v="0"/>
    <x v="0"/>
  </r>
  <r>
    <n v="27834079"/>
    <x v="0"/>
    <x v="2058"/>
    <s v="IRB 9722_2022-07-29T15x55x00"/>
    <s v="A300/6"/>
    <x v="0"/>
    <x v="12"/>
    <x v="0"/>
    <s v="Operational"/>
    <s v="IRB 9722"/>
    <m/>
    <m/>
    <m/>
    <m/>
    <x v="0"/>
    <x v="0"/>
  </r>
  <r>
    <n v="27834088"/>
    <x v="0"/>
    <x v="2058"/>
    <s v="OV 248_2022-07-29T15x55x00"/>
    <s v="A320-NEO"/>
    <x v="1"/>
    <x v="83"/>
    <x v="1"/>
    <s v="Operational"/>
    <s v="OV 248"/>
    <m/>
    <m/>
    <m/>
    <m/>
    <x v="0"/>
    <x v="0"/>
  </r>
  <r>
    <n v="27834106"/>
    <x v="0"/>
    <x v="2059"/>
    <s v="EK 840_2022-07-29T16x00x00"/>
    <s v="B777/3-ER"/>
    <x v="3"/>
    <x v="124"/>
    <x v="4"/>
    <s v="Operational"/>
    <s v="EK 840"/>
    <m/>
    <m/>
    <m/>
    <m/>
    <x v="0"/>
    <x v="0"/>
  </r>
  <r>
    <n v="27834129"/>
    <x v="0"/>
    <x v="2060"/>
    <s v="FZ 034_2022-07-29T15x05x00"/>
    <s v="B737/8"/>
    <x v="1"/>
    <x v="2"/>
    <x v="4"/>
    <s v="Operational"/>
    <s v="FZ 034"/>
    <m/>
    <m/>
    <m/>
    <m/>
    <x v="0"/>
    <x v="0"/>
  </r>
  <r>
    <n v="27834144"/>
    <x v="0"/>
    <x v="2061"/>
    <s v="FZ 034_2022-07-29T15x05x00"/>
    <s v="B737/8"/>
    <x v="1"/>
    <x v="2"/>
    <x v="2"/>
    <s v="Operational"/>
    <s v="FZ 034"/>
    <m/>
    <m/>
    <m/>
    <m/>
    <x v="0"/>
    <x v="0"/>
  </r>
  <r>
    <n v="27834159"/>
    <x v="0"/>
    <x v="2062"/>
    <s v="6E 055_2022-07-29T15x50x00"/>
    <s v="A320-NEO"/>
    <x v="0"/>
    <x v="88"/>
    <x v="4"/>
    <s v="Operational"/>
    <s v="6E 055"/>
    <m/>
    <m/>
    <m/>
    <m/>
    <x v="0"/>
    <x v="0"/>
  </r>
  <r>
    <n v="27834169"/>
    <x v="0"/>
    <x v="2063"/>
    <s v="FZ 8748_2022-07-29T16x00x00"/>
    <s v="B737/8-MAX"/>
    <x v="5"/>
    <x v="154"/>
    <x v="26"/>
    <s v="Operational"/>
    <s v="FZ 8748"/>
    <m/>
    <m/>
    <m/>
    <m/>
    <x v="0"/>
    <x v="0"/>
  </r>
  <r>
    <n v="27834184"/>
    <x v="0"/>
    <x v="2064"/>
    <s v="FZ 034_2022-07-29T15x05x00"/>
    <s v="B737/8"/>
    <x v="1"/>
    <x v="2"/>
    <x v="0"/>
    <s v="Operational"/>
    <s v="FZ 034"/>
    <m/>
    <m/>
    <m/>
    <m/>
    <x v="0"/>
    <x v="0"/>
  </r>
  <r>
    <n v="27834211"/>
    <x v="0"/>
    <x v="2065"/>
    <s v="EK 226_2022-07-29T15x40x00"/>
    <s v="A380/8"/>
    <x v="4"/>
    <x v="73"/>
    <x v="2"/>
    <s v="Operational"/>
    <s v="EK 226"/>
    <m/>
    <m/>
    <m/>
    <m/>
    <x v="0"/>
    <x v="0"/>
  </r>
  <r>
    <n v="27834216"/>
    <x v="0"/>
    <x v="2066"/>
    <s v="RQ 901_2022-07-29T15x50x00"/>
    <s v="A340/3"/>
    <x v="5"/>
    <x v="18"/>
    <x v="2"/>
    <s v="Operational"/>
    <s v="RQ 901"/>
    <m/>
    <m/>
    <m/>
    <m/>
    <x v="0"/>
    <x v="0"/>
  </r>
  <r>
    <n v="27834224"/>
    <x v="0"/>
    <x v="2067"/>
    <s v="EK 072_2022-07-29T16x00x00"/>
    <s v="B777/3-ER"/>
    <x v="4"/>
    <x v="119"/>
    <x v="3"/>
    <s v="Operational"/>
    <s v="EK 072"/>
    <m/>
    <m/>
    <m/>
    <m/>
    <x v="0"/>
    <x v="0"/>
  </r>
  <r>
    <n v="27834229"/>
    <x v="0"/>
    <x v="2068"/>
    <s v="EK 226_2022-07-29T15x40x00"/>
    <s v="A380/8"/>
    <x v="4"/>
    <x v="73"/>
    <x v="0"/>
    <s v="Operational"/>
    <s v="EK 226"/>
    <m/>
    <m/>
    <m/>
    <m/>
    <x v="0"/>
    <x v="0"/>
  </r>
  <r>
    <n v="27834241"/>
    <x v="0"/>
    <x v="2069"/>
    <s v="RQ 901_2022-07-29T15x50x00"/>
    <s v="A340/3"/>
    <x v="5"/>
    <x v="18"/>
    <x v="0"/>
    <s v="Operational"/>
    <s v="RQ 901"/>
    <m/>
    <m/>
    <m/>
    <m/>
    <x v="0"/>
    <x v="0"/>
  </r>
  <r>
    <n v="27834264"/>
    <x v="0"/>
    <x v="2070"/>
    <s v="FZ 329_2022-07-29T15x45x00"/>
    <s v="B737/8"/>
    <x v="5"/>
    <x v="157"/>
    <x v="1"/>
    <s v="Operational"/>
    <s v="FZ 329"/>
    <m/>
    <m/>
    <m/>
    <m/>
    <x v="0"/>
    <x v="0"/>
  </r>
  <r>
    <n v="27834278"/>
    <x v="0"/>
    <x v="2071"/>
    <s v="SQ 495_2022-07-29T16x00x00"/>
    <s v="A350/9"/>
    <x v="0"/>
    <x v="91"/>
    <x v="1"/>
    <s v="Operational"/>
    <s v="SQ 495"/>
    <m/>
    <m/>
    <m/>
    <m/>
    <x v="0"/>
    <x v="0"/>
  </r>
  <r>
    <n v="27834290"/>
    <x v="0"/>
    <x v="2072"/>
    <s v="EK 072_2022-07-29T16x00x00"/>
    <s v="B777/3-ER"/>
    <x v="4"/>
    <x v="119"/>
    <x v="4"/>
    <s v="Operational"/>
    <s v="EK 072"/>
    <m/>
    <m/>
    <m/>
    <m/>
    <x v="0"/>
    <x v="0"/>
  </r>
  <r>
    <n v="27834297"/>
    <x v="0"/>
    <x v="2073"/>
    <s v="SV 550_2022-07-29T15x30x00"/>
    <s v="B777/3-ER"/>
    <x v="0"/>
    <x v="50"/>
    <x v="4"/>
    <s v="Operational"/>
    <s v="SV 550"/>
    <m/>
    <m/>
    <m/>
    <m/>
    <x v="0"/>
    <x v="0"/>
  </r>
  <r>
    <n v="27834306"/>
    <x v="0"/>
    <x v="2074"/>
    <s v="SV 550_2022-07-29T15x30x00"/>
    <s v="B777/3-ER"/>
    <x v="0"/>
    <x v="50"/>
    <x v="15"/>
    <s v="Technical"/>
    <s v="SV 550"/>
    <m/>
    <m/>
    <m/>
    <m/>
    <x v="0"/>
    <x v="0"/>
  </r>
  <r>
    <n v="27834311"/>
    <x v="0"/>
    <x v="2075"/>
    <s v="SV 550_2022-07-29T15x30x00"/>
    <s v="B777/3-ER"/>
    <x v="0"/>
    <x v="50"/>
    <x v="17"/>
    <s v="Technical"/>
    <s v="SV 550"/>
    <m/>
    <m/>
    <m/>
    <m/>
    <x v="0"/>
    <x v="0"/>
  </r>
  <r>
    <n v="27834329"/>
    <x v="0"/>
    <x v="2076"/>
    <s v="6E 055_2022-07-29T15x50x00"/>
    <s v="A320-NEO"/>
    <x v="0"/>
    <x v="88"/>
    <x v="2"/>
    <s v="Operational"/>
    <s v="6E 055"/>
    <m/>
    <m/>
    <m/>
    <m/>
    <x v="0"/>
    <x v="0"/>
  </r>
  <r>
    <n v="27834345"/>
    <x v="0"/>
    <x v="2077"/>
    <s v="PA 411_2022-07-29T14x10x00"/>
    <s v="A321"/>
    <x v="0"/>
    <x v="63"/>
    <x v="1"/>
    <s v="Operational"/>
    <s v="PA 411"/>
    <m/>
    <m/>
    <m/>
    <m/>
    <x v="0"/>
    <x v="0"/>
  </r>
  <r>
    <n v="27834352"/>
    <x v="0"/>
    <x v="2078"/>
    <s v="GF 510_2022-07-29T16x15x00"/>
    <s v="A320-NEO"/>
    <x v="0"/>
    <x v="63"/>
    <x v="3"/>
    <s v="Operational"/>
    <s v="GF 510"/>
    <m/>
    <m/>
    <m/>
    <m/>
    <x v="0"/>
    <x v="0"/>
  </r>
  <r>
    <n v="27834365"/>
    <x v="0"/>
    <x v="2079"/>
    <s v="6E 055_2022-07-29T15x50x00"/>
    <s v="A320-NEO"/>
    <x v="0"/>
    <x v="88"/>
    <x v="0"/>
    <s v="Operational"/>
    <s v="6E 055"/>
    <m/>
    <m/>
    <m/>
    <m/>
    <x v="0"/>
    <x v="0"/>
  </r>
  <r>
    <n v="27834386"/>
    <x v="0"/>
    <x v="2080"/>
    <s v="EK 840_2022-07-29T16x00x00"/>
    <s v="B777/3-ER"/>
    <x v="3"/>
    <x v="124"/>
    <x v="2"/>
    <s v="Operational"/>
    <s v="EK 840"/>
    <m/>
    <m/>
    <m/>
    <m/>
    <x v="0"/>
    <x v="0"/>
  </r>
  <r>
    <n v="27834395"/>
    <x v="0"/>
    <x v="2081"/>
    <s v="EK 840_2022-07-29T16x00x00"/>
    <s v="B777/3-ER"/>
    <x v="3"/>
    <x v="124"/>
    <x v="0"/>
    <s v="Operational"/>
    <s v="EK 840"/>
    <m/>
    <m/>
    <m/>
    <m/>
    <x v="0"/>
    <x v="0"/>
  </r>
  <r>
    <n v="27834420"/>
    <x v="0"/>
    <x v="2082"/>
    <s v="EK 202_2022-07-29T15x35x00"/>
    <s v="A380/8"/>
    <x v="4"/>
    <x v="103"/>
    <x v="3"/>
    <s v="Operational"/>
    <s v="EK 202"/>
    <m/>
    <m/>
    <m/>
    <m/>
    <x v="0"/>
    <x v="0"/>
  </r>
  <r>
    <n v="27834430"/>
    <x v="0"/>
    <x v="2083"/>
    <s v="6E 066_2022-07-29T16x50x00"/>
    <s v="A320-NEO"/>
    <x v="0"/>
    <x v="88"/>
    <x v="30"/>
    <s v="Operational"/>
    <m/>
    <m/>
    <m/>
    <m/>
    <m/>
    <x v="0"/>
    <x v="0"/>
  </r>
  <r>
    <n v="27834438"/>
    <x v="0"/>
    <x v="2084"/>
    <s v="SV 550_2022-07-29T15x30x00"/>
    <s v="B777/3-ER"/>
    <x v="0"/>
    <x v="50"/>
    <x v="2"/>
    <s v="Operational"/>
    <s v="SV 550"/>
    <m/>
    <m/>
    <m/>
    <m/>
    <x v="0"/>
    <x v="0"/>
  </r>
  <r>
    <n v="27834447"/>
    <x v="0"/>
    <x v="2085"/>
    <m/>
    <m/>
    <x v="0"/>
    <x v="88"/>
    <x v="31"/>
    <s v="Operational"/>
    <m/>
    <m/>
    <m/>
    <m/>
    <m/>
    <x v="0"/>
    <x v="0"/>
  </r>
  <r>
    <n v="27834460"/>
    <x v="0"/>
    <x v="2086"/>
    <s v="EK 202_2022-07-29T15x35x00"/>
    <s v="A380/8"/>
    <x v="4"/>
    <x v="103"/>
    <x v="4"/>
    <s v="Operational"/>
    <s v="EK 202"/>
    <m/>
    <m/>
    <m/>
    <m/>
    <x v="0"/>
    <x v="0"/>
  </r>
  <r>
    <n v="27834478"/>
    <x v="0"/>
    <x v="2087"/>
    <s v="SV 550_2022-07-29T15x30x00"/>
    <s v="B777/3-ER"/>
    <x v="0"/>
    <x v="50"/>
    <x v="0"/>
    <s v="Operational"/>
    <s v="SV 550"/>
    <m/>
    <m/>
    <m/>
    <m/>
    <x v="0"/>
    <x v="0"/>
  </r>
  <r>
    <n v="27834498"/>
    <x v="0"/>
    <x v="2088"/>
    <s v="FZ 8908_2022-07-29T15x05x00"/>
    <s v="B737/8"/>
    <x v="1"/>
    <x v="135"/>
    <x v="2"/>
    <s v="Operational"/>
    <s v="FZ 8908"/>
    <m/>
    <m/>
    <m/>
    <m/>
    <x v="0"/>
    <x v="0"/>
  </r>
  <r>
    <n v="27834513"/>
    <x v="0"/>
    <x v="2089"/>
    <s v="FZ 441_2022-07-29T16x00x00"/>
    <s v="B737/8"/>
    <x v="1"/>
    <x v="52"/>
    <x v="1"/>
    <s v="Operational"/>
    <s v="FZ 441"/>
    <m/>
    <m/>
    <m/>
    <m/>
    <x v="0"/>
    <x v="0"/>
  </r>
  <r>
    <n v="27834530"/>
    <x v="0"/>
    <x v="2090"/>
    <s v="FZ 8908_2022-07-29T15x05x00"/>
    <s v="B737/8"/>
    <x v="1"/>
    <x v="135"/>
    <x v="0"/>
    <s v="Operational"/>
    <s v="FZ 8908"/>
    <m/>
    <m/>
    <m/>
    <m/>
    <x v="0"/>
    <x v="0"/>
  </r>
  <r>
    <n v="27834546"/>
    <x v="0"/>
    <x v="2091"/>
    <s v="FG 401_2022-07-29T16x30x00"/>
    <s v="B737/5"/>
    <x v="1"/>
    <x v="121"/>
    <x v="3"/>
    <s v="Operational"/>
    <s v="FG 401"/>
    <m/>
    <m/>
    <m/>
    <m/>
    <x v="0"/>
    <x v="0"/>
  </r>
  <r>
    <n v="27834558"/>
    <x v="0"/>
    <x v="2092"/>
    <s v="EK 007_2022-07-29T22x30x00"/>
    <s v="A380/8"/>
    <x v="3"/>
    <x v="46"/>
    <x v="2"/>
    <s v="Operational"/>
    <s v="EK 007"/>
    <m/>
    <m/>
    <m/>
    <m/>
    <x v="0"/>
    <x v="0"/>
  </r>
  <r>
    <n v="27834568"/>
    <x v="0"/>
    <x v="2093"/>
    <s v="EK 072_2022-07-29T16x00x00"/>
    <s v="B777/3-ER"/>
    <x v="4"/>
    <x v="119"/>
    <x v="2"/>
    <s v="Operational"/>
    <s v="EK 072"/>
    <m/>
    <m/>
    <m/>
    <m/>
    <x v="0"/>
    <x v="0"/>
  </r>
  <r>
    <n v="27834581"/>
    <x v="0"/>
    <x v="2094"/>
    <s v="FG 401_2022-07-29T16x30x00"/>
    <s v="B737/5"/>
    <x v="1"/>
    <x v="121"/>
    <x v="4"/>
    <s v="Operational"/>
    <s v="FG 401"/>
    <m/>
    <m/>
    <m/>
    <m/>
    <x v="0"/>
    <x v="0"/>
  </r>
  <r>
    <n v="27834587"/>
    <x v="0"/>
    <x v="2095"/>
    <s v="EK 007_2022-07-29T22x30x00"/>
    <s v="A380/8"/>
    <x v="3"/>
    <x v="46"/>
    <x v="0"/>
    <s v="Operational"/>
    <s v="EK 007"/>
    <m/>
    <m/>
    <m/>
    <m/>
    <x v="0"/>
    <x v="0"/>
  </r>
  <r>
    <n v="27834592"/>
    <x v="0"/>
    <x v="2096"/>
    <s v="FG 401_2022-07-29T16x30x00"/>
    <s v="B737/5"/>
    <x v="1"/>
    <x v="121"/>
    <x v="15"/>
    <s v="Technical"/>
    <s v="FG 401"/>
    <m/>
    <m/>
    <m/>
    <m/>
    <x v="0"/>
    <x v="0"/>
  </r>
  <r>
    <n v="27834598"/>
    <x v="0"/>
    <x v="2097"/>
    <s v="EK 072_2022-07-29T16x00x00"/>
    <s v="B777/3-ER"/>
    <x v="4"/>
    <x v="119"/>
    <x v="0"/>
    <s v="Operational"/>
    <s v="EK 072"/>
    <m/>
    <m/>
    <m/>
    <m/>
    <x v="0"/>
    <x v="0"/>
  </r>
  <r>
    <n v="27834634"/>
    <x v="0"/>
    <x v="2098"/>
    <s v="EK 858_2022-07-29T16x25x00"/>
    <s v="B777/3-ER"/>
    <x v="4"/>
    <x v="136"/>
    <x v="3"/>
    <s v="Operational"/>
    <s v="EK 858"/>
    <m/>
    <m/>
    <m/>
    <m/>
    <x v="0"/>
    <x v="0"/>
  </r>
  <r>
    <n v="27834644"/>
    <x v="0"/>
    <x v="2099"/>
    <s v="PR 659_2022-07-29T15x40x00"/>
    <s v="A330/3"/>
    <x v="0"/>
    <x v="17"/>
    <x v="1"/>
    <s v="Operational"/>
    <s v="PR 659"/>
    <m/>
    <m/>
    <m/>
    <m/>
    <x v="0"/>
    <x v="0"/>
  </r>
  <r>
    <n v="27834654"/>
    <x v="0"/>
    <x v="2100"/>
    <s v="XY 508_2022-07-29T15x30x00"/>
    <s v="A320"/>
    <x v="0"/>
    <x v="63"/>
    <x v="1"/>
    <s v="Operational"/>
    <s v="XY 508"/>
    <m/>
    <m/>
    <m/>
    <m/>
    <x v="0"/>
    <x v="0"/>
  </r>
  <r>
    <n v="27834671"/>
    <x v="0"/>
    <x v="2101"/>
    <s v="GF 510_2022-07-29T16x15x00"/>
    <s v="A320-NEO"/>
    <x v="0"/>
    <x v="63"/>
    <x v="10"/>
    <s v="Operational"/>
    <s v="GF 510"/>
    <m/>
    <m/>
    <m/>
    <m/>
    <x v="0"/>
    <x v="0"/>
  </r>
  <r>
    <n v="27834672"/>
    <x v="0"/>
    <x v="2102"/>
    <s v="GF 510_2022-07-29T16x15x00"/>
    <s v="A320-NEO"/>
    <x v="0"/>
    <x v="63"/>
    <x v="11"/>
    <s v="Operational"/>
    <s v="GF 510"/>
    <m/>
    <m/>
    <m/>
    <m/>
    <x v="0"/>
    <x v="0"/>
  </r>
  <r>
    <n v="27834682"/>
    <x v="0"/>
    <x v="2103"/>
    <s v="FG 401_2022-07-29T16x30x00"/>
    <s v="B737/5"/>
    <x v="1"/>
    <x v="121"/>
    <x v="17"/>
    <s v="Technical"/>
    <s v="FG 401"/>
    <m/>
    <m/>
    <m/>
    <m/>
    <x v="0"/>
    <x v="0"/>
  </r>
  <r>
    <n v="27834694"/>
    <x v="0"/>
    <x v="2104"/>
    <s v="FZ 022_2022-07-29T13x55x00"/>
    <s v="B737/8-MAX"/>
    <x v="5"/>
    <x v="147"/>
    <x v="3"/>
    <s v="Operational"/>
    <s v="FZ 022"/>
    <m/>
    <m/>
    <m/>
    <m/>
    <x v="0"/>
    <x v="0"/>
  </r>
  <r>
    <n v="27834697"/>
    <x v="0"/>
    <x v="2105"/>
    <m/>
    <m/>
    <x v="7"/>
    <x v="167"/>
    <x v="8"/>
    <s v="Operational"/>
    <s v="EK 2646"/>
    <m/>
    <m/>
    <m/>
    <m/>
    <x v="0"/>
    <x v="0"/>
  </r>
  <r>
    <n v="27834720"/>
    <x v="0"/>
    <x v="2106"/>
    <m/>
    <m/>
    <x v="7"/>
    <x v="167"/>
    <x v="9"/>
    <s v="Operational"/>
    <m/>
    <m/>
    <m/>
    <m/>
    <m/>
    <x v="0"/>
    <x v="0"/>
  </r>
  <r>
    <n v="27834724"/>
    <x v="0"/>
    <x v="2107"/>
    <m/>
    <m/>
    <x v="7"/>
    <x v="167"/>
    <x v="13"/>
    <s v="Operational"/>
    <m/>
    <m/>
    <m/>
    <m/>
    <m/>
    <x v="0"/>
    <x v="0"/>
  </r>
  <r>
    <n v="27834752"/>
    <x v="0"/>
    <x v="2108"/>
    <m/>
    <m/>
    <x v="6"/>
    <x v="129"/>
    <x v="6"/>
    <s v="Operational"/>
    <m/>
    <m/>
    <m/>
    <m/>
    <m/>
    <x v="0"/>
    <x v="0"/>
  </r>
  <r>
    <n v="27834760"/>
    <x v="0"/>
    <x v="2109"/>
    <s v="EK 202_2022-07-29T15x35x00"/>
    <s v="A380/8"/>
    <x v="4"/>
    <x v="103"/>
    <x v="2"/>
    <s v="Operational"/>
    <s v="EK 202"/>
    <m/>
    <m/>
    <m/>
    <m/>
    <x v="0"/>
    <x v="0"/>
  </r>
  <r>
    <n v="27834771"/>
    <x v="0"/>
    <x v="2110"/>
    <s v="GF 510_2022-07-29T16x15x00"/>
    <s v="A320-NEO"/>
    <x v="0"/>
    <x v="63"/>
    <x v="2"/>
    <s v="Operational"/>
    <s v="GF 510"/>
    <m/>
    <m/>
    <m/>
    <m/>
    <x v="0"/>
    <x v="0"/>
  </r>
  <r>
    <n v="27834773"/>
    <x v="0"/>
    <x v="2111"/>
    <s v="EK 202_2022-07-29T15x35x00"/>
    <s v="A380/8"/>
    <x v="4"/>
    <x v="103"/>
    <x v="0"/>
    <s v="Operational"/>
    <s v="EK 202"/>
    <m/>
    <m/>
    <m/>
    <m/>
    <x v="0"/>
    <x v="0"/>
  </r>
  <r>
    <n v="27834805"/>
    <x v="0"/>
    <x v="2112"/>
    <s v="GF 510_2022-07-29T16x15x00"/>
    <s v="A320-NEO"/>
    <x v="0"/>
    <x v="63"/>
    <x v="0"/>
    <s v="Operational"/>
    <s v="GF 510"/>
    <m/>
    <m/>
    <m/>
    <m/>
    <x v="0"/>
    <x v="0"/>
  </r>
  <r>
    <n v="27834817"/>
    <x v="0"/>
    <x v="2113"/>
    <m/>
    <m/>
    <x v="7"/>
    <x v="167"/>
    <x v="14"/>
    <s v="Operational"/>
    <m/>
    <m/>
    <m/>
    <m/>
    <m/>
    <x v="0"/>
    <x v="0"/>
  </r>
  <r>
    <n v="27834837"/>
    <x v="0"/>
    <x v="2114"/>
    <s v="AC 056_2022-07-29T15x50x00"/>
    <s v="B787/9"/>
    <x v="0"/>
    <x v="92"/>
    <x v="3"/>
    <s v="Operational"/>
    <s v="AC 056"/>
    <m/>
    <m/>
    <m/>
    <m/>
    <x v="0"/>
    <x v="0"/>
  </r>
  <r>
    <n v="27834839"/>
    <x v="0"/>
    <x v="2114"/>
    <s v="FZ 028_2022-07-29T16x40x00"/>
    <s v="B737/8"/>
    <x v="1"/>
    <x v="34"/>
    <x v="3"/>
    <s v="Operational"/>
    <s v="FZ 028"/>
    <m/>
    <m/>
    <m/>
    <m/>
    <x v="0"/>
    <x v="0"/>
  </r>
  <r>
    <n v="27834849"/>
    <x v="0"/>
    <x v="2115"/>
    <s v="FZ 022_2022-07-29T13x55x00"/>
    <s v="B737/8-MAX"/>
    <x v="5"/>
    <x v="147"/>
    <x v="4"/>
    <s v="Operational"/>
    <s v="FZ 022"/>
    <m/>
    <m/>
    <m/>
    <m/>
    <x v="0"/>
    <x v="0"/>
  </r>
  <r>
    <n v="27834859"/>
    <x v="0"/>
    <x v="2116"/>
    <s v="EK 858_2022-07-29T16x25x00"/>
    <s v="B777/3-ER"/>
    <x v="4"/>
    <x v="136"/>
    <x v="4"/>
    <s v="Operational"/>
    <s v="EK 858"/>
    <m/>
    <m/>
    <m/>
    <m/>
    <x v="0"/>
    <x v="0"/>
  </r>
  <r>
    <n v="27834893"/>
    <x v="0"/>
    <x v="2117"/>
    <s v="FZ 028_2022-07-29T16x40x00"/>
    <s v="B737/8"/>
    <x v="1"/>
    <x v="34"/>
    <x v="4"/>
    <s v="Operational"/>
    <s v="FZ 028"/>
    <m/>
    <m/>
    <m/>
    <m/>
    <x v="0"/>
    <x v="0"/>
  </r>
  <r>
    <n v="27834895"/>
    <x v="0"/>
    <x v="2118"/>
    <s v="EK 141_2022-07-30T03x40x00"/>
    <s v="B777/3-ER"/>
    <x v="4"/>
    <x v="97"/>
    <x v="1"/>
    <s v="Operational"/>
    <m/>
    <m/>
    <m/>
    <m/>
    <m/>
    <x v="0"/>
    <x v="0"/>
  </r>
  <r>
    <n v="27834907"/>
    <x v="0"/>
    <x v="2119"/>
    <s v="EK 858_2022-07-29T16x25x00"/>
    <s v="B777/3-ER"/>
    <x v="4"/>
    <x v="136"/>
    <x v="2"/>
    <s v="Operational"/>
    <s v="EK 858"/>
    <m/>
    <m/>
    <m/>
    <m/>
    <x v="0"/>
    <x v="0"/>
  </r>
  <r>
    <n v="27834909"/>
    <x v="0"/>
    <x v="2120"/>
    <s v="AC 056_2022-07-29T15x50x00"/>
    <s v="B787/9"/>
    <x v="0"/>
    <x v="92"/>
    <x v="4"/>
    <s v="Operational"/>
    <s v="AC 056"/>
    <m/>
    <m/>
    <m/>
    <m/>
    <x v="0"/>
    <x v="0"/>
  </r>
  <r>
    <n v="27834914"/>
    <x v="0"/>
    <x v="2121"/>
    <s v="FG 401_2022-07-29T16x30x00"/>
    <s v="B737/5"/>
    <x v="1"/>
    <x v="121"/>
    <x v="2"/>
    <s v="Operational"/>
    <s v="FG 401"/>
    <m/>
    <m/>
    <m/>
    <m/>
    <x v="0"/>
    <x v="0"/>
  </r>
  <r>
    <n v="27834922"/>
    <x v="0"/>
    <x v="2122"/>
    <s v="EK 858_2022-07-29T16x25x00"/>
    <s v="B777/3-ER"/>
    <x v="4"/>
    <x v="136"/>
    <x v="0"/>
    <s v="Operational"/>
    <s v="EK 858"/>
    <m/>
    <m/>
    <m/>
    <m/>
    <x v="0"/>
    <x v="0"/>
  </r>
  <r>
    <n v="27834944"/>
    <x v="0"/>
    <x v="2123"/>
    <s v="FG 401_2022-07-29T16x30x00"/>
    <s v="B737/5"/>
    <x v="1"/>
    <x v="121"/>
    <x v="0"/>
    <s v="Operational"/>
    <s v="FG 401"/>
    <m/>
    <m/>
    <m/>
    <m/>
    <x v="0"/>
    <x v="0"/>
  </r>
  <r>
    <n v="27834975"/>
    <x v="0"/>
    <x v="2124"/>
    <m/>
    <m/>
    <x v="7"/>
    <x v="167"/>
    <x v="8"/>
    <s v="Operational"/>
    <s v="EK 2646"/>
    <m/>
    <m/>
    <m/>
    <m/>
    <x v="0"/>
    <x v="0"/>
  </r>
  <r>
    <n v="27834978"/>
    <x v="0"/>
    <x v="2125"/>
    <s v="FZ 586_2022-07-29T16x35x00"/>
    <s v="B737/8"/>
    <x v="1"/>
    <x v="1"/>
    <x v="3"/>
    <s v="Operational"/>
    <s v="FZ 586"/>
    <m/>
    <m/>
    <m/>
    <m/>
    <x v="0"/>
    <x v="0"/>
  </r>
  <r>
    <n v="27834985"/>
    <x v="0"/>
    <x v="2126"/>
    <s v="FZ 586_2022-07-29T16x35x00"/>
    <s v="B737/8"/>
    <x v="1"/>
    <x v="1"/>
    <x v="4"/>
    <s v="Operational"/>
    <s v="FZ 586"/>
    <m/>
    <m/>
    <m/>
    <m/>
    <x v="0"/>
    <x v="0"/>
  </r>
  <r>
    <n v="27835008"/>
    <x v="0"/>
    <x v="2127"/>
    <m/>
    <m/>
    <x v="7"/>
    <x v="167"/>
    <x v="9"/>
    <s v="Operational"/>
    <m/>
    <m/>
    <m/>
    <m/>
    <m/>
    <x v="0"/>
    <x v="0"/>
  </r>
  <r>
    <n v="27835010"/>
    <x v="0"/>
    <x v="2128"/>
    <m/>
    <m/>
    <x v="7"/>
    <x v="167"/>
    <x v="13"/>
    <s v="Operational"/>
    <m/>
    <m/>
    <m/>
    <m/>
    <m/>
    <x v="0"/>
    <x v="0"/>
  </r>
  <r>
    <n v="27835013"/>
    <x v="0"/>
    <x v="2129"/>
    <s v="FZ 022_2022-07-29T13x55x00"/>
    <s v="B737/8-MAX"/>
    <x v="5"/>
    <x v="147"/>
    <x v="2"/>
    <s v="Operational"/>
    <s v="FZ 022"/>
    <m/>
    <m/>
    <m/>
    <m/>
    <x v="0"/>
    <x v="0"/>
  </r>
  <r>
    <n v="27835029"/>
    <x v="0"/>
    <x v="2130"/>
    <s v="FZ 022_2022-07-29T13x55x00"/>
    <s v="B737/8-MAX"/>
    <x v="5"/>
    <x v="147"/>
    <x v="0"/>
    <s v="Operational"/>
    <s v="FZ 022"/>
    <m/>
    <m/>
    <m/>
    <m/>
    <x v="0"/>
    <x v="0"/>
  </r>
  <r>
    <n v="27835051"/>
    <x v="0"/>
    <x v="2131"/>
    <s v="FZ 1788_2022-07-29T16x15x00"/>
    <s v="B737/8-MAX"/>
    <x v="5"/>
    <x v="120"/>
    <x v="3"/>
    <s v="Operational"/>
    <s v="FZ 1788"/>
    <m/>
    <m/>
    <m/>
    <m/>
    <x v="0"/>
    <x v="0"/>
  </r>
  <r>
    <n v="27835055"/>
    <x v="0"/>
    <x v="2132"/>
    <m/>
    <m/>
    <x v="7"/>
    <x v="167"/>
    <x v="14"/>
    <s v="Operational"/>
    <m/>
    <m/>
    <m/>
    <m/>
    <m/>
    <x v="0"/>
    <x v="0"/>
  </r>
  <r>
    <n v="27835071"/>
    <x v="0"/>
    <x v="2133"/>
    <m/>
    <m/>
    <x v="7"/>
    <x v="167"/>
    <x v="13"/>
    <s v="Operational"/>
    <m/>
    <m/>
    <m/>
    <m/>
    <m/>
    <x v="0"/>
    <x v="0"/>
  </r>
  <r>
    <n v="27835087"/>
    <x v="0"/>
    <x v="2134"/>
    <s v="FZ 028_2022-07-29T16x40x00"/>
    <s v="B737/8"/>
    <x v="1"/>
    <x v="34"/>
    <x v="2"/>
    <s v="Operational"/>
    <s v="FZ 028"/>
    <m/>
    <m/>
    <m/>
    <m/>
    <x v="0"/>
    <x v="0"/>
  </r>
  <r>
    <n v="27835100"/>
    <x v="0"/>
    <x v="2135"/>
    <s v="FZ 028_2022-07-29T16x40x00"/>
    <s v="B737/8"/>
    <x v="1"/>
    <x v="34"/>
    <x v="0"/>
    <s v="Operational"/>
    <s v="FZ 028"/>
    <m/>
    <m/>
    <m/>
    <m/>
    <x v="0"/>
    <x v="0"/>
  </r>
  <r>
    <n v="27835111"/>
    <x v="0"/>
    <x v="2136"/>
    <m/>
    <m/>
    <x v="7"/>
    <x v="167"/>
    <x v="14"/>
    <s v="Operational"/>
    <m/>
    <m/>
    <m/>
    <m/>
    <m/>
    <x v="0"/>
    <x v="0"/>
  </r>
  <r>
    <n v="27835136"/>
    <x v="0"/>
    <x v="2137"/>
    <m/>
    <s v="B777/3-ER"/>
    <x v="6"/>
    <x v="129"/>
    <x v="2"/>
    <s v="Operational"/>
    <m/>
    <m/>
    <m/>
    <m/>
    <m/>
    <x v="0"/>
    <x v="0"/>
  </r>
  <r>
    <n v="27835152"/>
    <x v="0"/>
    <x v="2138"/>
    <s v="FZ 1502_2022-07-29T16x45x00"/>
    <s v="B737/8-MAX"/>
    <x v="2"/>
    <x v="56"/>
    <x v="3"/>
    <s v="Operational"/>
    <s v="FZ 1502"/>
    <m/>
    <m/>
    <m/>
    <m/>
    <x v="0"/>
    <x v="0"/>
  </r>
  <r>
    <n v="27835164"/>
    <x v="0"/>
    <x v="2139"/>
    <s v="AC 056_2022-07-29T15x50x00"/>
    <s v="B787/9"/>
    <x v="0"/>
    <x v="92"/>
    <x v="2"/>
    <s v="Operational"/>
    <s v="AC 056"/>
    <m/>
    <m/>
    <m/>
    <m/>
    <x v="0"/>
    <x v="0"/>
  </r>
  <r>
    <n v="27835170"/>
    <x v="0"/>
    <x v="2140"/>
    <m/>
    <s v="B777/3-ER"/>
    <x v="6"/>
    <x v="129"/>
    <x v="0"/>
    <s v="Operational"/>
    <m/>
    <m/>
    <m/>
    <m/>
    <m/>
    <x v="0"/>
    <x v="0"/>
  </r>
  <r>
    <n v="27835179"/>
    <x v="0"/>
    <x v="2141"/>
    <s v="FZ 1788_2022-07-29T16x15x00"/>
    <s v="B737/8-MAX"/>
    <x v="5"/>
    <x v="120"/>
    <x v="4"/>
    <s v="Operational"/>
    <s v="FZ 1788"/>
    <m/>
    <m/>
    <m/>
    <m/>
    <x v="0"/>
    <x v="0"/>
  </r>
  <r>
    <n v="27835183"/>
    <x v="0"/>
    <x v="2142"/>
    <s v="AC 056_2022-07-29T15x50x00"/>
    <s v="B787/9"/>
    <x v="0"/>
    <x v="92"/>
    <x v="0"/>
    <s v="Operational"/>
    <s v="AC 056"/>
    <m/>
    <m/>
    <m/>
    <m/>
    <x v="0"/>
    <x v="0"/>
  </r>
  <r>
    <n v="27835219"/>
    <x v="0"/>
    <x v="2143"/>
    <s v="FZ 258_2022-07-29T16x30x00"/>
    <s v="B737/8"/>
    <x v="5"/>
    <x v="23"/>
    <x v="3"/>
    <s v="Operational"/>
    <s v="FZ 258"/>
    <m/>
    <m/>
    <m/>
    <m/>
    <x v="0"/>
    <x v="0"/>
  </r>
  <r>
    <n v="27835226"/>
    <x v="0"/>
    <x v="2144"/>
    <s v="FZ 1502_2022-07-29T16x45x00"/>
    <s v="B737/8-MAX"/>
    <x v="2"/>
    <x v="56"/>
    <x v="4"/>
    <s v="Operational"/>
    <s v="FZ 1502"/>
    <m/>
    <m/>
    <m/>
    <m/>
    <x v="0"/>
    <x v="0"/>
  </r>
  <r>
    <n v="27835249"/>
    <x v="0"/>
    <x v="2145"/>
    <s v="FZ 586_2022-07-29T16x35x00"/>
    <s v="B737/8"/>
    <x v="1"/>
    <x v="1"/>
    <x v="2"/>
    <s v="Operational"/>
    <s v="FZ 586"/>
    <m/>
    <m/>
    <m/>
    <m/>
    <x v="0"/>
    <x v="0"/>
  </r>
  <r>
    <n v="27835256"/>
    <x v="0"/>
    <x v="2146"/>
    <s v="SG 005_2022-07-29T16x40x00"/>
    <s v="B737/8-MAX"/>
    <x v="0"/>
    <x v="9"/>
    <x v="3"/>
    <s v="Operational"/>
    <s v="SG 005"/>
    <m/>
    <m/>
    <m/>
    <m/>
    <x v="0"/>
    <x v="0"/>
  </r>
  <r>
    <n v="27835298"/>
    <x v="0"/>
    <x v="2147"/>
    <s v="CA 664_2022-07-29T16x45x00"/>
    <s v="A330/3"/>
    <x v="5"/>
    <x v="98"/>
    <x v="1"/>
    <s v="Operational"/>
    <s v="CA 664"/>
    <m/>
    <m/>
    <m/>
    <m/>
    <x v="0"/>
    <x v="0"/>
  </r>
  <r>
    <n v="27835305"/>
    <x v="0"/>
    <x v="2148"/>
    <s v="FZ 586_2022-07-29T16x35x00"/>
    <s v="B737/8"/>
    <x v="1"/>
    <x v="1"/>
    <x v="0"/>
    <s v="Operational"/>
    <s v="FZ 586"/>
    <m/>
    <m/>
    <m/>
    <m/>
    <x v="0"/>
    <x v="0"/>
  </r>
  <r>
    <n v="27835343"/>
    <x v="0"/>
    <x v="2149"/>
    <s v="SG 005_2022-07-29T16x40x00"/>
    <s v="B737/8-MAX"/>
    <x v="0"/>
    <x v="9"/>
    <x v="10"/>
    <s v="Operational"/>
    <s v="SG 005"/>
    <m/>
    <m/>
    <m/>
    <m/>
    <x v="0"/>
    <x v="0"/>
  </r>
  <r>
    <n v="27835344"/>
    <x v="0"/>
    <x v="2150"/>
    <s v="SG 005_2022-07-29T16x40x00"/>
    <s v="B737/8-MAX"/>
    <x v="0"/>
    <x v="9"/>
    <x v="11"/>
    <s v="Operational"/>
    <s v="SG 005"/>
    <m/>
    <m/>
    <m/>
    <m/>
    <x v="0"/>
    <x v="0"/>
  </r>
  <r>
    <n v="27835361"/>
    <x v="0"/>
    <x v="2151"/>
    <s v="F3 511_2022-07-29T16x25x00"/>
    <s v="A320-NEO"/>
    <x v="1"/>
    <x v="72"/>
    <x v="3"/>
    <s v="Operational"/>
    <s v="F3 511"/>
    <m/>
    <m/>
    <m/>
    <m/>
    <x v="0"/>
    <x v="0"/>
  </r>
  <r>
    <n v="27835378"/>
    <x v="0"/>
    <x v="2152"/>
    <s v="FZ 258_2022-07-29T16x30x00"/>
    <s v="B737/8"/>
    <x v="5"/>
    <x v="23"/>
    <x v="4"/>
    <s v="Operational"/>
    <s v="FZ 258"/>
    <m/>
    <m/>
    <m/>
    <m/>
    <x v="0"/>
    <x v="0"/>
  </r>
  <r>
    <n v="27835387"/>
    <x v="0"/>
    <x v="2153"/>
    <s v="FZ 1788_2022-07-29T16x15x00"/>
    <s v="B737/8-MAX"/>
    <x v="5"/>
    <x v="120"/>
    <x v="2"/>
    <s v="Operational"/>
    <s v="FZ 1788"/>
    <m/>
    <m/>
    <m/>
    <m/>
    <x v="0"/>
    <x v="0"/>
  </r>
  <r>
    <n v="27835406"/>
    <x v="0"/>
    <x v="2154"/>
    <s v="KC 207_2022-07-29T17x00x00"/>
    <s v="A321-NEO"/>
    <x v="0"/>
    <x v="57"/>
    <x v="3"/>
    <s v="Operational"/>
    <s v="KC 207"/>
    <m/>
    <m/>
    <m/>
    <m/>
    <x v="0"/>
    <x v="0"/>
  </r>
  <r>
    <n v="27835409"/>
    <x v="0"/>
    <x v="2154"/>
    <s v="FZ 1788_2022-07-29T16x15x00"/>
    <s v="B737/8-MAX"/>
    <x v="5"/>
    <x v="120"/>
    <x v="0"/>
    <s v="Operational"/>
    <s v="FZ 1788"/>
    <m/>
    <m/>
    <m/>
    <m/>
    <x v="0"/>
    <x v="0"/>
  </r>
  <r>
    <n v="27835416"/>
    <x v="0"/>
    <x v="2155"/>
    <s v="F3 511_2022-07-29T16x25x00"/>
    <s v="A320-NEO"/>
    <x v="1"/>
    <x v="72"/>
    <x v="4"/>
    <s v="Operational"/>
    <s v="F3 511"/>
    <m/>
    <m/>
    <m/>
    <m/>
    <x v="0"/>
    <x v="0"/>
  </r>
  <r>
    <n v="27835428"/>
    <x v="0"/>
    <x v="2156"/>
    <s v="SV 561_2022-07-29T16x30x00"/>
    <s v="A330/3"/>
    <x v="0"/>
    <x v="61"/>
    <x v="1"/>
    <s v="Operational"/>
    <s v="SV 561"/>
    <m/>
    <m/>
    <m/>
    <m/>
    <x v="0"/>
    <x v="0"/>
  </r>
  <r>
    <n v="27835449"/>
    <x v="0"/>
    <x v="2157"/>
    <s v="KC 207_2022-07-29T17x00x00"/>
    <s v="A321-NEO"/>
    <x v="0"/>
    <x v="57"/>
    <x v="4"/>
    <s v="Operational"/>
    <s v="KC 207"/>
    <m/>
    <m/>
    <m/>
    <m/>
    <x v="0"/>
    <x v="0"/>
  </r>
  <r>
    <n v="27835473"/>
    <x v="0"/>
    <x v="2158"/>
    <s v="FZ 1502_2022-07-29T16x45x00"/>
    <s v="B737/8-MAX"/>
    <x v="2"/>
    <x v="56"/>
    <x v="2"/>
    <s v="Operational"/>
    <s v="FZ 1502"/>
    <m/>
    <m/>
    <m/>
    <m/>
    <x v="0"/>
    <x v="0"/>
  </r>
  <r>
    <n v="27835483"/>
    <x v="0"/>
    <x v="2159"/>
    <s v="FZ 1502_2022-07-29T16x45x00"/>
    <s v="B737/8-MAX"/>
    <x v="2"/>
    <x v="56"/>
    <x v="0"/>
    <s v="Operational"/>
    <s v="FZ 1502"/>
    <m/>
    <m/>
    <m/>
    <m/>
    <x v="0"/>
    <x v="0"/>
  </r>
  <r>
    <n v="27835497"/>
    <x v="0"/>
    <x v="2160"/>
    <s v="ME 428_2022-07-29T16x40x00"/>
    <s v="A330/2"/>
    <x v="0"/>
    <x v="61"/>
    <x v="3"/>
    <s v="Operational"/>
    <s v="ME 428"/>
    <m/>
    <m/>
    <m/>
    <m/>
    <x v="0"/>
    <x v="0"/>
  </r>
  <r>
    <n v="27835521"/>
    <x v="0"/>
    <x v="2161"/>
    <s v="W6 2358_2022-07-29T16x05x00"/>
    <s v="A321-NEO"/>
    <x v="1"/>
    <x v="101"/>
    <x v="1"/>
    <s v="Operational"/>
    <s v="W6 2358"/>
    <m/>
    <m/>
    <m/>
    <m/>
    <x v="0"/>
    <x v="0"/>
  </r>
  <r>
    <n v="27835527"/>
    <x v="0"/>
    <x v="2162"/>
    <s v="FZ 631_2022-07-29T16x05x00"/>
    <s v="B737/8-MAX"/>
    <x v="5"/>
    <x v="139"/>
    <x v="1"/>
    <s v="Operational"/>
    <s v="FZ 631"/>
    <m/>
    <m/>
    <m/>
    <m/>
    <x v="0"/>
    <x v="0"/>
  </r>
  <r>
    <n v="27835550"/>
    <x v="0"/>
    <x v="2163"/>
    <s v="EK 503_2022-07-29T17x00x00"/>
    <s v="B777/2-LR"/>
    <x v="3"/>
    <x v="44"/>
    <x v="3"/>
    <s v="Operational"/>
    <s v="EK 503"/>
    <m/>
    <m/>
    <m/>
    <m/>
    <x v="0"/>
    <x v="0"/>
  </r>
  <r>
    <n v="27835559"/>
    <x v="0"/>
    <x v="2164"/>
    <s v="FZ 258_2022-07-29T16x30x00"/>
    <s v="B737/8"/>
    <x v="5"/>
    <x v="23"/>
    <x v="2"/>
    <s v="Operational"/>
    <s v="FZ 258"/>
    <m/>
    <m/>
    <m/>
    <m/>
    <x v="0"/>
    <x v="0"/>
  </r>
  <r>
    <n v="27835563"/>
    <x v="0"/>
    <x v="2165"/>
    <s v="EK 503_2022-07-29T17x00x00"/>
    <s v="B777/2-LR"/>
    <x v="3"/>
    <x v="44"/>
    <x v="4"/>
    <s v="Operational"/>
    <s v="EK 503"/>
    <m/>
    <m/>
    <m/>
    <m/>
    <x v="0"/>
    <x v="0"/>
  </r>
  <r>
    <n v="27835569"/>
    <x v="0"/>
    <x v="2166"/>
    <s v="FZ 258_2022-07-29T16x30x00"/>
    <s v="B737/8"/>
    <x v="5"/>
    <x v="23"/>
    <x v="0"/>
    <s v="Operational"/>
    <s v="FZ 258"/>
    <m/>
    <m/>
    <m/>
    <m/>
    <x v="0"/>
    <x v="0"/>
  </r>
  <r>
    <n v="27835603"/>
    <x v="0"/>
    <x v="2167"/>
    <s v="F3 511_2022-07-29T16x25x00"/>
    <s v="A320-NEO"/>
    <x v="1"/>
    <x v="72"/>
    <x v="2"/>
    <s v="Operational"/>
    <s v="F3 511"/>
    <m/>
    <m/>
    <m/>
    <m/>
    <x v="0"/>
    <x v="0"/>
  </r>
  <r>
    <n v="27835611"/>
    <x v="0"/>
    <x v="2168"/>
    <s v="F3 511_2022-07-29T16x25x00"/>
    <s v="A320-NEO"/>
    <x v="1"/>
    <x v="72"/>
    <x v="0"/>
    <s v="Operational"/>
    <s v="F3 511"/>
    <m/>
    <m/>
    <m/>
    <m/>
    <x v="0"/>
    <x v="0"/>
  </r>
  <r>
    <n v="27835624"/>
    <x v="0"/>
    <x v="2169"/>
    <s v="SG 005_2022-07-29T16x40x00"/>
    <s v="B737/8-MAX"/>
    <x v="0"/>
    <x v="9"/>
    <x v="2"/>
    <s v="Operational"/>
    <s v="SG 005"/>
    <m/>
    <m/>
    <m/>
    <m/>
    <x v="0"/>
    <x v="0"/>
  </r>
  <r>
    <n v="27835633"/>
    <x v="0"/>
    <x v="2170"/>
    <s v="SG 005_2022-07-29T16x40x00"/>
    <s v="B737/8-MAX"/>
    <x v="0"/>
    <x v="9"/>
    <x v="0"/>
    <s v="Operational"/>
    <s v="SG 005"/>
    <m/>
    <m/>
    <m/>
    <m/>
    <x v="0"/>
    <x v="0"/>
  </r>
  <r>
    <n v="27835638"/>
    <x v="0"/>
    <x v="2170"/>
    <s v="6E 027_2022-07-29T17x15x00"/>
    <s v="A320-NEO"/>
    <x v="0"/>
    <x v="17"/>
    <x v="3"/>
    <s v="Operational"/>
    <s v="6E 027"/>
    <m/>
    <m/>
    <m/>
    <m/>
    <x v="0"/>
    <x v="0"/>
  </r>
  <r>
    <n v="27835679"/>
    <x v="0"/>
    <x v="2171"/>
    <s v="ES 263_2022-07-29T16x55x00"/>
    <s v="B767/3"/>
    <x v="1"/>
    <x v="117"/>
    <x v="3"/>
    <s v="Operational"/>
    <s v="ES 263"/>
    <m/>
    <m/>
    <m/>
    <m/>
    <x v="0"/>
    <x v="0"/>
  </r>
  <r>
    <n v="27835684"/>
    <x v="0"/>
    <x v="2172"/>
    <s v="ES 263_2022-07-29T16x55x00"/>
    <s v="B767/3"/>
    <x v="1"/>
    <x v="117"/>
    <x v="4"/>
    <s v="Operational"/>
    <s v="ES 263"/>
    <m/>
    <m/>
    <m/>
    <m/>
    <x v="0"/>
    <x v="0"/>
  </r>
  <r>
    <n v="27835693"/>
    <x v="0"/>
    <x v="2173"/>
    <s v="6E 027_2022-07-29T17x15x00"/>
    <s v="A320-NEO"/>
    <x v="0"/>
    <x v="17"/>
    <x v="4"/>
    <s v="Operational"/>
    <s v="6E 027"/>
    <m/>
    <m/>
    <m/>
    <m/>
    <x v="0"/>
    <x v="0"/>
  </r>
  <r>
    <n v="27835697"/>
    <x v="0"/>
    <x v="2174"/>
    <s v="PA 111_2022-07-29T16x40x00"/>
    <s v="A320"/>
    <x v="0"/>
    <x v="3"/>
    <x v="1"/>
    <s v="Operational"/>
    <s v="PA 111"/>
    <m/>
    <m/>
    <m/>
    <m/>
    <x v="0"/>
    <x v="0"/>
  </r>
  <r>
    <n v="27835726"/>
    <x v="0"/>
    <x v="2175"/>
    <s v="FZ 1627_2022-07-29T16x25x00"/>
    <s v="B737/9-MAX"/>
    <x v="5"/>
    <x v="89"/>
    <x v="1"/>
    <s v="Operational"/>
    <s v="FZ 1627"/>
    <m/>
    <m/>
    <m/>
    <m/>
    <x v="0"/>
    <x v="0"/>
  </r>
  <r>
    <n v="27835742"/>
    <x v="0"/>
    <x v="2176"/>
    <m/>
    <m/>
    <x v="4"/>
    <x v="123"/>
    <x v="14"/>
    <s v="Operational"/>
    <m/>
    <m/>
    <m/>
    <m/>
    <m/>
    <x v="0"/>
    <x v="0"/>
  </r>
  <r>
    <n v="27835753"/>
    <x v="0"/>
    <x v="2177"/>
    <s v="ME 428_2022-07-29T16x40x00"/>
    <s v="A330/2"/>
    <x v="0"/>
    <x v="61"/>
    <x v="4"/>
    <s v="Operational"/>
    <s v="ME 428"/>
    <m/>
    <m/>
    <m/>
    <m/>
    <x v="0"/>
    <x v="0"/>
  </r>
  <r>
    <n v="27835769"/>
    <x v="0"/>
    <x v="2178"/>
    <s v="BS 341_2022-07-29T16x55x00"/>
    <s v="B737/8"/>
    <x v="0"/>
    <x v="9"/>
    <x v="3"/>
    <s v="Operational"/>
    <s v="BS 341"/>
    <m/>
    <m/>
    <m/>
    <m/>
    <x v="0"/>
    <x v="0"/>
  </r>
  <r>
    <n v="27835782"/>
    <x v="0"/>
    <x v="2179"/>
    <s v="ME 428_2022-07-29T16x40x00"/>
    <s v="A330/2"/>
    <x v="0"/>
    <x v="61"/>
    <x v="2"/>
    <s v="Operational"/>
    <s v="ME 428"/>
    <m/>
    <m/>
    <m/>
    <m/>
    <x v="0"/>
    <x v="0"/>
  </r>
  <r>
    <n v="27835785"/>
    <x v="0"/>
    <x v="2180"/>
    <s v="FZ 8705_2022-07-29T16x10x00"/>
    <s v="B737/8"/>
    <x v="1"/>
    <x v="6"/>
    <x v="1"/>
    <s v="Operational"/>
    <s v="FZ 8705"/>
    <m/>
    <m/>
    <m/>
    <m/>
    <x v="0"/>
    <x v="0"/>
  </r>
  <r>
    <n v="27835818"/>
    <x v="0"/>
    <x v="2181"/>
    <s v="BS 341_2022-07-29T16x55x00"/>
    <s v="B737/8"/>
    <x v="0"/>
    <x v="9"/>
    <x v="10"/>
    <s v="Operational"/>
    <s v="BS 341"/>
    <m/>
    <m/>
    <m/>
    <m/>
    <x v="0"/>
    <x v="0"/>
  </r>
  <r>
    <n v="27835821"/>
    <x v="0"/>
    <x v="2182"/>
    <s v="BS 341_2022-07-29T16x55x00"/>
    <s v="B737/8"/>
    <x v="0"/>
    <x v="9"/>
    <x v="11"/>
    <s v="Operational"/>
    <s v="BS 341"/>
    <m/>
    <m/>
    <m/>
    <m/>
    <x v="0"/>
    <x v="0"/>
  </r>
  <r>
    <n v="27835832"/>
    <x v="0"/>
    <x v="2183"/>
    <s v="ME 428_2022-07-29T16x40x00"/>
    <s v="A330/2"/>
    <x v="0"/>
    <x v="61"/>
    <x v="0"/>
    <s v="Operational"/>
    <s v="ME 428"/>
    <m/>
    <m/>
    <m/>
    <m/>
    <x v="0"/>
    <x v="0"/>
  </r>
  <r>
    <n v="27835855"/>
    <x v="0"/>
    <x v="2184"/>
    <s v="IA 106_2022-07-29T16x45x00"/>
    <s v="B737/8"/>
    <x v="1"/>
    <x v="87"/>
    <x v="1"/>
    <s v="Operational"/>
    <s v="IA 106"/>
    <m/>
    <m/>
    <m/>
    <m/>
    <x v="0"/>
    <x v="0"/>
  </r>
  <r>
    <n v="27835869"/>
    <x v="0"/>
    <x v="2185"/>
    <s v="MS 906_2022-07-29T16x20x00"/>
    <s v="B777/3-ER"/>
    <x v="0"/>
    <x v="0"/>
    <x v="1"/>
    <s v="Operational"/>
    <s v="MS 906"/>
    <m/>
    <m/>
    <m/>
    <m/>
    <x v="0"/>
    <x v="0"/>
  </r>
  <r>
    <n v="27835875"/>
    <x v="0"/>
    <x v="2186"/>
    <m/>
    <m/>
    <x v="1"/>
    <x v="52"/>
    <x v="13"/>
    <s v="Operational"/>
    <m/>
    <m/>
    <m/>
    <m/>
    <m/>
    <x v="0"/>
    <x v="0"/>
  </r>
  <r>
    <n v="27835880"/>
    <x v="0"/>
    <x v="2187"/>
    <s v="SV 552_2022-07-29T17x00x00"/>
    <s v="A321"/>
    <x v="0"/>
    <x v="0"/>
    <x v="3"/>
    <s v="Operational"/>
    <s v="SV 552"/>
    <m/>
    <m/>
    <m/>
    <m/>
    <x v="0"/>
    <x v="0"/>
  </r>
  <r>
    <n v="27835896"/>
    <x v="0"/>
    <x v="2188"/>
    <s v="6E 061_2022-07-29T17x00x00"/>
    <s v="A320-NEO"/>
    <x v="0"/>
    <x v="29"/>
    <x v="3"/>
    <s v="Operational"/>
    <s v="6E 061"/>
    <m/>
    <m/>
    <m/>
    <m/>
    <x v="0"/>
    <x v="0"/>
  </r>
  <r>
    <n v="27835900"/>
    <x v="0"/>
    <x v="2189"/>
    <s v="KC 207_2022-07-29T17x00x00"/>
    <s v="A321-NEO"/>
    <x v="0"/>
    <x v="57"/>
    <x v="2"/>
    <s v="Operational"/>
    <s v="KC 207"/>
    <m/>
    <m/>
    <m/>
    <m/>
    <x v="0"/>
    <x v="0"/>
  </r>
  <r>
    <n v="27835906"/>
    <x v="0"/>
    <x v="2190"/>
    <m/>
    <m/>
    <x v="1"/>
    <x v="52"/>
    <x v="14"/>
    <s v="Operational"/>
    <m/>
    <m/>
    <m/>
    <m/>
    <m/>
    <x v="0"/>
    <x v="0"/>
  </r>
  <r>
    <n v="27835920"/>
    <x v="0"/>
    <x v="2191"/>
    <s v="QR 1018_2022-07-29T16x55x00"/>
    <s v="B777/3-ER"/>
    <x v="0"/>
    <x v="40"/>
    <x v="3"/>
    <s v="Operational"/>
    <s v="QR 1018"/>
    <m/>
    <m/>
    <m/>
    <m/>
    <x v="0"/>
    <x v="0"/>
  </r>
  <r>
    <n v="27835928"/>
    <x v="0"/>
    <x v="2192"/>
    <s v="SV 552_2022-07-29T17x00x00"/>
    <s v="A321"/>
    <x v="0"/>
    <x v="0"/>
    <x v="4"/>
    <s v="Operational"/>
    <s v="SV 552"/>
    <m/>
    <m/>
    <m/>
    <m/>
    <x v="0"/>
    <x v="0"/>
  </r>
  <r>
    <n v="27835934"/>
    <x v="0"/>
    <x v="2193"/>
    <s v="KC 207_2022-07-29T17x00x00"/>
    <s v="A321-NEO"/>
    <x v="0"/>
    <x v="57"/>
    <x v="0"/>
    <s v="Operational"/>
    <s v="KC 207"/>
    <m/>
    <m/>
    <m/>
    <m/>
    <x v="0"/>
    <x v="0"/>
  </r>
  <r>
    <n v="27835945"/>
    <x v="0"/>
    <x v="2194"/>
    <m/>
    <m/>
    <x v="5"/>
    <x v="82"/>
    <x v="13"/>
    <s v="Operational"/>
    <m/>
    <m/>
    <m/>
    <m/>
    <m/>
    <x v="0"/>
    <x v="0"/>
  </r>
  <r>
    <n v="27835966"/>
    <x v="0"/>
    <x v="2195"/>
    <m/>
    <m/>
    <x v="5"/>
    <x v="82"/>
    <x v="14"/>
    <s v="Operational"/>
    <m/>
    <m/>
    <m/>
    <m/>
    <m/>
    <x v="0"/>
    <x v="0"/>
  </r>
  <r>
    <n v="27835998"/>
    <x v="0"/>
    <x v="2196"/>
    <m/>
    <m/>
    <x v="1"/>
    <x v="52"/>
    <x v="8"/>
    <s v="Operational"/>
    <s v="FZ 447"/>
    <m/>
    <m/>
    <m/>
    <m/>
    <x v="0"/>
    <x v="0"/>
  </r>
  <r>
    <n v="27836011"/>
    <x v="0"/>
    <x v="2197"/>
    <s v="ES 263_2022-07-29T16x55x00"/>
    <s v="B767/3"/>
    <x v="1"/>
    <x v="117"/>
    <x v="2"/>
    <s v="Operational"/>
    <s v="ES 263"/>
    <m/>
    <m/>
    <m/>
    <m/>
    <x v="0"/>
    <x v="0"/>
  </r>
  <r>
    <n v="27836027"/>
    <x v="0"/>
    <x v="2198"/>
    <s v="AI 916_2022-07-29T16x50x00"/>
    <s v="B787/8"/>
    <x v="0"/>
    <x v="22"/>
    <x v="1"/>
    <s v="Operational"/>
    <s v="AI 916"/>
    <m/>
    <m/>
    <m/>
    <m/>
    <x v="0"/>
    <x v="0"/>
  </r>
  <r>
    <n v="27836039"/>
    <x v="0"/>
    <x v="2199"/>
    <s v="ES 263_2022-07-29T16x55x00"/>
    <s v="B767/3"/>
    <x v="1"/>
    <x v="117"/>
    <x v="0"/>
    <s v="Operational"/>
    <s v="ES 263"/>
    <m/>
    <m/>
    <m/>
    <m/>
    <x v="0"/>
    <x v="0"/>
  </r>
  <r>
    <n v="27836071"/>
    <x v="0"/>
    <x v="2200"/>
    <s v="QR 1018_2022-07-29T16x55x00"/>
    <s v="B777/3-ER"/>
    <x v="0"/>
    <x v="40"/>
    <x v="4"/>
    <s v="Operational"/>
    <s v="QR 1018"/>
    <m/>
    <m/>
    <m/>
    <m/>
    <x v="0"/>
    <x v="0"/>
  </r>
  <r>
    <n v="27836088"/>
    <x v="0"/>
    <x v="2201"/>
    <s v="EK 503_2022-07-29T17x00x00"/>
    <s v="B777/2-LR"/>
    <x v="3"/>
    <x v="44"/>
    <x v="2"/>
    <s v="Operational"/>
    <s v="EK 503"/>
    <m/>
    <m/>
    <m/>
    <m/>
    <x v="0"/>
    <x v="0"/>
  </r>
  <r>
    <n v="27836112"/>
    <x v="0"/>
    <x v="2202"/>
    <s v="EK 503_2022-07-29T17x00x00"/>
    <s v="B777/2-LR"/>
    <x v="3"/>
    <x v="44"/>
    <x v="0"/>
    <s v="Operational"/>
    <s v="EK 503"/>
    <m/>
    <m/>
    <m/>
    <m/>
    <x v="0"/>
    <x v="0"/>
  </r>
  <r>
    <n v="27836131"/>
    <x v="0"/>
    <x v="2203"/>
    <s v="SV 552_2022-07-29T17x00x00"/>
    <s v="A321"/>
    <x v="0"/>
    <x v="0"/>
    <x v="2"/>
    <s v="Operational"/>
    <s v="SV 552"/>
    <m/>
    <m/>
    <m/>
    <m/>
    <x v="0"/>
    <x v="0"/>
  </r>
  <r>
    <n v="27836135"/>
    <x v="0"/>
    <x v="2204"/>
    <s v="EK 821_2022-07-29T16x50x00"/>
    <s v="B777/3-ER"/>
    <x v="4"/>
    <x v="141"/>
    <x v="1"/>
    <s v="Operational"/>
    <s v="EK 821"/>
    <m/>
    <m/>
    <m/>
    <m/>
    <x v="0"/>
    <x v="0"/>
  </r>
  <r>
    <n v="27836150"/>
    <x v="0"/>
    <x v="2205"/>
    <s v="SV 552_2022-07-29T17x00x00"/>
    <s v="A321"/>
    <x v="0"/>
    <x v="0"/>
    <x v="0"/>
    <s v="Operational"/>
    <s v="SV 552"/>
    <m/>
    <m/>
    <m/>
    <m/>
    <x v="0"/>
    <x v="0"/>
  </r>
  <r>
    <n v="27836215"/>
    <x v="0"/>
    <x v="2206"/>
    <s v="6E 027_2022-07-29T17x15x00"/>
    <s v="A320-NEO"/>
    <x v="0"/>
    <x v="17"/>
    <x v="2"/>
    <s v="Operational"/>
    <s v="6E 027"/>
    <m/>
    <m/>
    <m/>
    <m/>
    <x v="0"/>
    <x v="0"/>
  </r>
  <r>
    <n v="27836231"/>
    <x v="0"/>
    <x v="2207"/>
    <s v="6E 027_2022-07-29T17x15x00"/>
    <s v="A320-NEO"/>
    <x v="0"/>
    <x v="17"/>
    <x v="0"/>
    <s v="Operational"/>
    <s v="6E 027"/>
    <m/>
    <m/>
    <m/>
    <m/>
    <x v="0"/>
    <x v="0"/>
  </r>
  <r>
    <n v="27836291"/>
    <x v="0"/>
    <x v="2208"/>
    <s v="BS 341_2022-07-29T16x55x00"/>
    <s v="B737/8"/>
    <x v="0"/>
    <x v="9"/>
    <x v="2"/>
    <s v="Operational"/>
    <s v="BS 341"/>
    <m/>
    <m/>
    <m/>
    <m/>
    <x v="0"/>
    <x v="0"/>
  </r>
  <r>
    <n v="27836301"/>
    <x v="0"/>
    <x v="2209"/>
    <s v="FZ 048_2022-07-29T17x25x00"/>
    <s v="B737/8"/>
    <x v="1"/>
    <x v="6"/>
    <x v="3"/>
    <s v="Operational"/>
    <s v="FZ 048"/>
    <m/>
    <m/>
    <m/>
    <m/>
    <x v="0"/>
    <x v="0"/>
  </r>
  <r>
    <n v="27836306"/>
    <x v="0"/>
    <x v="2210"/>
    <s v="FZ 048_2022-07-29T17x25x00"/>
    <s v="B737/8"/>
    <x v="1"/>
    <x v="6"/>
    <x v="4"/>
    <s v="Operational"/>
    <s v="FZ 048"/>
    <m/>
    <m/>
    <m/>
    <m/>
    <x v="0"/>
    <x v="0"/>
  </r>
  <r>
    <n v="27836328"/>
    <x v="0"/>
    <x v="2211"/>
    <s v="BS 341_2022-07-29T16x55x00"/>
    <s v="B737/8"/>
    <x v="0"/>
    <x v="9"/>
    <x v="0"/>
    <s v="Operational"/>
    <s v="BS 341"/>
    <m/>
    <m/>
    <m/>
    <m/>
    <x v="0"/>
    <x v="0"/>
  </r>
  <r>
    <n v="27836339"/>
    <x v="0"/>
    <x v="2212"/>
    <s v="GF 511_2022-07-29T17x00x00"/>
    <s v="A320-NEO"/>
    <x v="0"/>
    <x v="63"/>
    <x v="1"/>
    <s v="Operational"/>
    <s v="GF 511"/>
    <m/>
    <m/>
    <m/>
    <m/>
    <x v="0"/>
    <x v="0"/>
  </r>
  <r>
    <n v="27836364"/>
    <x v="0"/>
    <x v="2213"/>
    <m/>
    <m/>
    <x v="1"/>
    <x v="52"/>
    <x v="9"/>
    <s v="Operational"/>
    <m/>
    <m/>
    <m/>
    <m/>
    <m/>
    <x v="0"/>
    <x v="0"/>
  </r>
  <r>
    <n v="27836375"/>
    <x v="0"/>
    <x v="2214"/>
    <m/>
    <m/>
    <x v="1"/>
    <x v="52"/>
    <x v="13"/>
    <s v="Operational"/>
    <m/>
    <m/>
    <m/>
    <m/>
    <m/>
    <x v="0"/>
    <x v="0"/>
  </r>
  <r>
    <n v="27836385"/>
    <x v="0"/>
    <x v="2215"/>
    <s v="QR 1018_2022-07-29T16x55x00"/>
    <s v="B777/3-ER"/>
    <x v="0"/>
    <x v="40"/>
    <x v="2"/>
    <s v="Operational"/>
    <s v="QR 1018"/>
    <m/>
    <m/>
    <m/>
    <m/>
    <x v="0"/>
    <x v="0"/>
  </r>
  <r>
    <n v="27836402"/>
    <x v="0"/>
    <x v="2216"/>
    <s v="QR 1018_2022-07-29T16x55x00"/>
    <s v="B777/3-ER"/>
    <x v="0"/>
    <x v="40"/>
    <x v="0"/>
    <s v="Operational"/>
    <s v="QR 1018"/>
    <m/>
    <m/>
    <m/>
    <m/>
    <x v="0"/>
    <x v="0"/>
  </r>
  <r>
    <n v="27836416"/>
    <x v="0"/>
    <x v="2217"/>
    <s v="EK 932_2022-07-29T17x05x00"/>
    <s v="B777/3-ER"/>
    <x v="3"/>
    <x v="118"/>
    <x v="3"/>
    <s v="Operational"/>
    <s v="EK 932"/>
    <m/>
    <m/>
    <m/>
    <m/>
    <x v="0"/>
    <x v="0"/>
  </r>
  <r>
    <n v="27836426"/>
    <x v="0"/>
    <x v="2218"/>
    <s v="EK 859_2022-07-29T16x30x00"/>
    <s v="B777/3-ER"/>
    <x v="4"/>
    <x v="25"/>
    <x v="1"/>
    <s v="Operational"/>
    <s v="EK 859"/>
    <m/>
    <m/>
    <m/>
    <m/>
    <x v="0"/>
    <x v="0"/>
  </r>
  <r>
    <n v="27836459"/>
    <x v="0"/>
    <x v="2219"/>
    <s v="EK 661_2022-07-29T17x25x00"/>
    <s v="B777/3-ER"/>
    <x v="3"/>
    <x v="104"/>
    <x v="3"/>
    <s v="Operational"/>
    <s v="EK 661"/>
    <m/>
    <m/>
    <m/>
    <m/>
    <x v="0"/>
    <x v="0"/>
  </r>
  <r>
    <n v="27836461"/>
    <x v="0"/>
    <x v="2220"/>
    <m/>
    <m/>
    <x v="1"/>
    <x v="52"/>
    <x v="14"/>
    <s v="Operational"/>
    <m/>
    <m/>
    <m/>
    <m/>
    <m/>
    <x v="0"/>
    <x v="0"/>
  </r>
  <r>
    <n v="27836473"/>
    <x v="0"/>
    <x v="2221"/>
    <m/>
    <m/>
    <x v="1"/>
    <x v="52"/>
    <x v="6"/>
    <s v="Operational"/>
    <m/>
    <m/>
    <m/>
    <m/>
    <m/>
    <x v="0"/>
    <x v="0"/>
  </r>
  <r>
    <n v="27836483"/>
    <x v="0"/>
    <x v="2222"/>
    <s v="FZ 447_2022-07-29T18x20x00"/>
    <s v="A320/2"/>
    <x v="1"/>
    <x v="52"/>
    <x v="15"/>
    <s v="Technical"/>
    <m/>
    <m/>
    <m/>
    <m/>
    <m/>
    <x v="0"/>
    <x v="0"/>
  </r>
  <r>
    <n v="27836488"/>
    <x v="0"/>
    <x v="2223"/>
    <s v="FZ 447_2022-07-29T18x20x00"/>
    <s v="A320/2"/>
    <x v="1"/>
    <x v="52"/>
    <x v="17"/>
    <s v="Technical"/>
    <m/>
    <m/>
    <m/>
    <m/>
    <m/>
    <x v="0"/>
    <x v="0"/>
  </r>
  <r>
    <n v="27836507"/>
    <x v="0"/>
    <x v="2224"/>
    <s v="FZ 447_2022-07-29T18x20x00"/>
    <s v="A320/2"/>
    <x v="1"/>
    <x v="52"/>
    <x v="23"/>
    <s v="Operational"/>
    <m/>
    <m/>
    <m/>
    <m/>
    <m/>
    <x v="0"/>
    <x v="0"/>
  </r>
  <r>
    <n v="27836518"/>
    <x v="0"/>
    <x v="2225"/>
    <s v="FZ 612_2022-07-29T17x10x00"/>
    <s v="B737/8-MAX"/>
    <x v="1"/>
    <x v="83"/>
    <x v="3"/>
    <s v="Operational"/>
    <s v="FZ 612"/>
    <m/>
    <m/>
    <m/>
    <m/>
    <x v="0"/>
    <x v="0"/>
  </r>
  <r>
    <n v="27836523"/>
    <x v="0"/>
    <x v="2226"/>
    <s v="FZ 612_2022-07-29T17x10x00"/>
    <s v="B737/8-MAX"/>
    <x v="1"/>
    <x v="83"/>
    <x v="4"/>
    <s v="Operational"/>
    <s v="FZ 612"/>
    <m/>
    <m/>
    <m/>
    <m/>
    <x v="0"/>
    <x v="0"/>
  </r>
  <r>
    <n v="27836529"/>
    <x v="0"/>
    <x v="2227"/>
    <s v="EK 932_2022-07-29T17x05x00"/>
    <s v="B777/3-ER"/>
    <x v="3"/>
    <x v="118"/>
    <x v="4"/>
    <s v="Operational"/>
    <s v="EK 932"/>
    <m/>
    <m/>
    <m/>
    <m/>
    <x v="0"/>
    <x v="0"/>
  </r>
  <r>
    <n v="27836536"/>
    <x v="0"/>
    <x v="2228"/>
    <s v="EK 661_2022-07-29T17x25x00"/>
    <s v="B777/3-ER"/>
    <x v="3"/>
    <x v="104"/>
    <x v="4"/>
    <s v="Operational"/>
    <s v="EK 661"/>
    <m/>
    <m/>
    <m/>
    <m/>
    <x v="0"/>
    <x v="0"/>
  </r>
  <r>
    <n v="27836576"/>
    <x v="0"/>
    <x v="2229"/>
    <s v="KQ 310_2022-07-29T17x25x00"/>
    <s v="B787/8"/>
    <x v="5"/>
    <x v="114"/>
    <x v="3"/>
    <s v="Operational"/>
    <s v="KQ 310"/>
    <m/>
    <m/>
    <m/>
    <m/>
    <x v="0"/>
    <x v="0"/>
  </r>
  <r>
    <n v="27836581"/>
    <x v="0"/>
    <x v="2230"/>
    <s v="KU 676_2022-07-29T16x55x00"/>
    <s v="A320-NEO"/>
    <x v="0"/>
    <x v="3"/>
    <x v="1"/>
    <s v="Operational"/>
    <s v="KU 676"/>
    <m/>
    <m/>
    <m/>
    <m/>
    <x v="0"/>
    <x v="0"/>
  </r>
  <r>
    <n v="27836599"/>
    <x v="0"/>
    <x v="2231"/>
    <s v="FZ 048_2022-07-29T17x25x00"/>
    <s v="B737/8"/>
    <x v="1"/>
    <x v="6"/>
    <x v="2"/>
    <s v="Operational"/>
    <s v="FZ 048"/>
    <m/>
    <m/>
    <m/>
    <m/>
    <x v="0"/>
    <x v="0"/>
  </r>
  <r>
    <n v="27836602"/>
    <x v="0"/>
    <x v="2232"/>
    <s v="KQ 310_2022-07-29T17x25x00"/>
    <s v="B787/8"/>
    <x v="5"/>
    <x v="114"/>
    <x v="4"/>
    <s v="Operational"/>
    <s v="KQ 310"/>
    <m/>
    <m/>
    <m/>
    <m/>
    <x v="0"/>
    <x v="0"/>
  </r>
  <r>
    <n v="27836607"/>
    <x v="0"/>
    <x v="2233"/>
    <s v="SV 551_2022-07-29T17x00x00"/>
    <s v="B777/3-ER"/>
    <x v="0"/>
    <x v="50"/>
    <x v="1"/>
    <s v="Operational"/>
    <s v="SV 551"/>
    <m/>
    <m/>
    <m/>
    <m/>
    <x v="0"/>
    <x v="0"/>
  </r>
  <r>
    <n v="27836613"/>
    <x v="0"/>
    <x v="2234"/>
    <s v="FZ 048_2022-07-29T17x25x00"/>
    <s v="B737/8"/>
    <x v="1"/>
    <x v="6"/>
    <x v="0"/>
    <s v="Operational"/>
    <s v="FZ 048"/>
    <m/>
    <m/>
    <m/>
    <m/>
    <x v="0"/>
    <x v="0"/>
  </r>
  <r>
    <n v="27836649"/>
    <x v="0"/>
    <x v="2235"/>
    <s v="6E 066_2022-07-29T16x50x00"/>
    <s v="A320-NEO"/>
    <x v="0"/>
    <x v="88"/>
    <x v="1"/>
    <s v="Operational"/>
    <s v="6E 066"/>
    <m/>
    <m/>
    <m/>
    <m/>
    <x v="0"/>
    <x v="0"/>
  </r>
  <r>
    <n v="27836661"/>
    <x v="0"/>
    <x v="2236"/>
    <m/>
    <m/>
    <x v="1"/>
    <x v="172"/>
    <x v="5"/>
    <s v="Operational"/>
    <m/>
    <m/>
    <m/>
    <m/>
    <m/>
    <x v="0"/>
    <x v="0"/>
  </r>
  <r>
    <n v="27836665"/>
    <x v="0"/>
    <x v="2237"/>
    <m/>
    <m/>
    <x v="1"/>
    <x v="172"/>
    <x v="13"/>
    <s v="Operational"/>
    <m/>
    <m/>
    <m/>
    <m/>
    <m/>
    <x v="0"/>
    <x v="0"/>
  </r>
  <r>
    <n v="27836680"/>
    <x v="0"/>
    <x v="2238"/>
    <m/>
    <m/>
    <x v="1"/>
    <x v="172"/>
    <x v="14"/>
    <s v="Operational"/>
    <m/>
    <m/>
    <m/>
    <m/>
    <m/>
    <x v="0"/>
    <x v="0"/>
  </r>
  <r>
    <n v="27836685"/>
    <x v="0"/>
    <x v="2239"/>
    <m/>
    <m/>
    <x v="1"/>
    <x v="172"/>
    <x v="12"/>
    <s v="Operational"/>
    <m/>
    <m/>
    <m/>
    <m/>
    <m/>
    <x v="0"/>
    <x v="0"/>
  </r>
  <r>
    <n v="27836703"/>
    <x v="0"/>
    <x v="2240"/>
    <s v="W5 064_2022-07-29T17x00x00"/>
    <s v="A310"/>
    <x v="0"/>
    <x v="14"/>
    <x v="1"/>
    <s v="Operational"/>
    <s v="W5 064"/>
    <m/>
    <m/>
    <m/>
    <m/>
    <x v="0"/>
    <x v="0"/>
  </r>
  <r>
    <n v="27836716"/>
    <x v="0"/>
    <x v="2241"/>
    <s v="EK 932_2022-07-29T17x05x00"/>
    <s v="B777/3-ER"/>
    <x v="3"/>
    <x v="118"/>
    <x v="2"/>
    <s v="Operational"/>
    <s v="EK 932"/>
    <m/>
    <m/>
    <m/>
    <m/>
    <x v="0"/>
    <x v="0"/>
  </r>
  <r>
    <n v="27836732"/>
    <x v="0"/>
    <x v="2242"/>
    <s v="AI 905_2022-07-29T17x30x00"/>
    <s v="A321"/>
    <x v="0"/>
    <x v="14"/>
    <x v="3"/>
    <s v="Operational"/>
    <s v="AI 905"/>
    <m/>
    <m/>
    <m/>
    <m/>
    <x v="0"/>
    <x v="0"/>
  </r>
  <r>
    <n v="27836735"/>
    <x v="0"/>
    <x v="2243"/>
    <s v="EK 932_2022-07-29T17x05x00"/>
    <s v="B777/3-ER"/>
    <x v="3"/>
    <x v="118"/>
    <x v="0"/>
    <s v="Operational"/>
    <s v="EK 932"/>
    <m/>
    <m/>
    <m/>
    <m/>
    <x v="0"/>
    <x v="0"/>
  </r>
  <r>
    <n v="27836752"/>
    <x v="0"/>
    <x v="2244"/>
    <s v="FZ 884_2022-07-29T17x15x00"/>
    <s v="B737/8"/>
    <x v="1"/>
    <x v="52"/>
    <x v="3"/>
    <s v="Operational"/>
    <s v="FZ 884"/>
    <m/>
    <m/>
    <m/>
    <m/>
    <x v="0"/>
    <x v="0"/>
  </r>
  <r>
    <n v="27836757"/>
    <x v="0"/>
    <x v="2245"/>
    <s v="FZ 884_2022-07-29T17x15x00"/>
    <s v="B737/8"/>
    <x v="1"/>
    <x v="52"/>
    <x v="4"/>
    <s v="Operational"/>
    <s v="FZ 884"/>
    <m/>
    <m/>
    <m/>
    <m/>
    <x v="0"/>
    <x v="0"/>
  </r>
  <r>
    <n v="27836795"/>
    <x v="0"/>
    <x v="2246"/>
    <s v="SG 057_2022-07-29T17x30x00"/>
    <s v="B737/8-MAX"/>
    <x v="0"/>
    <x v="63"/>
    <x v="3"/>
    <s v="Operational"/>
    <s v="SG 057"/>
    <m/>
    <m/>
    <m/>
    <m/>
    <x v="0"/>
    <x v="0"/>
  </r>
  <r>
    <n v="27836813"/>
    <x v="0"/>
    <x v="2247"/>
    <s v="FZ 612_2022-07-29T17x10x00"/>
    <s v="B737/8-MAX"/>
    <x v="1"/>
    <x v="83"/>
    <x v="2"/>
    <s v="Operational"/>
    <s v="FZ 612"/>
    <m/>
    <m/>
    <m/>
    <m/>
    <x v="0"/>
    <x v="0"/>
  </r>
  <r>
    <n v="27836817"/>
    <x v="0"/>
    <x v="2248"/>
    <s v="EK 661_2022-07-29T17x25x00"/>
    <s v="B777/3-ER"/>
    <x v="3"/>
    <x v="104"/>
    <x v="2"/>
    <s v="Operational"/>
    <s v="EK 661"/>
    <m/>
    <m/>
    <m/>
    <m/>
    <x v="0"/>
    <x v="0"/>
  </r>
  <r>
    <n v="27836826"/>
    <x v="0"/>
    <x v="2249"/>
    <m/>
    <m/>
    <x v="1"/>
    <x v="172"/>
    <x v="33"/>
    <s v="Operational"/>
    <m/>
    <m/>
    <m/>
    <m/>
    <m/>
    <x v="0"/>
    <x v="0"/>
  </r>
  <r>
    <n v="27836843"/>
    <x v="0"/>
    <x v="2250"/>
    <s v="FZ 612_2022-07-29T17x10x00"/>
    <s v="B737/8-MAX"/>
    <x v="1"/>
    <x v="83"/>
    <x v="0"/>
    <s v="Operational"/>
    <s v="FZ 612"/>
    <m/>
    <m/>
    <m/>
    <m/>
    <x v="0"/>
    <x v="0"/>
  </r>
  <r>
    <n v="27836854"/>
    <x v="0"/>
    <x v="2251"/>
    <s v="EK 661_2022-07-29T17x25x00"/>
    <s v="B777/3-ER"/>
    <x v="3"/>
    <x v="104"/>
    <x v="0"/>
    <s v="Operational"/>
    <s v="EK 661"/>
    <m/>
    <m/>
    <m/>
    <m/>
    <x v="0"/>
    <x v="0"/>
  </r>
  <r>
    <n v="27836867"/>
    <x v="0"/>
    <x v="2252"/>
    <s v="FZ 762_2022-07-29T17x40x00"/>
    <s v="B737/8-MAX"/>
    <x v="1"/>
    <x v="43"/>
    <x v="3"/>
    <s v="Operational"/>
    <s v="FZ 762"/>
    <m/>
    <m/>
    <m/>
    <m/>
    <x v="0"/>
    <x v="0"/>
  </r>
  <r>
    <n v="27836876"/>
    <x v="0"/>
    <x v="2253"/>
    <s v="FZ 762_2022-07-29T17x40x00"/>
    <s v="B737/8-MAX"/>
    <x v="1"/>
    <x v="43"/>
    <x v="4"/>
    <s v="Operational"/>
    <s v="FZ 762"/>
    <m/>
    <m/>
    <m/>
    <m/>
    <x v="0"/>
    <x v="0"/>
  </r>
  <r>
    <n v="27836882"/>
    <x v="0"/>
    <x v="2254"/>
    <s v="FZ 762_2022-07-29T17x40x00"/>
    <s v="B737/8-MAX"/>
    <x v="1"/>
    <x v="43"/>
    <x v="15"/>
    <s v="Technical"/>
    <s v="FZ 762"/>
    <m/>
    <m/>
    <m/>
    <m/>
    <x v="0"/>
    <x v="0"/>
  </r>
  <r>
    <n v="27836906"/>
    <x v="0"/>
    <x v="2255"/>
    <s v="EK 724_2022-07-29T17x10x00"/>
    <s v="B777/3-ER"/>
    <x v="2"/>
    <x v="109"/>
    <x v="3"/>
    <s v="Operational"/>
    <s v="EK 724"/>
    <m/>
    <m/>
    <m/>
    <m/>
    <x v="0"/>
    <x v="0"/>
  </r>
  <r>
    <n v="27836910"/>
    <x v="0"/>
    <x v="2256"/>
    <s v="FZ 762_2022-07-29T17x40x00"/>
    <s v="B737/8-MAX"/>
    <x v="1"/>
    <x v="43"/>
    <x v="17"/>
    <s v="Technical"/>
    <s v="FZ 762"/>
    <m/>
    <m/>
    <m/>
    <m/>
    <x v="0"/>
    <x v="0"/>
  </r>
  <r>
    <n v="27836914"/>
    <x v="0"/>
    <x v="2257"/>
    <s v="FZ 762_2022-07-29T17x40x00"/>
    <s v="B737/8-MAX"/>
    <x v="1"/>
    <x v="43"/>
    <x v="15"/>
    <s v="Technical"/>
    <s v="FZ 762"/>
    <m/>
    <m/>
    <m/>
    <m/>
    <x v="0"/>
    <x v="0"/>
  </r>
  <r>
    <n v="27836927"/>
    <x v="0"/>
    <x v="2258"/>
    <s v="FZ 762_2022-07-29T17x40x00"/>
    <s v="B737/8-MAX"/>
    <x v="1"/>
    <x v="43"/>
    <x v="17"/>
    <s v="Technical"/>
    <s v="FZ 762"/>
    <m/>
    <m/>
    <m/>
    <m/>
    <x v="0"/>
    <x v="0"/>
  </r>
  <r>
    <n v="27836937"/>
    <x v="0"/>
    <x v="2259"/>
    <s v="EK 724_2022-07-29T17x10x00"/>
    <s v="B777/3-ER"/>
    <x v="2"/>
    <x v="109"/>
    <x v="4"/>
    <s v="Operational"/>
    <s v="EK 724"/>
    <m/>
    <m/>
    <m/>
    <m/>
    <x v="0"/>
    <x v="0"/>
  </r>
  <r>
    <n v="27836950"/>
    <x v="0"/>
    <x v="2260"/>
    <s v="QR 1014_2022-07-29T17x30x00"/>
    <s v="A330/2"/>
    <x v="0"/>
    <x v="113"/>
    <x v="3"/>
    <s v="Operational"/>
    <s v="QR 1014"/>
    <m/>
    <m/>
    <m/>
    <m/>
    <x v="0"/>
    <x v="0"/>
  </r>
  <r>
    <n v="27836968"/>
    <x v="0"/>
    <x v="2261"/>
    <s v="FZ 884_2022-07-29T17x15x00"/>
    <s v="B737/8"/>
    <x v="1"/>
    <x v="52"/>
    <x v="2"/>
    <s v="Operational"/>
    <s v="FZ 884"/>
    <m/>
    <m/>
    <m/>
    <m/>
    <x v="0"/>
    <x v="0"/>
  </r>
  <r>
    <n v="27836979"/>
    <x v="0"/>
    <x v="2262"/>
    <s v="FZ 884_2022-07-29T17x15x00"/>
    <s v="B737/8"/>
    <x v="1"/>
    <x v="52"/>
    <x v="0"/>
    <s v="Operational"/>
    <s v="FZ 884"/>
    <m/>
    <m/>
    <m/>
    <m/>
    <x v="0"/>
    <x v="0"/>
  </r>
  <r>
    <n v="27837017"/>
    <x v="0"/>
    <x v="2263"/>
    <s v="RJ 614_2022-07-29T16x55x00"/>
    <s v="A320"/>
    <x v="0"/>
    <x v="29"/>
    <x v="3"/>
    <s v="Operational"/>
    <s v="RJ 614"/>
    <m/>
    <m/>
    <m/>
    <m/>
    <x v="0"/>
    <x v="0"/>
  </r>
  <r>
    <n v="27837049"/>
    <x v="0"/>
    <x v="2264"/>
    <s v="KQ 310_2022-07-29T17x25x00"/>
    <s v="B787/8"/>
    <x v="5"/>
    <x v="114"/>
    <x v="2"/>
    <s v="Operational"/>
    <s v="KQ 310"/>
    <m/>
    <m/>
    <m/>
    <m/>
    <x v="0"/>
    <x v="0"/>
  </r>
  <r>
    <n v="27837063"/>
    <x v="0"/>
    <x v="2265"/>
    <s v="SG 057_2022-07-29T17x30x00"/>
    <s v="B737/8-MAX"/>
    <x v="0"/>
    <x v="63"/>
    <x v="10"/>
    <s v="Operational"/>
    <s v="SG 057"/>
    <m/>
    <m/>
    <m/>
    <m/>
    <x v="0"/>
    <x v="0"/>
  </r>
  <r>
    <n v="27837064"/>
    <x v="0"/>
    <x v="2266"/>
    <s v="SG 057_2022-07-29T17x30x00"/>
    <s v="B737/8-MAX"/>
    <x v="0"/>
    <x v="63"/>
    <x v="11"/>
    <s v="Operational"/>
    <s v="SG 057"/>
    <m/>
    <m/>
    <m/>
    <m/>
    <x v="0"/>
    <x v="0"/>
  </r>
  <r>
    <n v="27837071"/>
    <x v="0"/>
    <x v="2267"/>
    <s v="EK 614_2022-07-29T17x05x00"/>
    <s v="B777/3-ER"/>
    <x v="4"/>
    <x v="86"/>
    <x v="1"/>
    <s v="Operational"/>
    <s v="EK 614"/>
    <m/>
    <m/>
    <m/>
    <m/>
    <x v="0"/>
    <x v="0"/>
  </r>
  <r>
    <n v="27837078"/>
    <x v="0"/>
    <x v="2268"/>
    <s v="KQ 310_2022-07-29T17x25x00"/>
    <s v="B787/8"/>
    <x v="5"/>
    <x v="114"/>
    <x v="0"/>
    <s v="Operational"/>
    <s v="KQ 310"/>
    <m/>
    <m/>
    <m/>
    <m/>
    <x v="0"/>
    <x v="0"/>
  </r>
  <r>
    <n v="27837096"/>
    <x v="0"/>
    <x v="2269"/>
    <s v="FZ 762_2022-07-29T17x40x00"/>
    <s v="B737/8-MAX"/>
    <x v="1"/>
    <x v="43"/>
    <x v="2"/>
    <s v="Operational"/>
    <s v="FZ 762"/>
    <m/>
    <m/>
    <m/>
    <m/>
    <x v="0"/>
    <x v="0"/>
  </r>
  <r>
    <n v="27837107"/>
    <x v="0"/>
    <x v="2270"/>
    <s v="EK 124_2022-07-29T17x50x00"/>
    <s v="A380/8"/>
    <x v="4"/>
    <x v="55"/>
    <x v="3"/>
    <s v="Operational"/>
    <s v="EK 124"/>
    <m/>
    <m/>
    <m/>
    <m/>
    <x v="0"/>
    <x v="0"/>
  </r>
  <r>
    <n v="27837110"/>
    <x v="0"/>
    <x v="2271"/>
    <s v="FZ 435_2022-07-29T16x50x00"/>
    <s v="B737/8"/>
    <x v="1"/>
    <x v="96"/>
    <x v="1"/>
    <s v="Operational"/>
    <s v="FZ 435"/>
    <m/>
    <m/>
    <m/>
    <m/>
    <x v="0"/>
    <x v="0"/>
  </r>
  <r>
    <n v="27837116"/>
    <x v="0"/>
    <x v="2272"/>
    <s v="AI 905_2022-07-29T17x30x00"/>
    <s v="A321"/>
    <x v="0"/>
    <x v="14"/>
    <x v="4"/>
    <s v="Operational"/>
    <s v="AI 905"/>
    <m/>
    <m/>
    <m/>
    <m/>
    <x v="0"/>
    <x v="0"/>
  </r>
  <r>
    <n v="27837123"/>
    <x v="0"/>
    <x v="2273"/>
    <s v="SG 057_2022-07-29T17x30x00"/>
    <s v="B737/8-MAX"/>
    <x v="0"/>
    <x v="63"/>
    <x v="2"/>
    <s v="Operational"/>
    <s v="SG 057"/>
    <m/>
    <m/>
    <m/>
    <m/>
    <x v="0"/>
    <x v="0"/>
  </r>
  <r>
    <n v="27837134"/>
    <x v="0"/>
    <x v="2274"/>
    <s v="FZ 762_2022-07-29T17x40x00"/>
    <s v="B737/8-MAX"/>
    <x v="1"/>
    <x v="43"/>
    <x v="0"/>
    <s v="Operational"/>
    <s v="FZ 762"/>
    <m/>
    <m/>
    <m/>
    <m/>
    <x v="0"/>
    <x v="0"/>
  </r>
  <r>
    <n v="27837156"/>
    <x v="0"/>
    <x v="2275"/>
    <s v="SG 057_2022-07-29T17x30x00"/>
    <s v="B737/8-MAX"/>
    <x v="0"/>
    <x v="63"/>
    <x v="0"/>
    <s v="Operational"/>
    <s v="SG 057"/>
    <m/>
    <m/>
    <m/>
    <m/>
    <x v="0"/>
    <x v="0"/>
  </r>
  <r>
    <n v="27837181"/>
    <x v="0"/>
    <x v="2276"/>
    <s v="EK 522_2022-07-29T17x25x00"/>
    <s v="B777/3-ER"/>
    <x v="4"/>
    <x v="41"/>
    <x v="1"/>
    <s v="Operational"/>
    <s v="EK 522"/>
    <m/>
    <m/>
    <m/>
    <m/>
    <x v="0"/>
    <x v="0"/>
  </r>
  <r>
    <n v="27837189"/>
    <x v="0"/>
    <x v="2277"/>
    <s v="AI 905_2022-07-29T17x30x00"/>
    <s v="A321"/>
    <x v="0"/>
    <x v="14"/>
    <x v="2"/>
    <s v="Operational"/>
    <s v="AI 905"/>
    <m/>
    <m/>
    <m/>
    <m/>
    <x v="0"/>
    <x v="0"/>
  </r>
  <r>
    <n v="27837198"/>
    <x v="0"/>
    <x v="2278"/>
    <s v="AI 905_2022-07-29T17x30x00"/>
    <s v="A321"/>
    <x v="0"/>
    <x v="14"/>
    <x v="0"/>
    <s v="Operational"/>
    <s v="AI 905"/>
    <m/>
    <m/>
    <m/>
    <m/>
    <x v="0"/>
    <x v="0"/>
  </r>
  <r>
    <n v="27837212"/>
    <x v="0"/>
    <x v="2279"/>
    <m/>
    <m/>
    <x v="1"/>
    <x v="172"/>
    <x v="34"/>
    <s v="Operational"/>
    <m/>
    <m/>
    <m/>
    <m/>
    <m/>
    <x v="0"/>
    <x v="0"/>
  </r>
  <r>
    <n v="27837219"/>
    <x v="0"/>
    <x v="2280"/>
    <m/>
    <m/>
    <x v="1"/>
    <x v="172"/>
    <x v="5"/>
    <s v="Operational"/>
    <m/>
    <m/>
    <m/>
    <m/>
    <m/>
    <x v="0"/>
    <x v="0"/>
  </r>
  <r>
    <n v="27837228"/>
    <x v="0"/>
    <x v="2281"/>
    <m/>
    <m/>
    <x v="1"/>
    <x v="172"/>
    <x v="13"/>
    <s v="Operational"/>
    <m/>
    <m/>
    <m/>
    <m/>
    <m/>
    <x v="0"/>
    <x v="0"/>
  </r>
  <r>
    <n v="27837262"/>
    <x v="0"/>
    <x v="2282"/>
    <m/>
    <m/>
    <x v="7"/>
    <x v="173"/>
    <x v="6"/>
    <s v="Operational"/>
    <m/>
    <m/>
    <m/>
    <m/>
    <m/>
    <x v="0"/>
    <x v="0"/>
  </r>
  <r>
    <n v="27837267"/>
    <x v="0"/>
    <x v="2283"/>
    <s v="EK 724_2022-07-29T17x10x00"/>
    <s v="B777/3-ER"/>
    <x v="2"/>
    <x v="109"/>
    <x v="2"/>
    <s v="Operational"/>
    <s v="EK 724"/>
    <m/>
    <m/>
    <m/>
    <m/>
    <x v="0"/>
    <x v="0"/>
  </r>
  <r>
    <n v="27837268"/>
    <x v="0"/>
    <x v="2283"/>
    <m/>
    <m/>
    <x v="1"/>
    <x v="172"/>
    <x v="14"/>
    <s v="Operational"/>
    <m/>
    <m/>
    <m/>
    <m/>
    <m/>
    <x v="0"/>
    <x v="0"/>
  </r>
  <r>
    <n v="27837275"/>
    <x v="0"/>
    <x v="2284"/>
    <m/>
    <m/>
    <x v="1"/>
    <x v="172"/>
    <x v="12"/>
    <s v="Operational"/>
    <m/>
    <m/>
    <m/>
    <m/>
    <m/>
    <x v="0"/>
    <x v="0"/>
  </r>
  <r>
    <n v="27837280"/>
    <x v="0"/>
    <x v="2285"/>
    <s v="QR 1014_2022-07-29T17x30x00"/>
    <s v="A330/2"/>
    <x v="0"/>
    <x v="113"/>
    <x v="4"/>
    <s v="Operational"/>
    <s v="QR 1014"/>
    <m/>
    <m/>
    <m/>
    <m/>
    <x v="0"/>
    <x v="0"/>
  </r>
  <r>
    <n v="27837286"/>
    <x v="0"/>
    <x v="2286"/>
    <s v="FZ 1807_2022-07-29T17x10x00"/>
    <s v="B737/8-MAX"/>
    <x v="5"/>
    <x v="71"/>
    <x v="1"/>
    <s v="Operational"/>
    <s v="FZ 1807"/>
    <m/>
    <m/>
    <m/>
    <m/>
    <x v="0"/>
    <x v="0"/>
  </r>
  <r>
    <n v="27837303"/>
    <x v="0"/>
    <x v="2287"/>
    <s v="6E 067_2022-07-29T17x45x00"/>
    <s v="A320-NEO"/>
    <x v="0"/>
    <x v="3"/>
    <x v="3"/>
    <s v="Operational"/>
    <s v="6E 067"/>
    <m/>
    <m/>
    <m/>
    <m/>
    <x v="0"/>
    <x v="0"/>
  </r>
  <r>
    <n v="27837305"/>
    <x v="0"/>
    <x v="2288"/>
    <s v="EK 532_2022-07-29T17x25x00"/>
    <s v="B777/3-ER"/>
    <x v="4"/>
    <x v="13"/>
    <x v="1"/>
    <s v="Operational"/>
    <s v="EK 532"/>
    <m/>
    <m/>
    <m/>
    <m/>
    <x v="0"/>
    <x v="0"/>
  </r>
  <r>
    <n v="27837312"/>
    <x v="0"/>
    <x v="2289"/>
    <s v="EK 724_2022-07-29T17x10x00"/>
    <s v="B777/3-ER"/>
    <x v="2"/>
    <x v="109"/>
    <x v="0"/>
    <s v="Operational"/>
    <s v="EK 724"/>
    <m/>
    <m/>
    <m/>
    <m/>
    <x v="0"/>
    <x v="0"/>
  </r>
  <r>
    <n v="27837333"/>
    <x v="0"/>
    <x v="2290"/>
    <m/>
    <s v="A319"/>
    <x v="7"/>
    <x v="173"/>
    <x v="15"/>
    <s v="Technical"/>
    <m/>
    <m/>
    <m/>
    <m/>
    <m/>
    <x v="0"/>
    <x v="0"/>
  </r>
  <r>
    <n v="27837339"/>
    <x v="0"/>
    <x v="2291"/>
    <m/>
    <s v="A319"/>
    <x v="7"/>
    <x v="173"/>
    <x v="16"/>
    <s v="Technical"/>
    <m/>
    <m/>
    <m/>
    <m/>
    <m/>
    <x v="0"/>
    <x v="0"/>
  </r>
  <r>
    <n v="27837344"/>
    <x v="0"/>
    <x v="2292"/>
    <s v="QR 1014_2022-07-29T17x30x00"/>
    <s v="A330/2"/>
    <x v="0"/>
    <x v="113"/>
    <x v="2"/>
    <s v="Operational"/>
    <s v="QR 1014"/>
    <m/>
    <m/>
    <m/>
    <m/>
    <x v="0"/>
    <x v="0"/>
  </r>
  <r>
    <n v="27837354"/>
    <x v="0"/>
    <x v="2293"/>
    <s v="QR 1014_2022-07-29T17x30x00"/>
    <s v="A330/2"/>
    <x v="0"/>
    <x v="113"/>
    <x v="0"/>
    <s v="Operational"/>
    <s v="QR 1014"/>
    <m/>
    <m/>
    <m/>
    <m/>
    <x v="0"/>
    <x v="0"/>
  </r>
  <r>
    <n v="27837391"/>
    <x v="0"/>
    <x v="2294"/>
    <s v="UL 225_2022-07-29T17x40x00"/>
    <s v="A330/2"/>
    <x v="0"/>
    <x v="22"/>
    <x v="3"/>
    <s v="Operational"/>
    <s v="UL 225"/>
    <m/>
    <m/>
    <m/>
    <m/>
    <x v="0"/>
    <x v="0"/>
  </r>
  <r>
    <n v="27837397"/>
    <x v="0"/>
    <x v="2295"/>
    <s v="EK 568_2022-07-29T17x25x00"/>
    <s v="B777/3-ER"/>
    <x v="4"/>
    <x v="49"/>
    <x v="1"/>
    <s v="Operational"/>
    <s v="EK 568"/>
    <m/>
    <m/>
    <m/>
    <m/>
    <x v="0"/>
    <x v="0"/>
  </r>
  <r>
    <n v="27837414"/>
    <x v="0"/>
    <x v="2296"/>
    <s v="6E 061_2022-07-29T17x00x00"/>
    <s v="A320-NEO"/>
    <x v="0"/>
    <x v="29"/>
    <x v="27"/>
    <s v="Operational"/>
    <s v="6E 061"/>
    <m/>
    <m/>
    <m/>
    <m/>
    <x v="0"/>
    <x v="0"/>
  </r>
  <r>
    <n v="27837419"/>
    <x v="0"/>
    <x v="2297"/>
    <m/>
    <m/>
    <x v="0"/>
    <x v="29"/>
    <x v="7"/>
    <s v="Operational"/>
    <m/>
    <m/>
    <m/>
    <m/>
    <m/>
    <x v="0"/>
    <x v="0"/>
  </r>
  <r>
    <n v="27837428"/>
    <x v="0"/>
    <x v="2298"/>
    <m/>
    <m/>
    <x v="7"/>
    <x v="173"/>
    <x v="6"/>
    <s v="Operational"/>
    <m/>
    <m/>
    <m/>
    <m/>
    <m/>
    <x v="0"/>
    <x v="0"/>
  </r>
  <r>
    <n v="27837441"/>
    <x v="0"/>
    <x v="2299"/>
    <s v="EK 124_2022-07-29T17x50x00"/>
    <s v="A380/8"/>
    <x v="4"/>
    <x v="55"/>
    <x v="4"/>
    <s v="Operational"/>
    <s v="EK 124"/>
    <m/>
    <m/>
    <m/>
    <m/>
    <x v="0"/>
    <x v="0"/>
  </r>
  <r>
    <n v="27837449"/>
    <x v="0"/>
    <x v="2300"/>
    <s v="EK 542_2022-07-29T17x00x00"/>
    <s v="B777/3-ER"/>
    <x v="4"/>
    <x v="66"/>
    <x v="1"/>
    <s v="Operational"/>
    <s v="EK 542"/>
    <m/>
    <m/>
    <m/>
    <m/>
    <x v="0"/>
    <x v="0"/>
  </r>
  <r>
    <n v="27837486"/>
    <x v="0"/>
    <x v="2301"/>
    <s v="FZ 746_2022-07-29T17x50x00"/>
    <s v="B737/8-MAX"/>
    <x v="5"/>
    <x v="158"/>
    <x v="3"/>
    <s v="Operational"/>
    <s v="FZ 746"/>
    <m/>
    <m/>
    <m/>
    <m/>
    <x v="0"/>
    <x v="0"/>
  </r>
  <r>
    <n v="27837491"/>
    <x v="0"/>
    <x v="2302"/>
    <m/>
    <s v="A319"/>
    <x v="7"/>
    <x v="173"/>
    <x v="15"/>
    <s v="Technical"/>
    <m/>
    <m/>
    <m/>
    <m/>
    <m/>
    <x v="0"/>
    <x v="0"/>
  </r>
  <r>
    <n v="27837497"/>
    <x v="0"/>
    <x v="2303"/>
    <m/>
    <s v="A319"/>
    <x v="7"/>
    <x v="173"/>
    <x v="16"/>
    <s v="Technical"/>
    <m/>
    <m/>
    <m/>
    <m/>
    <m/>
    <x v="0"/>
    <x v="0"/>
  </r>
  <r>
    <n v="27837500"/>
    <x v="0"/>
    <x v="2304"/>
    <s v="RJ 614_2022-07-29T16x55x00"/>
    <s v="A320"/>
    <x v="0"/>
    <x v="29"/>
    <x v="10"/>
    <s v="Operational"/>
    <s v="RJ 614"/>
    <m/>
    <m/>
    <m/>
    <m/>
    <x v="0"/>
    <x v="0"/>
  </r>
  <r>
    <n v="27837501"/>
    <x v="0"/>
    <x v="2304"/>
    <s v="RJ 614_2022-07-29T16x55x00"/>
    <s v="A320"/>
    <x v="0"/>
    <x v="29"/>
    <x v="11"/>
    <s v="Operational"/>
    <s v="RJ 614"/>
    <m/>
    <m/>
    <m/>
    <m/>
    <x v="0"/>
    <x v="0"/>
  </r>
  <r>
    <n v="27837505"/>
    <x v="0"/>
    <x v="2305"/>
    <s v="UL 225_2022-07-29T17x40x00"/>
    <s v="A330/2"/>
    <x v="0"/>
    <x v="22"/>
    <x v="4"/>
    <s v="Operational"/>
    <s v="UL 225"/>
    <m/>
    <m/>
    <m/>
    <m/>
    <x v="0"/>
    <x v="0"/>
  </r>
  <r>
    <n v="27837514"/>
    <x v="0"/>
    <x v="2306"/>
    <s v="6E 067_2022-07-29T17x45x00"/>
    <s v="A320-NEO"/>
    <x v="0"/>
    <x v="3"/>
    <x v="10"/>
    <s v="Operational"/>
    <s v="6E 067"/>
    <m/>
    <m/>
    <m/>
    <m/>
    <x v="0"/>
    <x v="0"/>
  </r>
  <r>
    <n v="27837515"/>
    <x v="0"/>
    <x v="2307"/>
    <s v="6E 067_2022-07-29T17x45x00"/>
    <s v="A320-NEO"/>
    <x v="0"/>
    <x v="3"/>
    <x v="11"/>
    <s v="Operational"/>
    <s v="6E 067"/>
    <m/>
    <m/>
    <m/>
    <m/>
    <x v="0"/>
    <x v="0"/>
  </r>
  <r>
    <n v="27837527"/>
    <x v="0"/>
    <x v="2308"/>
    <s v="RJ 614_2022-07-29T16x55x00"/>
    <s v="A320"/>
    <x v="0"/>
    <x v="29"/>
    <x v="2"/>
    <s v="Operational"/>
    <s v="RJ 614"/>
    <m/>
    <m/>
    <m/>
    <m/>
    <x v="0"/>
    <x v="0"/>
  </r>
  <r>
    <n v="27837544"/>
    <x v="0"/>
    <x v="2309"/>
    <s v="RJ 614_2022-07-29T16x55x00"/>
    <s v="A320"/>
    <x v="0"/>
    <x v="29"/>
    <x v="0"/>
    <s v="Operational"/>
    <s v="RJ 614"/>
    <m/>
    <m/>
    <m/>
    <m/>
    <x v="0"/>
    <x v="0"/>
  </r>
  <r>
    <n v="27837558"/>
    <x v="0"/>
    <x v="2310"/>
    <s v="EK 124_2022-07-29T17x50x00"/>
    <s v="A380/8"/>
    <x v="4"/>
    <x v="55"/>
    <x v="2"/>
    <s v="Operational"/>
    <s v="EK 124"/>
    <m/>
    <m/>
    <m/>
    <m/>
    <x v="0"/>
    <x v="0"/>
  </r>
  <r>
    <n v="27837568"/>
    <x v="0"/>
    <x v="2311"/>
    <m/>
    <m/>
    <x v="1"/>
    <x v="101"/>
    <x v="6"/>
    <s v="Operational"/>
    <m/>
    <m/>
    <m/>
    <m/>
    <m/>
    <x v="0"/>
    <x v="0"/>
  </r>
  <r>
    <n v="27837596"/>
    <x v="0"/>
    <x v="2312"/>
    <s v="EK 124_2022-07-29T17x50x00"/>
    <s v="A380/8"/>
    <x v="4"/>
    <x v="55"/>
    <x v="0"/>
    <s v="Operational"/>
    <s v="EK 124"/>
    <m/>
    <m/>
    <m/>
    <m/>
    <x v="0"/>
    <x v="0"/>
  </r>
  <r>
    <n v="27837607"/>
    <x v="0"/>
    <x v="2313"/>
    <s v="IX 813_2022-07-29T18x15x00"/>
    <s v="B737/8"/>
    <x v="1"/>
    <x v="96"/>
    <x v="3"/>
    <s v="Operational"/>
    <s v="IX 813"/>
    <m/>
    <m/>
    <m/>
    <m/>
    <x v="0"/>
    <x v="0"/>
  </r>
  <r>
    <n v="27837617"/>
    <x v="0"/>
    <x v="2314"/>
    <s v="IX 813_2022-07-29T18x15x00"/>
    <s v="B737/8"/>
    <x v="1"/>
    <x v="96"/>
    <x v="4"/>
    <s v="Operational"/>
    <s v="IX 813"/>
    <m/>
    <m/>
    <m/>
    <m/>
    <x v="0"/>
    <x v="0"/>
  </r>
  <r>
    <n v="27837629"/>
    <x v="0"/>
    <x v="2315"/>
    <s v="SV 594_2022-07-29T17x25x00"/>
    <s v="A330/3"/>
    <x v="0"/>
    <x v="88"/>
    <x v="3"/>
    <s v="Operational"/>
    <s v="SV 594"/>
    <m/>
    <m/>
    <m/>
    <m/>
    <x v="0"/>
    <x v="0"/>
  </r>
  <r>
    <n v="27837633"/>
    <x v="0"/>
    <x v="2316"/>
    <s v="6E 062_2022-07-29T18x00x00"/>
    <s v="A320-NEO"/>
    <x v="0"/>
    <x v="29"/>
    <x v="1"/>
    <s v="Operational"/>
    <s v="6E 062"/>
    <m/>
    <m/>
    <m/>
    <m/>
    <x v="0"/>
    <x v="0"/>
  </r>
  <r>
    <n v="27837654"/>
    <x v="0"/>
    <x v="2317"/>
    <s v="6E 067_2022-07-29T17x45x00"/>
    <s v="A320-NEO"/>
    <x v="0"/>
    <x v="3"/>
    <x v="2"/>
    <s v="Operational"/>
    <s v="6E 067"/>
    <m/>
    <m/>
    <m/>
    <m/>
    <x v="0"/>
    <x v="0"/>
  </r>
  <r>
    <n v="27837656"/>
    <x v="0"/>
    <x v="2318"/>
    <s v="EK 624_2022-07-30T00x00x00"/>
    <s v="B777/3-ER"/>
    <x v="4"/>
    <x v="119"/>
    <x v="1"/>
    <s v="Operational"/>
    <m/>
    <m/>
    <m/>
    <m/>
    <m/>
    <x v="0"/>
    <x v="0"/>
  </r>
  <r>
    <n v="27837659"/>
    <x v="0"/>
    <x v="2319"/>
    <s v="IRB 9721_2022-07-29T17x20x00"/>
    <s v="A300/6"/>
    <x v="0"/>
    <x v="12"/>
    <x v="1"/>
    <s v="Operational"/>
    <s v="IRB 9721"/>
    <m/>
    <m/>
    <m/>
    <m/>
    <x v="0"/>
    <x v="0"/>
  </r>
  <r>
    <n v="27837683"/>
    <x v="0"/>
    <x v="2320"/>
    <s v="6E 067_2022-07-29T17x45x00"/>
    <s v="A320-NEO"/>
    <x v="0"/>
    <x v="3"/>
    <x v="0"/>
    <s v="Operational"/>
    <s v="6E 067"/>
    <m/>
    <m/>
    <m/>
    <m/>
    <x v="0"/>
    <x v="0"/>
  </r>
  <r>
    <n v="27837711"/>
    <x v="0"/>
    <x v="2321"/>
    <s v="FZ 746_2022-07-29T17x50x00"/>
    <s v="B737/8-MAX"/>
    <x v="5"/>
    <x v="158"/>
    <x v="4"/>
    <s v="Operational"/>
    <s v="FZ 746"/>
    <m/>
    <m/>
    <m/>
    <m/>
    <x v="0"/>
    <x v="0"/>
  </r>
  <r>
    <n v="27837727"/>
    <x v="0"/>
    <x v="2322"/>
    <s v="SV 594_2022-07-29T17x25x00"/>
    <s v="A330/3"/>
    <x v="0"/>
    <x v="88"/>
    <x v="4"/>
    <s v="Operational"/>
    <s v="SV 594"/>
    <m/>
    <m/>
    <m/>
    <m/>
    <x v="0"/>
    <x v="0"/>
  </r>
  <r>
    <n v="27837734"/>
    <x v="0"/>
    <x v="2323"/>
    <s v="FZ 339_2022-07-29T18x20x00"/>
    <s v="B737/8"/>
    <x v="1"/>
    <x v="101"/>
    <x v="2"/>
    <s v="Operational"/>
    <m/>
    <m/>
    <m/>
    <m/>
    <m/>
    <x v="0"/>
    <x v="0"/>
  </r>
  <r>
    <n v="27837742"/>
    <x v="0"/>
    <x v="2324"/>
    <s v="FZ 025_2022-07-29T16x25x00"/>
    <s v="B737/8"/>
    <x v="1"/>
    <x v="135"/>
    <x v="1"/>
    <s v="Operational"/>
    <s v="FZ 025"/>
    <m/>
    <m/>
    <m/>
    <m/>
    <x v="0"/>
    <x v="0"/>
  </r>
  <r>
    <n v="27837748"/>
    <x v="0"/>
    <x v="2325"/>
    <s v="FZ 339_2022-07-29T18x20x00"/>
    <s v="B737/8"/>
    <x v="1"/>
    <x v="101"/>
    <x v="0"/>
    <s v="Operational"/>
    <m/>
    <m/>
    <m/>
    <m/>
    <m/>
    <x v="0"/>
    <x v="0"/>
  </r>
  <r>
    <n v="27837755"/>
    <x v="0"/>
    <x v="2326"/>
    <s v="FZ 894_2022-07-29T17x15x00"/>
    <s v="B737/8"/>
    <x v="1"/>
    <x v="135"/>
    <x v="3"/>
    <s v="Operational"/>
    <s v="FZ 894"/>
    <m/>
    <m/>
    <m/>
    <m/>
    <x v="0"/>
    <x v="0"/>
  </r>
  <r>
    <n v="27837767"/>
    <x v="0"/>
    <x v="2327"/>
    <s v="UL 225_2022-07-29T17x40x00"/>
    <s v="A330/2"/>
    <x v="0"/>
    <x v="22"/>
    <x v="2"/>
    <s v="Operational"/>
    <s v="UL 225"/>
    <m/>
    <m/>
    <m/>
    <m/>
    <x v="0"/>
    <x v="0"/>
  </r>
  <r>
    <n v="27837774"/>
    <x v="0"/>
    <x v="2328"/>
    <s v="AI 983_2022-07-29T17x55x00"/>
    <s v="A321"/>
    <x v="0"/>
    <x v="3"/>
    <x v="3"/>
    <s v="Operational"/>
    <s v="AI 983"/>
    <m/>
    <m/>
    <m/>
    <m/>
    <x v="0"/>
    <x v="0"/>
  </r>
  <r>
    <n v="27837784"/>
    <x v="0"/>
    <x v="2329"/>
    <s v="FZ 1798_2022-07-29T17x35x00"/>
    <s v="B737/8-MAX"/>
    <x v="2"/>
    <x v="7"/>
    <x v="3"/>
    <s v="Operational"/>
    <s v="FZ 1798"/>
    <m/>
    <m/>
    <m/>
    <m/>
    <x v="0"/>
    <x v="0"/>
  </r>
  <r>
    <n v="27837794"/>
    <x v="0"/>
    <x v="2330"/>
    <s v="UL 225_2022-07-29T17x40x00"/>
    <s v="A330/2"/>
    <x v="0"/>
    <x v="22"/>
    <x v="0"/>
    <s v="Operational"/>
    <s v="UL 225"/>
    <m/>
    <m/>
    <m/>
    <m/>
    <x v="0"/>
    <x v="0"/>
  </r>
  <r>
    <n v="27837809"/>
    <x v="0"/>
    <x v="2331"/>
    <s v="AI 983_2022-07-29T17x55x00"/>
    <s v="A321"/>
    <x v="0"/>
    <x v="3"/>
    <x v="10"/>
    <s v="Operational"/>
    <s v="AI 983"/>
    <m/>
    <m/>
    <m/>
    <m/>
    <x v="0"/>
    <x v="0"/>
  </r>
  <r>
    <n v="27837810"/>
    <x v="0"/>
    <x v="2331"/>
    <s v="AI 983_2022-07-29T17x55x00"/>
    <s v="A321"/>
    <x v="0"/>
    <x v="3"/>
    <x v="11"/>
    <s v="Operational"/>
    <s v="AI 983"/>
    <m/>
    <m/>
    <m/>
    <m/>
    <x v="0"/>
    <x v="0"/>
  </r>
  <r>
    <n v="27837819"/>
    <x v="0"/>
    <x v="2332"/>
    <s v="SG 051_2022-07-29T18x35x00"/>
    <s v="B737/8-MAX"/>
    <x v="0"/>
    <x v="63"/>
    <x v="3"/>
    <s v="Operational"/>
    <s v="SG 051"/>
    <m/>
    <m/>
    <m/>
    <m/>
    <x v="0"/>
    <x v="0"/>
  </r>
  <r>
    <n v="27837821"/>
    <x v="0"/>
    <x v="2333"/>
    <s v="FZ 1798_2022-07-29T17x35x00"/>
    <s v="B737/8-MAX"/>
    <x v="2"/>
    <x v="7"/>
    <x v="4"/>
    <s v="Operational"/>
    <s v="FZ 1798"/>
    <m/>
    <m/>
    <m/>
    <m/>
    <x v="0"/>
    <x v="0"/>
  </r>
  <r>
    <n v="27837840"/>
    <x v="0"/>
    <x v="2334"/>
    <s v="IX 813_2022-07-29T18x15x00"/>
    <s v="B737/8"/>
    <x v="1"/>
    <x v="96"/>
    <x v="2"/>
    <s v="Operational"/>
    <s v="IX 813"/>
    <m/>
    <m/>
    <m/>
    <m/>
    <x v="0"/>
    <x v="0"/>
  </r>
  <r>
    <n v="27837852"/>
    <x v="0"/>
    <x v="2335"/>
    <s v="IX 813_2022-07-29T18x15x00"/>
    <s v="B737/8"/>
    <x v="1"/>
    <x v="96"/>
    <x v="0"/>
    <s v="Operational"/>
    <s v="IX 813"/>
    <m/>
    <m/>
    <m/>
    <m/>
    <x v="0"/>
    <x v="0"/>
  </r>
  <r>
    <n v="27837868"/>
    <x v="0"/>
    <x v="2336"/>
    <s v="FZ 746_2022-07-29T17x50x00"/>
    <s v="B737/8-MAX"/>
    <x v="5"/>
    <x v="158"/>
    <x v="2"/>
    <s v="Operational"/>
    <s v="FZ 746"/>
    <m/>
    <m/>
    <m/>
    <m/>
    <x v="0"/>
    <x v="0"/>
  </r>
  <r>
    <n v="27837877"/>
    <x v="0"/>
    <x v="2337"/>
    <s v="FZ 746_2022-07-29T17x50x00"/>
    <s v="B737/8-MAX"/>
    <x v="5"/>
    <x v="158"/>
    <x v="0"/>
    <s v="Operational"/>
    <s v="FZ 746"/>
    <m/>
    <m/>
    <m/>
    <m/>
    <x v="0"/>
    <x v="0"/>
  </r>
  <r>
    <n v="27837890"/>
    <x v="0"/>
    <x v="2338"/>
    <s v="EK 726_2022-07-29T17x50x00"/>
    <s v="B777/3-ER"/>
    <x v="2"/>
    <x v="4"/>
    <x v="3"/>
    <s v="Operational"/>
    <s v="EK 726"/>
    <m/>
    <m/>
    <m/>
    <m/>
    <x v="0"/>
    <x v="0"/>
  </r>
  <r>
    <n v="27837917"/>
    <x v="0"/>
    <x v="2339"/>
    <s v="SG 051_2022-07-29T18x35x00"/>
    <s v="B737/8-MAX"/>
    <x v="0"/>
    <x v="63"/>
    <x v="10"/>
    <s v="Operational"/>
    <s v="SG 051"/>
    <m/>
    <m/>
    <m/>
    <m/>
    <x v="0"/>
    <x v="0"/>
  </r>
  <r>
    <n v="27837918"/>
    <x v="0"/>
    <x v="2340"/>
    <s v="SG 051_2022-07-29T18x35x00"/>
    <s v="B737/8-MAX"/>
    <x v="0"/>
    <x v="63"/>
    <x v="11"/>
    <s v="Operational"/>
    <s v="SG 051"/>
    <m/>
    <m/>
    <m/>
    <m/>
    <x v="0"/>
    <x v="0"/>
  </r>
  <r>
    <n v="27837939"/>
    <x v="0"/>
    <x v="2341"/>
    <s v="SV 594_2022-07-29T17x25x00"/>
    <s v="A330/3"/>
    <x v="0"/>
    <x v="88"/>
    <x v="2"/>
    <s v="Operational"/>
    <s v="SV 594"/>
    <m/>
    <m/>
    <m/>
    <m/>
    <x v="0"/>
    <x v="0"/>
  </r>
  <r>
    <n v="27837957"/>
    <x v="0"/>
    <x v="2342"/>
    <s v="FZ 1746_2022-07-29T17x10x00"/>
    <s v="B737/8-MAX"/>
    <x v="5"/>
    <x v="157"/>
    <x v="3"/>
    <s v="Operational"/>
    <s v="FZ 1746"/>
    <m/>
    <m/>
    <m/>
    <m/>
    <x v="0"/>
    <x v="0"/>
  </r>
  <r>
    <n v="27837969"/>
    <x v="0"/>
    <x v="2343"/>
    <s v="EK 720_2022-07-29T17x25x00"/>
    <s v="B777/3-ER"/>
    <x v="2"/>
    <x v="112"/>
    <x v="3"/>
    <s v="Operational"/>
    <s v="EK 720"/>
    <m/>
    <m/>
    <m/>
    <m/>
    <x v="0"/>
    <x v="0"/>
  </r>
  <r>
    <n v="27837971"/>
    <x v="0"/>
    <x v="2343"/>
    <s v="SV 594_2022-07-29T17x25x00"/>
    <s v="A330/3"/>
    <x v="0"/>
    <x v="88"/>
    <x v="0"/>
    <s v="Operational"/>
    <s v="SV 594"/>
    <m/>
    <m/>
    <m/>
    <m/>
    <x v="0"/>
    <x v="0"/>
  </r>
  <r>
    <n v="27838004"/>
    <x v="0"/>
    <x v="2344"/>
    <s v="EK 720_2022-07-29T17x25x00"/>
    <s v="B777/3-ER"/>
    <x v="2"/>
    <x v="112"/>
    <x v="4"/>
    <s v="Operational"/>
    <s v="EK 720"/>
    <m/>
    <m/>
    <m/>
    <m/>
    <x v="0"/>
    <x v="0"/>
  </r>
  <r>
    <n v="27838007"/>
    <x v="0"/>
    <x v="2345"/>
    <m/>
    <m/>
    <x v="2"/>
    <x v="115"/>
    <x v="6"/>
    <s v="Operational"/>
    <m/>
    <m/>
    <m/>
    <m/>
    <m/>
    <x v="0"/>
    <x v="0"/>
  </r>
  <r>
    <n v="27838025"/>
    <x v="0"/>
    <x v="2346"/>
    <s v="EK 726_2022-07-29T17x50x00"/>
    <s v="B777/3-ER"/>
    <x v="2"/>
    <x v="4"/>
    <x v="4"/>
    <s v="Operational"/>
    <s v="EK 726"/>
    <m/>
    <m/>
    <m/>
    <m/>
    <x v="0"/>
    <x v="0"/>
  </r>
  <r>
    <n v="27838028"/>
    <x v="0"/>
    <x v="2347"/>
    <s v="FZ 868_2022-07-29T17x55x00"/>
    <s v="B737/8-MAX"/>
    <x v="5"/>
    <x v="71"/>
    <x v="3"/>
    <s v="Operational"/>
    <s v="FZ 868"/>
    <m/>
    <m/>
    <m/>
    <m/>
    <x v="0"/>
    <x v="0"/>
  </r>
  <r>
    <n v="27838037"/>
    <x v="0"/>
    <x v="2348"/>
    <s v="EK 858_2022-07-29T17x57x00"/>
    <s v="B777/3-ER"/>
    <x v="4"/>
    <x v="136"/>
    <x v="1"/>
    <s v="Operational"/>
    <s v="EK 858"/>
    <m/>
    <m/>
    <m/>
    <m/>
    <x v="0"/>
    <x v="0"/>
  </r>
  <r>
    <n v="27838058"/>
    <x v="0"/>
    <x v="2349"/>
    <s v="FZ 1746_2022-07-29T17x10x00"/>
    <s v="B737/8-MAX"/>
    <x v="5"/>
    <x v="157"/>
    <x v="4"/>
    <s v="Operational"/>
    <s v="FZ 1746"/>
    <m/>
    <m/>
    <m/>
    <m/>
    <x v="0"/>
    <x v="0"/>
  </r>
  <r>
    <n v="27838089"/>
    <x v="0"/>
    <x v="2350"/>
    <s v="AI 983_2022-07-29T17x55x00"/>
    <s v="A321"/>
    <x v="0"/>
    <x v="3"/>
    <x v="2"/>
    <s v="Operational"/>
    <s v="AI 983"/>
    <m/>
    <m/>
    <m/>
    <m/>
    <x v="0"/>
    <x v="0"/>
  </r>
  <r>
    <n v="27838097"/>
    <x v="0"/>
    <x v="2351"/>
    <s v="FZ 1798_2022-07-29T17x35x00"/>
    <s v="B737/8-MAX"/>
    <x v="2"/>
    <x v="7"/>
    <x v="2"/>
    <s v="Operational"/>
    <s v="FZ 1798"/>
    <m/>
    <m/>
    <m/>
    <m/>
    <x v="0"/>
    <x v="0"/>
  </r>
  <r>
    <n v="27838099"/>
    <x v="0"/>
    <x v="2352"/>
    <s v="FZ 868_2022-07-29T17x55x00"/>
    <s v="B737/8-MAX"/>
    <x v="5"/>
    <x v="71"/>
    <x v="4"/>
    <s v="Operational"/>
    <s v="FZ 868"/>
    <m/>
    <m/>
    <m/>
    <m/>
    <x v="0"/>
    <x v="0"/>
  </r>
  <r>
    <n v="27838103"/>
    <x v="0"/>
    <x v="2353"/>
    <s v="SG 051_2022-07-29T18x35x00"/>
    <s v="B737/8-MAX"/>
    <x v="0"/>
    <x v="63"/>
    <x v="2"/>
    <s v="Operational"/>
    <s v="SG 051"/>
    <m/>
    <m/>
    <m/>
    <m/>
    <x v="0"/>
    <x v="0"/>
  </r>
  <r>
    <n v="27838111"/>
    <x v="0"/>
    <x v="2354"/>
    <s v="FZ 1798_2022-07-29T17x35x00"/>
    <s v="B737/8-MAX"/>
    <x v="2"/>
    <x v="7"/>
    <x v="0"/>
    <s v="Operational"/>
    <s v="FZ 1798"/>
    <m/>
    <m/>
    <m/>
    <m/>
    <x v="0"/>
    <x v="0"/>
  </r>
  <r>
    <n v="27838121"/>
    <x v="0"/>
    <x v="2355"/>
    <s v="SG 051_2022-07-29T18x35x00"/>
    <s v="B737/8-MAX"/>
    <x v="0"/>
    <x v="63"/>
    <x v="0"/>
    <s v="Operational"/>
    <s v="SG 051"/>
    <m/>
    <m/>
    <m/>
    <m/>
    <x v="0"/>
    <x v="0"/>
  </r>
  <r>
    <n v="27838142"/>
    <x v="0"/>
    <x v="2356"/>
    <s v="AI 983_2022-07-29T17x55x00"/>
    <s v="A321"/>
    <x v="0"/>
    <x v="3"/>
    <x v="0"/>
    <s v="Operational"/>
    <s v="AI 983"/>
    <m/>
    <m/>
    <m/>
    <m/>
    <x v="0"/>
    <x v="0"/>
  </r>
  <r>
    <n v="27838160"/>
    <x v="0"/>
    <x v="2357"/>
    <s v="EK 347_2022-07-29T18x20x00"/>
    <s v="B777/3-ER"/>
    <x v="2"/>
    <x v="81"/>
    <x v="3"/>
    <s v="Operational"/>
    <s v="EK 347"/>
    <m/>
    <m/>
    <m/>
    <m/>
    <x v="0"/>
    <x v="0"/>
  </r>
  <r>
    <n v="27838180"/>
    <x v="0"/>
    <x v="2358"/>
    <s v="ME 429_2022-07-29T17x40x00"/>
    <s v="A330/2"/>
    <x v="0"/>
    <x v="61"/>
    <x v="1"/>
    <s v="Operational"/>
    <s v="ME 429"/>
    <m/>
    <m/>
    <m/>
    <m/>
    <x v="0"/>
    <x v="0"/>
  </r>
  <r>
    <n v="27838191"/>
    <x v="0"/>
    <x v="2359"/>
    <s v="LX 242_2022-07-29T17x30x00"/>
    <s v="A330/3"/>
    <x v="0"/>
    <x v="61"/>
    <x v="3"/>
    <s v="Operational"/>
    <s v="LX 242"/>
    <m/>
    <m/>
    <m/>
    <m/>
    <x v="0"/>
    <x v="0"/>
  </r>
  <r>
    <n v="27838197"/>
    <x v="0"/>
    <x v="2360"/>
    <s v="FZ 715_2022-07-29T17x35x00"/>
    <s v="B737/8"/>
    <x v="1"/>
    <x v="1"/>
    <x v="1"/>
    <s v="Operational"/>
    <s v="FZ 715"/>
    <m/>
    <m/>
    <m/>
    <m/>
    <x v="0"/>
    <x v="0"/>
  </r>
  <r>
    <n v="27838219"/>
    <x v="0"/>
    <x v="2361"/>
    <s v="FZ 1746_2022-07-29T17x10x00"/>
    <s v="B737/8-MAX"/>
    <x v="5"/>
    <x v="157"/>
    <x v="2"/>
    <s v="Operational"/>
    <s v="FZ 1746"/>
    <m/>
    <m/>
    <m/>
    <m/>
    <x v="0"/>
    <x v="0"/>
  </r>
  <r>
    <n v="27838220"/>
    <x v="0"/>
    <x v="2361"/>
    <s v="FZ 1303_2022-07-29T17x50x00"/>
    <s v="B737/8-MAX"/>
    <x v="5"/>
    <x v="154"/>
    <x v="1"/>
    <s v="Operational"/>
    <s v="FZ 1303"/>
    <m/>
    <m/>
    <m/>
    <m/>
    <x v="0"/>
    <x v="0"/>
  </r>
  <r>
    <n v="27838248"/>
    <x v="0"/>
    <x v="2362"/>
    <s v="FZ 1746_2022-07-29T17x10x00"/>
    <s v="B737/8-MAX"/>
    <x v="5"/>
    <x v="157"/>
    <x v="0"/>
    <s v="Operational"/>
    <s v="FZ 1746"/>
    <m/>
    <m/>
    <m/>
    <m/>
    <x v="0"/>
    <x v="0"/>
  </r>
  <r>
    <n v="27838262"/>
    <x v="0"/>
    <x v="2363"/>
    <s v="EK 347_2022-07-29T18x20x00"/>
    <s v="B777/3-ER"/>
    <x v="2"/>
    <x v="81"/>
    <x v="4"/>
    <s v="Operational"/>
    <s v="EK 347"/>
    <m/>
    <m/>
    <m/>
    <m/>
    <x v="0"/>
    <x v="0"/>
  </r>
  <r>
    <n v="27838267"/>
    <x v="0"/>
    <x v="2364"/>
    <s v="FZ 755_2022-07-29T17x20x00"/>
    <s v="B737/8-MAX"/>
    <x v="5"/>
    <x v="120"/>
    <x v="1"/>
    <s v="Operational"/>
    <s v="FZ 755"/>
    <m/>
    <m/>
    <m/>
    <m/>
    <x v="0"/>
    <x v="0"/>
  </r>
  <r>
    <n v="27838275"/>
    <x v="0"/>
    <x v="2365"/>
    <s v="EK 512_2022-07-29T18x00x00"/>
    <s v="B777/3-ER"/>
    <x v="3"/>
    <x v="124"/>
    <x v="1"/>
    <s v="Operational"/>
    <s v="EK 512"/>
    <m/>
    <m/>
    <m/>
    <m/>
    <x v="0"/>
    <x v="0"/>
  </r>
  <r>
    <n v="27838284"/>
    <x v="0"/>
    <x v="2366"/>
    <s v="FZ 1758_2022-07-29T18x10x00"/>
    <s v="B737/8-MAX"/>
    <x v="5"/>
    <x v="120"/>
    <x v="3"/>
    <s v="Operational"/>
    <s v="FZ 1758"/>
    <m/>
    <m/>
    <m/>
    <m/>
    <x v="0"/>
    <x v="0"/>
  </r>
  <r>
    <n v="27838295"/>
    <x v="0"/>
    <x v="2367"/>
    <s v="F3 513_2022-07-29T17x45x00"/>
    <s v="A320-NEO"/>
    <x v="1"/>
    <x v="1"/>
    <x v="3"/>
    <s v="Operational"/>
    <s v="F3 513"/>
    <m/>
    <m/>
    <m/>
    <m/>
    <x v="0"/>
    <x v="0"/>
  </r>
  <r>
    <n v="27838299"/>
    <x v="0"/>
    <x v="2368"/>
    <s v="F3 513_2022-07-29T17x45x00"/>
    <s v="A320-NEO"/>
    <x v="1"/>
    <x v="1"/>
    <x v="4"/>
    <s v="Operational"/>
    <s v="F3 513"/>
    <m/>
    <m/>
    <m/>
    <m/>
    <x v="0"/>
    <x v="0"/>
  </r>
  <r>
    <n v="27838310"/>
    <x v="0"/>
    <x v="2369"/>
    <s v="EK 726_2022-07-29T17x50x00"/>
    <s v="B777/3-ER"/>
    <x v="2"/>
    <x v="4"/>
    <x v="2"/>
    <s v="Operational"/>
    <s v="EK 726"/>
    <m/>
    <m/>
    <m/>
    <m/>
    <x v="0"/>
    <x v="0"/>
  </r>
  <r>
    <n v="27838319"/>
    <x v="0"/>
    <x v="2370"/>
    <s v="KC 208_2022-07-29T18x00x00"/>
    <s v="A321-NEO"/>
    <x v="0"/>
    <x v="57"/>
    <x v="1"/>
    <s v="Operational"/>
    <s v="KC 208"/>
    <m/>
    <m/>
    <m/>
    <m/>
    <x v="0"/>
    <x v="0"/>
  </r>
  <r>
    <n v="27838328"/>
    <x v="0"/>
    <x v="2371"/>
    <s v="G8 057_2022-07-29T18x20x00"/>
    <s v="A320-NEO"/>
    <x v="0"/>
    <x v="57"/>
    <x v="3"/>
    <s v="Operational"/>
    <s v="G8 057"/>
    <m/>
    <m/>
    <m/>
    <m/>
    <x v="0"/>
    <x v="0"/>
  </r>
  <r>
    <n v="27838333"/>
    <x v="0"/>
    <x v="2372"/>
    <s v="EK 726_2022-07-29T17x50x00"/>
    <s v="B777/3-ER"/>
    <x v="2"/>
    <x v="4"/>
    <x v="0"/>
    <s v="Operational"/>
    <s v="EK 726"/>
    <m/>
    <m/>
    <m/>
    <m/>
    <x v="0"/>
    <x v="0"/>
  </r>
  <r>
    <n v="27838354"/>
    <x v="0"/>
    <x v="2373"/>
    <s v="FZ 1758_2022-07-29T18x10x00"/>
    <s v="B737/8-MAX"/>
    <x v="5"/>
    <x v="120"/>
    <x v="4"/>
    <s v="Operational"/>
    <s v="FZ 1758"/>
    <m/>
    <m/>
    <m/>
    <m/>
    <x v="0"/>
    <x v="0"/>
  </r>
  <r>
    <n v="27838362"/>
    <x v="0"/>
    <x v="2374"/>
    <s v="BG 247_2022-07-29T18x15x00"/>
    <s v="B787/8"/>
    <x v="0"/>
    <x v="12"/>
    <x v="3"/>
    <s v="Operational"/>
    <s v="BG 247"/>
    <m/>
    <m/>
    <m/>
    <m/>
    <x v="0"/>
    <x v="0"/>
  </r>
  <r>
    <n v="27838370"/>
    <x v="0"/>
    <x v="2375"/>
    <s v="LX 242_2022-07-29T17x30x00"/>
    <s v="A330/3"/>
    <x v="0"/>
    <x v="61"/>
    <x v="4"/>
    <s v="Operational"/>
    <s v="LX 242"/>
    <m/>
    <m/>
    <m/>
    <m/>
    <x v="0"/>
    <x v="0"/>
  </r>
  <r>
    <n v="27838378"/>
    <x v="0"/>
    <x v="2376"/>
    <s v="G8 057_2022-07-29T18x20x00"/>
    <s v="A320-NEO"/>
    <x v="0"/>
    <x v="57"/>
    <x v="4"/>
    <s v="Operational"/>
    <s v="G8 057"/>
    <m/>
    <m/>
    <m/>
    <m/>
    <x v="0"/>
    <x v="0"/>
  </r>
  <r>
    <n v="27838382"/>
    <x v="0"/>
    <x v="2377"/>
    <s v="G8 057_2022-07-29T18x20x00"/>
    <s v="A320-NEO"/>
    <x v="0"/>
    <x v="57"/>
    <x v="15"/>
    <s v="Technical"/>
    <s v="G8 057"/>
    <m/>
    <m/>
    <m/>
    <m/>
    <x v="0"/>
    <x v="0"/>
  </r>
  <r>
    <n v="27838391"/>
    <x v="0"/>
    <x v="2378"/>
    <s v="EK 720_2022-07-29T17x25x00"/>
    <s v="B777/3-ER"/>
    <x v="2"/>
    <x v="112"/>
    <x v="2"/>
    <s v="Operational"/>
    <s v="EK 720"/>
    <m/>
    <m/>
    <m/>
    <m/>
    <x v="0"/>
    <x v="0"/>
  </r>
  <r>
    <n v="27838392"/>
    <x v="0"/>
    <x v="2379"/>
    <s v="EK 925_2022-07-29T17x55x00"/>
    <s v="B777/3-ER"/>
    <x v="4"/>
    <x v="64"/>
    <x v="1"/>
    <s v="Operational"/>
    <s v="EK 925"/>
    <m/>
    <m/>
    <m/>
    <m/>
    <x v="0"/>
    <x v="0"/>
  </r>
  <r>
    <n v="27838399"/>
    <x v="0"/>
    <x v="2380"/>
    <s v="G8 057_2022-07-29T18x20x00"/>
    <s v="A320-NEO"/>
    <x v="0"/>
    <x v="57"/>
    <x v="17"/>
    <s v="Technical"/>
    <s v="G8 057"/>
    <m/>
    <m/>
    <m/>
    <m/>
    <x v="0"/>
    <x v="0"/>
  </r>
  <r>
    <n v="27838411"/>
    <x v="0"/>
    <x v="2381"/>
    <s v="BG 247_2022-07-29T18x15x00"/>
    <s v="B787/8"/>
    <x v="0"/>
    <x v="12"/>
    <x v="4"/>
    <s v="Operational"/>
    <s v="BG 247"/>
    <m/>
    <m/>
    <m/>
    <m/>
    <x v="0"/>
    <x v="0"/>
  </r>
  <r>
    <n v="27838439"/>
    <x v="0"/>
    <x v="2382"/>
    <s v="EK 720_2022-07-29T17x25x00"/>
    <s v="B777/3-ER"/>
    <x v="2"/>
    <x v="112"/>
    <x v="0"/>
    <s v="Operational"/>
    <s v="EK 720"/>
    <m/>
    <m/>
    <m/>
    <m/>
    <x v="0"/>
    <x v="0"/>
  </r>
  <r>
    <n v="27838452"/>
    <x v="0"/>
    <x v="2383"/>
    <s v="FZ 826_2022-07-29T17x40x00"/>
    <s v="B737/8"/>
    <x v="1"/>
    <x v="135"/>
    <x v="4"/>
    <s v="Operational"/>
    <s v="FZ 826"/>
    <m/>
    <m/>
    <m/>
    <m/>
    <x v="0"/>
    <x v="0"/>
  </r>
  <r>
    <n v="27838472"/>
    <x v="0"/>
    <x v="2384"/>
    <m/>
    <m/>
    <x v="6"/>
    <x v="146"/>
    <x v="7"/>
    <s v="Operational"/>
    <m/>
    <m/>
    <m/>
    <m/>
    <m/>
    <x v="0"/>
    <x v="0"/>
  </r>
  <r>
    <n v="27838477"/>
    <x v="0"/>
    <x v="2385"/>
    <m/>
    <m/>
    <x v="7"/>
    <x v="132"/>
    <x v="6"/>
    <s v="Operational"/>
    <m/>
    <m/>
    <m/>
    <m/>
    <m/>
    <x v="0"/>
    <x v="0"/>
  </r>
  <r>
    <n v="27838482"/>
    <x v="0"/>
    <x v="2386"/>
    <s v="EK 500_2022-07-29T17x55x00"/>
    <s v="A380/8"/>
    <x v="4"/>
    <x v="126"/>
    <x v="1"/>
    <s v="Operational"/>
    <s v="EK 500"/>
    <m/>
    <m/>
    <m/>
    <m/>
    <x v="0"/>
    <x v="0"/>
  </r>
  <r>
    <n v="27838490"/>
    <x v="0"/>
    <x v="2387"/>
    <s v="FZ 212_2022-07-29T18x25x00"/>
    <s v="B737/8"/>
    <x v="1"/>
    <x v="87"/>
    <x v="3"/>
    <s v="Operational"/>
    <s v="FZ 212"/>
    <m/>
    <m/>
    <m/>
    <m/>
    <x v="0"/>
    <x v="0"/>
  </r>
  <r>
    <n v="27838502"/>
    <x v="0"/>
    <x v="2388"/>
    <s v="FZ 212_2022-07-29T18x25x00"/>
    <s v="B737/8"/>
    <x v="1"/>
    <x v="87"/>
    <x v="4"/>
    <s v="Operational"/>
    <s v="FZ 212"/>
    <m/>
    <m/>
    <m/>
    <m/>
    <x v="0"/>
    <x v="0"/>
  </r>
  <r>
    <n v="27838524"/>
    <x v="0"/>
    <x v="2389"/>
    <s v="EK 858_2022-07-30T05x00x00"/>
    <s v="B777/3-ER"/>
    <x v="7"/>
    <x v="132"/>
    <x v="2"/>
    <s v="Operational"/>
    <s v="EK 858"/>
    <m/>
    <m/>
    <m/>
    <m/>
    <x v="0"/>
    <x v="0"/>
  </r>
  <r>
    <n v="27838530"/>
    <x v="0"/>
    <x v="2390"/>
    <s v="F3 512_2022-07-29T17x35x00"/>
    <s v="A320-NEO"/>
    <x v="1"/>
    <x v="72"/>
    <x v="1"/>
    <s v="Operational"/>
    <s v="F3 512"/>
    <m/>
    <m/>
    <m/>
    <m/>
    <x v="0"/>
    <x v="0"/>
  </r>
  <r>
    <n v="27838542"/>
    <x v="0"/>
    <x v="2391"/>
    <s v="LX 242_2022-07-29T17x30x00"/>
    <s v="A330/3"/>
    <x v="0"/>
    <x v="61"/>
    <x v="2"/>
    <s v="Operational"/>
    <s v="LX 242"/>
    <m/>
    <m/>
    <m/>
    <m/>
    <x v="0"/>
    <x v="0"/>
  </r>
  <r>
    <n v="27838549"/>
    <x v="0"/>
    <x v="2392"/>
    <s v="F3 513_2022-07-29T17x45x00"/>
    <s v="A320-NEO"/>
    <x v="1"/>
    <x v="1"/>
    <x v="15"/>
    <s v="Technical"/>
    <s v="F3 513"/>
    <m/>
    <m/>
    <m/>
    <m/>
    <x v="0"/>
    <x v="0"/>
  </r>
  <r>
    <n v="27838558"/>
    <x v="0"/>
    <x v="2393"/>
    <s v="EK 347_2022-07-29T18x20x00"/>
    <s v="B777/3-ER"/>
    <x v="2"/>
    <x v="81"/>
    <x v="2"/>
    <s v="Operational"/>
    <s v="EK 347"/>
    <m/>
    <m/>
    <m/>
    <m/>
    <x v="0"/>
    <x v="0"/>
  </r>
  <r>
    <n v="27838559"/>
    <x v="0"/>
    <x v="2394"/>
    <s v="F3 513_2022-07-29T17x45x00"/>
    <s v="A320-NEO"/>
    <x v="1"/>
    <x v="1"/>
    <x v="17"/>
    <s v="Technical"/>
    <s v="F3 513"/>
    <m/>
    <m/>
    <m/>
    <m/>
    <x v="0"/>
    <x v="0"/>
  </r>
  <r>
    <n v="27838565"/>
    <x v="0"/>
    <x v="2395"/>
    <s v="EK 858_2022-07-30T05x00x00"/>
    <s v="B777/3-ER"/>
    <x v="7"/>
    <x v="132"/>
    <x v="0"/>
    <s v="Operational"/>
    <s v="EK 858"/>
    <m/>
    <m/>
    <m/>
    <m/>
    <x v="0"/>
    <x v="0"/>
  </r>
  <r>
    <n v="27838576"/>
    <x v="0"/>
    <x v="2396"/>
    <s v="LX 242_2022-07-29T17x30x00"/>
    <s v="A330/3"/>
    <x v="0"/>
    <x v="61"/>
    <x v="0"/>
    <s v="Operational"/>
    <s v="LX 242"/>
    <m/>
    <m/>
    <m/>
    <m/>
    <x v="0"/>
    <x v="0"/>
  </r>
  <r>
    <n v="27838593"/>
    <x v="0"/>
    <x v="2397"/>
    <s v="EK 347_2022-07-29T18x20x00"/>
    <s v="B777/3-ER"/>
    <x v="2"/>
    <x v="81"/>
    <x v="0"/>
    <s v="Operational"/>
    <s v="EK 347"/>
    <m/>
    <m/>
    <m/>
    <m/>
    <x v="0"/>
    <x v="0"/>
  </r>
  <r>
    <n v="27838607"/>
    <x v="0"/>
    <x v="2398"/>
    <s v="FZ 868_2022-07-29T17x55x00"/>
    <s v="B737/8-MAX"/>
    <x v="5"/>
    <x v="71"/>
    <x v="2"/>
    <s v="Operational"/>
    <s v="FZ 868"/>
    <m/>
    <m/>
    <m/>
    <m/>
    <x v="0"/>
    <x v="0"/>
  </r>
  <r>
    <n v="27838629"/>
    <x v="0"/>
    <x v="2399"/>
    <s v="FZ 868_2022-07-29T17x55x00"/>
    <s v="B737/8-MAX"/>
    <x v="5"/>
    <x v="71"/>
    <x v="0"/>
    <s v="Operational"/>
    <s v="FZ 868"/>
    <m/>
    <m/>
    <m/>
    <m/>
    <x v="0"/>
    <x v="0"/>
  </r>
  <r>
    <n v="27838645"/>
    <x v="0"/>
    <x v="2400"/>
    <s v="GF 512_2022-07-29T18x35x00"/>
    <s v="B787/9"/>
    <x v="0"/>
    <x v="50"/>
    <x v="3"/>
    <s v="Operational"/>
    <s v="GF 512"/>
    <m/>
    <m/>
    <m/>
    <m/>
    <x v="0"/>
    <x v="0"/>
  </r>
  <r>
    <n v="27838676"/>
    <x v="0"/>
    <x v="2401"/>
    <s v="FZ 1758_2022-07-29T18x10x00"/>
    <s v="B737/8-MAX"/>
    <x v="5"/>
    <x v="120"/>
    <x v="2"/>
    <s v="Operational"/>
    <s v="FZ 1758"/>
    <m/>
    <m/>
    <m/>
    <m/>
    <x v="0"/>
    <x v="0"/>
  </r>
  <r>
    <n v="27838686"/>
    <x v="0"/>
    <x v="2402"/>
    <s v="AI 951_2022-07-29T18x25x00"/>
    <s v="A320-NEO"/>
    <x v="0"/>
    <x v="91"/>
    <x v="3"/>
    <s v="Operational"/>
    <s v="AI 951"/>
    <m/>
    <m/>
    <m/>
    <m/>
    <x v="0"/>
    <x v="0"/>
  </r>
  <r>
    <n v="27838688"/>
    <x v="0"/>
    <x v="2403"/>
    <s v="GF 512_2022-07-29T18x35x00"/>
    <s v="B787/9"/>
    <x v="0"/>
    <x v="50"/>
    <x v="4"/>
    <s v="Operational"/>
    <s v="GF 512"/>
    <m/>
    <m/>
    <m/>
    <m/>
    <x v="0"/>
    <x v="0"/>
  </r>
  <r>
    <n v="27838694"/>
    <x v="0"/>
    <x v="2404"/>
    <s v="FZ 1758_2022-07-29T18x10x00"/>
    <s v="B737/8-MAX"/>
    <x v="5"/>
    <x v="120"/>
    <x v="0"/>
    <s v="Operational"/>
    <s v="FZ 1758"/>
    <m/>
    <m/>
    <m/>
    <m/>
    <x v="0"/>
    <x v="0"/>
  </r>
  <r>
    <n v="27838706"/>
    <x v="0"/>
    <x v="2405"/>
    <s v="F3 513_2022-07-29T17x45x00"/>
    <s v="A320-NEO"/>
    <x v="1"/>
    <x v="1"/>
    <x v="2"/>
    <s v="Operational"/>
    <s v="F3 513"/>
    <m/>
    <m/>
    <m/>
    <m/>
    <x v="0"/>
    <x v="0"/>
  </r>
  <r>
    <n v="27838711"/>
    <x v="0"/>
    <x v="2406"/>
    <s v="FZ 1721_2022-07-29T17x40x00"/>
    <s v="B737/8-MAX"/>
    <x v="5"/>
    <x v="147"/>
    <x v="1"/>
    <s v="Operational"/>
    <s v="FZ 1721"/>
    <m/>
    <m/>
    <m/>
    <m/>
    <x v="0"/>
    <x v="0"/>
  </r>
  <r>
    <n v="27838719"/>
    <x v="0"/>
    <x v="2407"/>
    <s v="EK 858_2022-07-29T18x27x00"/>
    <s v="B777/3-ER"/>
    <x v="7"/>
    <x v="128"/>
    <x v="3"/>
    <s v="Operational"/>
    <s v="EK 858"/>
    <m/>
    <m/>
    <m/>
    <m/>
    <x v="0"/>
    <x v="0"/>
  </r>
  <r>
    <n v="27838729"/>
    <x v="0"/>
    <x v="2408"/>
    <s v="F3 513_2022-07-29T17x45x00"/>
    <s v="A320-NEO"/>
    <x v="1"/>
    <x v="1"/>
    <x v="0"/>
    <s v="Operational"/>
    <s v="F3 513"/>
    <m/>
    <m/>
    <m/>
    <m/>
    <x v="0"/>
    <x v="0"/>
  </r>
  <r>
    <n v="27838754"/>
    <x v="0"/>
    <x v="2409"/>
    <s v="G8 057_2022-07-29T18x20x00"/>
    <s v="A320-NEO"/>
    <x v="0"/>
    <x v="57"/>
    <x v="2"/>
    <s v="Operational"/>
    <s v="G8 057"/>
    <m/>
    <m/>
    <m/>
    <m/>
    <x v="0"/>
    <x v="0"/>
  </r>
  <r>
    <n v="27838760"/>
    <x v="0"/>
    <x v="2410"/>
    <s v="G8 057_2022-07-29T18x20x00"/>
    <s v="A320-NEO"/>
    <x v="0"/>
    <x v="57"/>
    <x v="0"/>
    <s v="Operational"/>
    <s v="G8 057"/>
    <m/>
    <m/>
    <m/>
    <m/>
    <x v="0"/>
    <x v="0"/>
  </r>
  <r>
    <n v="27838771"/>
    <x v="0"/>
    <x v="2411"/>
    <s v="EK 905_2022-07-29T18x10x00"/>
    <s v="A380/8"/>
    <x v="4"/>
    <x v="65"/>
    <x v="1"/>
    <s v="Operational"/>
    <s v="EK 905"/>
    <m/>
    <m/>
    <m/>
    <m/>
    <x v="0"/>
    <x v="0"/>
  </r>
  <r>
    <n v="27838787"/>
    <x v="0"/>
    <x v="2412"/>
    <s v="FZ 1296_2022-07-29T17x50x00"/>
    <s v="B737/8-MAX"/>
    <x v="5"/>
    <x v="140"/>
    <x v="3"/>
    <s v="Operational"/>
    <s v="FZ 1296"/>
    <m/>
    <m/>
    <m/>
    <m/>
    <x v="0"/>
    <x v="0"/>
  </r>
  <r>
    <n v="27838794"/>
    <x v="0"/>
    <x v="2413"/>
    <s v="FZ 826_2022-07-29T17x40x00"/>
    <s v="B737/8"/>
    <x v="1"/>
    <x v="135"/>
    <x v="2"/>
    <s v="Operational"/>
    <s v="FZ 826"/>
    <m/>
    <m/>
    <m/>
    <m/>
    <x v="0"/>
    <x v="0"/>
  </r>
  <r>
    <n v="27838805"/>
    <x v="0"/>
    <x v="2414"/>
    <s v="FZ 1296_2022-07-29T17x50x00"/>
    <s v="B737/8-MAX"/>
    <x v="5"/>
    <x v="140"/>
    <x v="4"/>
    <s v="Operational"/>
    <s v="FZ 1296"/>
    <m/>
    <m/>
    <m/>
    <m/>
    <x v="0"/>
    <x v="0"/>
  </r>
  <r>
    <n v="27838822"/>
    <x v="0"/>
    <x v="2415"/>
    <s v="FZ 826_2022-07-29T17x40x00"/>
    <s v="B737/8"/>
    <x v="1"/>
    <x v="135"/>
    <x v="0"/>
    <s v="Operational"/>
    <s v="FZ 826"/>
    <m/>
    <m/>
    <m/>
    <m/>
    <x v="0"/>
    <x v="0"/>
  </r>
  <r>
    <n v="27838841"/>
    <x v="0"/>
    <x v="2416"/>
    <s v="FZ 173_2022-07-29T17x45x00"/>
    <s v="B737/8"/>
    <x v="1"/>
    <x v="116"/>
    <x v="1"/>
    <s v="Operational"/>
    <s v="FZ 173"/>
    <m/>
    <m/>
    <m/>
    <m/>
    <x v="0"/>
    <x v="0"/>
  </r>
  <r>
    <n v="27838857"/>
    <x v="0"/>
    <x v="2417"/>
    <s v="FZ 814_2022-07-29T17x00x00"/>
    <s v="B737/8"/>
    <x v="1"/>
    <x v="166"/>
    <x v="3"/>
    <s v="Operational"/>
    <s v="FZ 814"/>
    <m/>
    <m/>
    <m/>
    <m/>
    <x v="0"/>
    <x v="0"/>
  </r>
  <r>
    <n v="27838863"/>
    <x v="0"/>
    <x v="2418"/>
    <s v="FZ 212_2022-07-29T18x25x00"/>
    <s v="B737/8"/>
    <x v="1"/>
    <x v="87"/>
    <x v="2"/>
    <s v="Operational"/>
    <s v="FZ 212"/>
    <m/>
    <m/>
    <m/>
    <m/>
    <x v="0"/>
    <x v="0"/>
  </r>
  <r>
    <n v="27838876"/>
    <x v="0"/>
    <x v="2419"/>
    <s v="BG 247_2022-07-29T18x15x00"/>
    <s v="B787/8"/>
    <x v="0"/>
    <x v="12"/>
    <x v="2"/>
    <s v="Operational"/>
    <s v="BG 247"/>
    <m/>
    <m/>
    <m/>
    <m/>
    <x v="0"/>
    <x v="0"/>
  </r>
  <r>
    <n v="27838879"/>
    <x v="0"/>
    <x v="2420"/>
    <s v="FZ 212_2022-07-29T18x25x00"/>
    <s v="B737/8"/>
    <x v="1"/>
    <x v="87"/>
    <x v="0"/>
    <s v="Operational"/>
    <s v="FZ 212"/>
    <m/>
    <m/>
    <m/>
    <m/>
    <x v="0"/>
    <x v="0"/>
  </r>
  <r>
    <n v="27838889"/>
    <x v="0"/>
    <x v="2421"/>
    <s v="AI 951_2022-07-29T18x25x00"/>
    <s v="A320-NEO"/>
    <x v="0"/>
    <x v="91"/>
    <x v="4"/>
    <s v="Operational"/>
    <s v="AI 951"/>
    <m/>
    <m/>
    <m/>
    <m/>
    <x v="0"/>
    <x v="0"/>
  </r>
  <r>
    <n v="27838899"/>
    <x v="0"/>
    <x v="2422"/>
    <s v="BG 247_2022-07-29T18x15x00"/>
    <s v="B787/8"/>
    <x v="0"/>
    <x v="12"/>
    <x v="0"/>
    <s v="Operational"/>
    <s v="BG 247"/>
    <m/>
    <m/>
    <m/>
    <m/>
    <x v="0"/>
    <x v="0"/>
  </r>
  <r>
    <n v="27838911"/>
    <x v="0"/>
    <x v="2423"/>
    <s v="FZ 057_2022-07-29T18x00x00"/>
    <s v="B737/8"/>
    <x v="1"/>
    <x v="35"/>
    <x v="1"/>
    <s v="Operational"/>
    <s v="FZ 057"/>
    <m/>
    <m/>
    <m/>
    <m/>
    <x v="0"/>
    <x v="0"/>
  </r>
  <r>
    <n v="27838923"/>
    <x v="0"/>
    <x v="2424"/>
    <s v="EK 904_2022-07-29T18x00x00"/>
    <s v="A380/8"/>
    <x v="3"/>
    <x v="85"/>
    <x v="3"/>
    <s v="Operational"/>
    <s v="EK 904"/>
    <m/>
    <m/>
    <m/>
    <m/>
    <x v="0"/>
    <x v="0"/>
  </r>
  <r>
    <n v="27838929"/>
    <x v="0"/>
    <x v="2425"/>
    <s v="FZ 814_2022-07-29T17x00x00"/>
    <s v="B737/8"/>
    <x v="1"/>
    <x v="166"/>
    <x v="4"/>
    <s v="Operational"/>
    <s v="FZ 814"/>
    <m/>
    <m/>
    <m/>
    <m/>
    <x v="0"/>
    <x v="0"/>
  </r>
  <r>
    <n v="27839002"/>
    <x v="0"/>
    <x v="2426"/>
    <s v="GF 512_2022-07-29T18x35x00"/>
    <s v="B787/9"/>
    <x v="0"/>
    <x v="50"/>
    <x v="2"/>
    <s v="Operational"/>
    <s v="GF 512"/>
    <m/>
    <m/>
    <m/>
    <m/>
    <x v="0"/>
    <x v="0"/>
  </r>
  <r>
    <n v="27839010"/>
    <x v="0"/>
    <x v="2427"/>
    <s v="GF 512_2022-07-29T18x35x00"/>
    <s v="B787/9"/>
    <x v="0"/>
    <x v="50"/>
    <x v="0"/>
    <s v="Operational"/>
    <s v="GF 512"/>
    <m/>
    <m/>
    <m/>
    <m/>
    <x v="0"/>
    <x v="0"/>
  </r>
  <r>
    <n v="27839021"/>
    <x v="0"/>
    <x v="2428"/>
    <s v="EK 587_2022-07-29T18x30x00"/>
    <s v="B777/3"/>
    <x v="2"/>
    <x v="115"/>
    <x v="2"/>
    <s v="Operational"/>
    <m/>
    <m/>
    <m/>
    <m/>
    <m/>
    <x v="0"/>
    <x v="0"/>
  </r>
  <r>
    <n v="27839029"/>
    <x v="0"/>
    <x v="2429"/>
    <s v="EK 503_2022-07-29T18x37x00"/>
    <s v="B777/2-LR"/>
    <x v="6"/>
    <x v="169"/>
    <x v="3"/>
    <s v="Operational"/>
    <s v="EK 503"/>
    <m/>
    <m/>
    <m/>
    <m/>
    <x v="0"/>
    <x v="0"/>
  </r>
  <r>
    <n v="27839037"/>
    <x v="0"/>
    <x v="2430"/>
    <s v="EK 587_2022-07-29T18x30x00"/>
    <s v="B777/3"/>
    <x v="2"/>
    <x v="115"/>
    <x v="0"/>
    <s v="Operational"/>
    <m/>
    <m/>
    <m/>
    <m/>
    <m/>
    <x v="0"/>
    <x v="0"/>
  </r>
  <r>
    <n v="27839058"/>
    <x v="0"/>
    <x v="2431"/>
    <s v="FZ 8870_2022-07-29T18x35x00"/>
    <s v="B737/8"/>
    <x v="1"/>
    <x v="72"/>
    <x v="3"/>
    <s v="Operational"/>
    <s v="FZ 8870"/>
    <m/>
    <m/>
    <m/>
    <m/>
    <x v="0"/>
    <x v="0"/>
  </r>
  <r>
    <n v="27839061"/>
    <x v="0"/>
    <x v="2432"/>
    <s v="FZ 8870_2022-07-29T18x35x00"/>
    <s v="B737/8"/>
    <x v="1"/>
    <x v="72"/>
    <x v="4"/>
    <s v="Operational"/>
    <s v="FZ 8870"/>
    <m/>
    <m/>
    <m/>
    <m/>
    <x v="0"/>
    <x v="0"/>
  </r>
  <r>
    <n v="27839070"/>
    <x v="0"/>
    <x v="2433"/>
    <s v="EK 540_2022-07-29T23x50x00"/>
    <s v="B777/2-LR"/>
    <x v="3"/>
    <x v="44"/>
    <x v="1"/>
    <s v="Operational"/>
    <m/>
    <m/>
    <m/>
    <m/>
    <m/>
    <x v="0"/>
    <x v="0"/>
  </r>
  <r>
    <n v="27839081"/>
    <x v="0"/>
    <x v="2434"/>
    <s v="EK 904_2022-07-29T18x00x00"/>
    <s v="A380/8"/>
    <x v="3"/>
    <x v="85"/>
    <x v="4"/>
    <s v="Operational"/>
    <s v="EK 904"/>
    <m/>
    <m/>
    <m/>
    <m/>
    <x v="0"/>
    <x v="0"/>
  </r>
  <r>
    <n v="27839087"/>
    <x v="0"/>
    <x v="2435"/>
    <s v="FZ 814_2022-07-29T17x00x00"/>
    <s v="B737/8"/>
    <x v="1"/>
    <x v="166"/>
    <x v="2"/>
    <s v="Operational"/>
    <s v="FZ 814"/>
    <m/>
    <m/>
    <m/>
    <m/>
    <x v="0"/>
    <x v="0"/>
  </r>
  <r>
    <n v="27839088"/>
    <x v="0"/>
    <x v="2435"/>
    <s v="FZ 1929_2022-07-29T18x00x00"/>
    <s v="B737/8"/>
    <x v="5"/>
    <x v="23"/>
    <x v="1"/>
    <s v="Operational"/>
    <s v="FZ 1929"/>
    <m/>
    <m/>
    <m/>
    <m/>
    <x v="0"/>
    <x v="0"/>
  </r>
  <r>
    <n v="27839095"/>
    <x v="0"/>
    <x v="2436"/>
    <s v="AI 951_2022-07-29T18x25x00"/>
    <s v="A320-NEO"/>
    <x v="0"/>
    <x v="91"/>
    <x v="2"/>
    <s v="Operational"/>
    <s v="AI 951"/>
    <m/>
    <m/>
    <m/>
    <m/>
    <x v="0"/>
    <x v="0"/>
  </r>
  <r>
    <n v="27839106"/>
    <x v="0"/>
    <x v="2437"/>
    <s v="FZ 814_2022-07-29T17x00x00"/>
    <s v="B737/8"/>
    <x v="1"/>
    <x v="166"/>
    <x v="0"/>
    <s v="Operational"/>
    <s v="FZ 814"/>
    <m/>
    <m/>
    <m/>
    <m/>
    <x v="0"/>
    <x v="0"/>
  </r>
  <r>
    <n v="27839126"/>
    <x v="0"/>
    <x v="2438"/>
    <s v="FZ 1296_2022-07-29T17x50x00"/>
    <s v="B737/8-MAX"/>
    <x v="5"/>
    <x v="140"/>
    <x v="2"/>
    <s v="Operational"/>
    <s v="FZ 1296"/>
    <m/>
    <m/>
    <m/>
    <m/>
    <x v="0"/>
    <x v="0"/>
  </r>
  <r>
    <n v="27839130"/>
    <x v="0"/>
    <x v="2439"/>
    <s v="AI 951_2022-07-29T18x25x00"/>
    <s v="A320-NEO"/>
    <x v="0"/>
    <x v="91"/>
    <x v="0"/>
    <s v="Operational"/>
    <s v="AI 951"/>
    <m/>
    <m/>
    <m/>
    <m/>
    <x v="0"/>
    <x v="0"/>
  </r>
  <r>
    <n v="27839149"/>
    <x v="0"/>
    <x v="2440"/>
    <s v="FZ 1296_2022-07-29T17x50x00"/>
    <s v="B737/8-MAX"/>
    <x v="5"/>
    <x v="140"/>
    <x v="0"/>
    <s v="Operational"/>
    <s v="FZ 1296"/>
    <m/>
    <m/>
    <m/>
    <m/>
    <x v="0"/>
    <x v="0"/>
  </r>
  <r>
    <n v="27839173"/>
    <x v="0"/>
    <x v="2441"/>
    <s v="EK 206_2022-07-29T18x10x00"/>
    <s v="A380/8"/>
    <x v="4"/>
    <x v="25"/>
    <x v="3"/>
    <s v="Operational"/>
    <s v="EK 206"/>
    <m/>
    <m/>
    <m/>
    <m/>
    <x v="0"/>
    <x v="0"/>
  </r>
  <r>
    <n v="27839181"/>
    <x v="0"/>
    <x v="2442"/>
    <s v="EK 206_2022-07-29T18x10x00"/>
    <s v="A380/8"/>
    <x v="4"/>
    <x v="25"/>
    <x v="4"/>
    <s v="Operational"/>
    <s v="EK 206"/>
    <m/>
    <m/>
    <m/>
    <m/>
    <x v="0"/>
    <x v="0"/>
  </r>
  <r>
    <n v="27839191"/>
    <x v="0"/>
    <x v="2443"/>
    <s v="SG 012_2022-07-29T18x20x00"/>
    <s v="B737/8-MAX"/>
    <x v="0"/>
    <x v="9"/>
    <x v="1"/>
    <s v="Operational"/>
    <s v="SG 012"/>
    <m/>
    <m/>
    <m/>
    <m/>
    <x v="0"/>
    <x v="0"/>
  </r>
  <r>
    <n v="27839210"/>
    <x v="0"/>
    <x v="2444"/>
    <m/>
    <m/>
    <x v="4"/>
    <x v="86"/>
    <x v="6"/>
    <s v="Operational"/>
    <m/>
    <m/>
    <m/>
    <m/>
    <m/>
    <x v="0"/>
    <x v="0"/>
  </r>
  <r>
    <n v="27839256"/>
    <x v="0"/>
    <x v="2445"/>
    <s v="FZ 8870_2022-07-29T18x35x00"/>
    <s v="B737/8"/>
    <x v="1"/>
    <x v="72"/>
    <x v="2"/>
    <s v="Operational"/>
    <s v="FZ 8870"/>
    <m/>
    <m/>
    <m/>
    <m/>
    <x v="0"/>
    <x v="0"/>
  </r>
  <r>
    <n v="27839269"/>
    <x v="0"/>
    <x v="2446"/>
    <s v="6E 025_2022-07-29T18x20x00"/>
    <s v="A320-NEO"/>
    <x v="0"/>
    <x v="17"/>
    <x v="1"/>
    <s v="Operational"/>
    <s v="6E 025"/>
    <m/>
    <m/>
    <m/>
    <m/>
    <x v="0"/>
    <x v="0"/>
  </r>
  <r>
    <n v="27839281"/>
    <x v="0"/>
    <x v="2447"/>
    <s v="EK 904_2022-07-29T18x00x00"/>
    <s v="A380/8"/>
    <x v="3"/>
    <x v="85"/>
    <x v="2"/>
    <s v="Operational"/>
    <s v="EK 904"/>
    <m/>
    <m/>
    <m/>
    <m/>
    <x v="0"/>
    <x v="0"/>
  </r>
  <r>
    <n v="27839288"/>
    <x v="0"/>
    <x v="2448"/>
    <s v="BS 342_2022-07-29T18x30x00"/>
    <s v="B737/8"/>
    <x v="0"/>
    <x v="9"/>
    <x v="1"/>
    <s v="Operational"/>
    <s v="BS 342"/>
    <m/>
    <m/>
    <m/>
    <m/>
    <x v="0"/>
    <x v="0"/>
  </r>
  <r>
    <n v="27839302"/>
    <x v="0"/>
    <x v="2449"/>
    <s v="FZ 8870_2022-07-29T18x35x00"/>
    <s v="B737/8"/>
    <x v="1"/>
    <x v="72"/>
    <x v="0"/>
    <s v="Operational"/>
    <s v="FZ 8870"/>
    <m/>
    <m/>
    <m/>
    <m/>
    <x v="0"/>
    <x v="0"/>
  </r>
  <r>
    <n v="27839317"/>
    <x v="0"/>
    <x v="2450"/>
    <s v="EK 904_2022-07-29T18x00x00"/>
    <s v="A380/8"/>
    <x v="3"/>
    <x v="85"/>
    <x v="0"/>
    <s v="Operational"/>
    <s v="EK 904"/>
    <m/>
    <m/>
    <m/>
    <m/>
    <x v="0"/>
    <x v="0"/>
  </r>
  <r>
    <n v="27839337"/>
    <x v="0"/>
    <x v="2451"/>
    <s v="FZ 1941_2022-07-29T18x10x00"/>
    <s v="B737/8-MAX"/>
    <x v="2"/>
    <x v="56"/>
    <x v="1"/>
    <s v="Operational"/>
    <s v="FZ 1941"/>
    <m/>
    <m/>
    <m/>
    <m/>
    <x v="0"/>
    <x v="0"/>
  </r>
  <r>
    <n v="27839357"/>
    <x v="0"/>
    <x v="2452"/>
    <s v="EK 730_2022-07-29T18x50x00"/>
    <s v="B777/3-ER"/>
    <x v="3"/>
    <x v="5"/>
    <x v="3"/>
    <s v="Operational"/>
    <s v="EK 730"/>
    <m/>
    <m/>
    <m/>
    <m/>
    <x v="0"/>
    <x v="0"/>
  </r>
  <r>
    <n v="27839408"/>
    <x v="0"/>
    <x v="2453"/>
    <s v="EK 333_2022-07-29T19x00x00"/>
    <s v="B777/3-ER"/>
    <x v="6"/>
    <x v="156"/>
    <x v="3"/>
    <s v="Operational"/>
    <s v="EK 333"/>
    <m/>
    <m/>
    <m/>
    <m/>
    <x v="0"/>
    <x v="0"/>
  </r>
  <r>
    <n v="27839413"/>
    <x v="0"/>
    <x v="2454"/>
    <s v="EK 206_2022-07-29T18x10x00"/>
    <s v="A380/8"/>
    <x v="4"/>
    <x v="25"/>
    <x v="2"/>
    <s v="Operational"/>
    <s v="EK 206"/>
    <m/>
    <m/>
    <m/>
    <m/>
    <x v="0"/>
    <x v="0"/>
  </r>
  <r>
    <n v="27839423"/>
    <x v="0"/>
    <x v="2455"/>
    <s v="SV 553_2022-07-29T18x30x00"/>
    <s v="A321"/>
    <x v="0"/>
    <x v="0"/>
    <x v="1"/>
    <s v="Operational"/>
    <s v="SV 553"/>
    <m/>
    <m/>
    <m/>
    <m/>
    <x v="0"/>
    <x v="0"/>
  </r>
  <r>
    <n v="27839432"/>
    <x v="0"/>
    <x v="2456"/>
    <s v="AI 995_2022-07-29T18x45x00"/>
    <s v="B787/8"/>
    <x v="0"/>
    <x v="0"/>
    <x v="3"/>
    <s v="Operational"/>
    <s v="AI 995"/>
    <m/>
    <m/>
    <m/>
    <m/>
    <x v="0"/>
    <x v="0"/>
  </r>
  <r>
    <n v="27839435"/>
    <x v="0"/>
    <x v="2457"/>
    <s v="EK 206_2022-07-29T18x10x00"/>
    <s v="A380/8"/>
    <x v="4"/>
    <x v="25"/>
    <x v="0"/>
    <s v="Operational"/>
    <s v="EK 206"/>
    <m/>
    <m/>
    <m/>
    <m/>
    <x v="0"/>
    <x v="0"/>
  </r>
  <r>
    <n v="27839451"/>
    <x v="0"/>
    <x v="2458"/>
    <s v="AI 995_2022-07-29T18x45x00"/>
    <s v="B787/8"/>
    <x v="0"/>
    <x v="0"/>
    <x v="4"/>
    <s v="Operational"/>
    <s v="AI 995"/>
    <m/>
    <m/>
    <m/>
    <m/>
    <x v="0"/>
    <x v="0"/>
  </r>
  <r>
    <n v="27839474"/>
    <x v="0"/>
    <x v="2459"/>
    <m/>
    <m/>
    <x v="4"/>
    <x v="123"/>
    <x v="13"/>
    <s v="Operational"/>
    <m/>
    <m/>
    <m/>
    <m/>
    <m/>
    <x v="0"/>
    <x v="0"/>
  </r>
  <r>
    <n v="27839485"/>
    <x v="0"/>
    <x v="2460"/>
    <s v="AF 662_2022-07-29T18x35x00"/>
    <s v="B777/3-ER"/>
    <x v="0"/>
    <x v="17"/>
    <x v="3"/>
    <s v="Operational"/>
    <s v="AF 662"/>
    <m/>
    <m/>
    <m/>
    <m/>
    <x v="0"/>
    <x v="0"/>
  </r>
  <r>
    <n v="27839493"/>
    <x v="0"/>
    <x v="2461"/>
    <s v="EK 333_2022-07-29T19x00x00"/>
    <s v="B777/3-ER"/>
    <x v="6"/>
    <x v="156"/>
    <x v="4"/>
    <s v="Operational"/>
    <s v="EK 333"/>
    <m/>
    <m/>
    <m/>
    <m/>
    <x v="0"/>
    <x v="0"/>
  </r>
  <r>
    <n v="27839496"/>
    <x v="0"/>
    <x v="2461"/>
    <s v="EK 357_2022-07-29T18x55x00"/>
    <s v="B777/3-ER"/>
    <x v="4"/>
    <x v="86"/>
    <x v="2"/>
    <s v="Operational"/>
    <m/>
    <m/>
    <m/>
    <m/>
    <m/>
    <x v="0"/>
    <x v="0"/>
  </r>
  <r>
    <n v="27839501"/>
    <x v="0"/>
    <x v="2462"/>
    <s v="RJ 615_2022-07-29T17x55x00"/>
    <s v="A320"/>
    <x v="0"/>
    <x v="29"/>
    <x v="1"/>
    <s v="Operational"/>
    <s v="RJ 615"/>
    <m/>
    <m/>
    <m/>
    <m/>
    <x v="0"/>
    <x v="0"/>
  </r>
  <r>
    <n v="27839512"/>
    <x v="0"/>
    <x v="2463"/>
    <s v="EK 730_2022-07-29T18x50x00"/>
    <s v="B777/3-ER"/>
    <x v="3"/>
    <x v="5"/>
    <x v="4"/>
    <s v="Operational"/>
    <s v="EK 730"/>
    <m/>
    <m/>
    <m/>
    <m/>
    <x v="0"/>
    <x v="0"/>
  </r>
  <r>
    <n v="27839524"/>
    <x v="0"/>
    <x v="2464"/>
    <s v="FZ 1790_2022-07-29T19x05x00"/>
    <s v="B737/8-MAX"/>
    <x v="5"/>
    <x v="111"/>
    <x v="3"/>
    <s v="Operational"/>
    <s v="FZ 1790"/>
    <m/>
    <m/>
    <m/>
    <m/>
    <x v="0"/>
    <x v="0"/>
  </r>
  <r>
    <n v="27839528"/>
    <x v="0"/>
    <x v="2465"/>
    <s v="AI 995_2022-07-29T18x45x00"/>
    <s v="B787/8"/>
    <x v="0"/>
    <x v="0"/>
    <x v="2"/>
    <s v="Operational"/>
    <s v="AI 995"/>
    <m/>
    <m/>
    <m/>
    <m/>
    <x v="0"/>
    <x v="0"/>
  </r>
  <r>
    <n v="27839530"/>
    <x v="0"/>
    <x v="2466"/>
    <s v="EK 357_2022-07-29T18x55x00"/>
    <s v="B777/3-ER"/>
    <x v="4"/>
    <x v="86"/>
    <x v="0"/>
    <s v="Operational"/>
    <m/>
    <m/>
    <m/>
    <m/>
    <m/>
    <x v="0"/>
    <x v="0"/>
  </r>
  <r>
    <n v="27839543"/>
    <x v="0"/>
    <x v="2467"/>
    <m/>
    <m/>
    <x v="2"/>
    <x v="21"/>
    <x v="6"/>
    <s v="Operational"/>
    <m/>
    <m/>
    <m/>
    <m/>
    <m/>
    <x v="0"/>
    <x v="0"/>
  </r>
  <r>
    <n v="27839548"/>
    <x v="0"/>
    <x v="2468"/>
    <s v="EK 503_2022-07-29T18x37x00"/>
    <s v="B777/2-LR"/>
    <x v="6"/>
    <x v="169"/>
    <x v="26"/>
    <s v="Operational"/>
    <s v="EK 503"/>
    <m/>
    <m/>
    <m/>
    <m/>
    <x v="0"/>
    <x v="0"/>
  </r>
  <r>
    <n v="27839555"/>
    <x v="0"/>
    <x v="2469"/>
    <s v="AI 995_2022-07-29T18x45x00"/>
    <s v="B787/8"/>
    <x v="0"/>
    <x v="0"/>
    <x v="0"/>
    <s v="Operational"/>
    <s v="AI 995"/>
    <m/>
    <m/>
    <m/>
    <m/>
    <x v="0"/>
    <x v="0"/>
  </r>
  <r>
    <n v="27839578"/>
    <x v="0"/>
    <x v="2470"/>
    <s v="FZ 1790_2022-07-29T19x05x00"/>
    <s v="B737/8-MAX"/>
    <x v="5"/>
    <x v="111"/>
    <x v="4"/>
    <s v="Operational"/>
    <s v="FZ 1790"/>
    <m/>
    <m/>
    <m/>
    <m/>
    <x v="0"/>
    <x v="0"/>
  </r>
  <r>
    <n v="27839591"/>
    <x v="0"/>
    <x v="2471"/>
    <s v="EK 524_2022-07-29T18x00x00"/>
    <s v="B777/3-ER"/>
    <x v="4"/>
    <x v="20"/>
    <x v="1"/>
    <s v="Operational"/>
    <s v="EK 524"/>
    <m/>
    <m/>
    <m/>
    <m/>
    <x v="0"/>
    <x v="0"/>
  </r>
  <r>
    <n v="27839610"/>
    <x v="0"/>
    <x v="2472"/>
    <m/>
    <m/>
    <x v="1"/>
    <x v="35"/>
    <x v="3"/>
    <s v="Operational"/>
    <m/>
    <m/>
    <m/>
    <m/>
    <m/>
    <x v="0"/>
    <x v="0"/>
  </r>
  <r>
    <n v="27839612"/>
    <x v="0"/>
    <x v="2472"/>
    <s v="FZ 912_2022-07-29T18x05x00"/>
    <s v="B737/8"/>
    <x v="1"/>
    <x v="35"/>
    <x v="4"/>
    <s v="Operational"/>
    <s v="FZ 912"/>
    <m/>
    <m/>
    <m/>
    <m/>
    <x v="0"/>
    <x v="0"/>
  </r>
  <r>
    <n v="27839614"/>
    <x v="0"/>
    <x v="2473"/>
    <s v="FZ 447_2022-07-29T18x20x00"/>
    <s v="B737/8"/>
    <x v="1"/>
    <x v="52"/>
    <x v="1"/>
    <s v="Operational"/>
    <s v="FZ 447"/>
    <m/>
    <m/>
    <m/>
    <m/>
    <x v="0"/>
    <x v="0"/>
  </r>
  <r>
    <n v="27839634"/>
    <x v="0"/>
    <x v="2474"/>
    <s v="EK 748_2022-07-29T18x40x00"/>
    <s v="B777/3-ER"/>
    <x v="6"/>
    <x v="160"/>
    <x v="3"/>
    <s v="Operational"/>
    <s v="EK 748"/>
    <m/>
    <m/>
    <m/>
    <m/>
    <x v="0"/>
    <x v="0"/>
  </r>
  <r>
    <n v="27839643"/>
    <x v="0"/>
    <x v="2475"/>
    <s v="FZ 839_2022-07-29T18x20x00"/>
    <s v="B737/8-MAX"/>
    <x v="1"/>
    <x v="43"/>
    <x v="1"/>
    <s v="Operational"/>
    <s v="FZ 839"/>
    <m/>
    <m/>
    <m/>
    <m/>
    <x v="0"/>
    <x v="0"/>
  </r>
  <r>
    <n v="27839657"/>
    <x v="0"/>
    <x v="2476"/>
    <s v="AF 662_2022-07-29T18x35x00"/>
    <s v="B777/3-ER"/>
    <x v="0"/>
    <x v="17"/>
    <x v="4"/>
    <s v="Operational"/>
    <s v="AF 662"/>
    <m/>
    <m/>
    <m/>
    <m/>
    <x v="0"/>
    <x v="0"/>
  </r>
  <r>
    <n v="27839663"/>
    <x v="0"/>
    <x v="2477"/>
    <s v="EK 748_2022-07-29T18x40x00"/>
    <s v="B777/3-ER"/>
    <x v="6"/>
    <x v="160"/>
    <x v="4"/>
    <s v="Operational"/>
    <s v="EK 748"/>
    <m/>
    <m/>
    <m/>
    <m/>
    <x v="0"/>
    <x v="0"/>
  </r>
  <r>
    <n v="27839680"/>
    <x v="0"/>
    <x v="2478"/>
    <s v="EK 333_2022-07-29T19x00x00"/>
    <s v="B777/3-ER"/>
    <x v="6"/>
    <x v="156"/>
    <x v="2"/>
    <s v="Operational"/>
    <s v="EK 333"/>
    <m/>
    <m/>
    <m/>
    <m/>
    <x v="0"/>
    <x v="0"/>
  </r>
  <r>
    <n v="27839684"/>
    <x v="0"/>
    <x v="2479"/>
    <s v="EK 730_2022-07-29T18x50x00"/>
    <s v="B777/3-ER"/>
    <x v="3"/>
    <x v="5"/>
    <x v="2"/>
    <s v="Operational"/>
    <s v="EK 730"/>
    <m/>
    <m/>
    <m/>
    <m/>
    <x v="0"/>
    <x v="0"/>
  </r>
  <r>
    <n v="27839690"/>
    <x v="0"/>
    <x v="2480"/>
    <s v="EK 333_2022-07-29T19x00x00"/>
    <s v="B777/3-ER"/>
    <x v="6"/>
    <x v="156"/>
    <x v="0"/>
    <s v="Operational"/>
    <s v="EK 333"/>
    <m/>
    <m/>
    <m/>
    <m/>
    <x v="0"/>
    <x v="0"/>
  </r>
  <r>
    <n v="27839705"/>
    <x v="0"/>
    <x v="2481"/>
    <s v="EK 730_2022-07-29T18x50x00"/>
    <s v="B777/3-ER"/>
    <x v="3"/>
    <x v="5"/>
    <x v="0"/>
    <s v="Operational"/>
    <s v="EK 730"/>
    <m/>
    <m/>
    <m/>
    <m/>
    <x v="0"/>
    <x v="0"/>
  </r>
  <r>
    <n v="27839753"/>
    <x v="0"/>
    <x v="2482"/>
    <s v="EK 782_2022-07-29T18x50x00"/>
    <s v="B777/3-ER"/>
    <x v="3"/>
    <x v="19"/>
    <x v="3"/>
    <s v="Operational"/>
    <s v="EK 782"/>
    <m/>
    <m/>
    <m/>
    <m/>
    <x v="0"/>
    <x v="0"/>
  </r>
  <r>
    <n v="27839764"/>
    <x v="0"/>
    <x v="2483"/>
    <m/>
    <m/>
    <x v="4"/>
    <x v="123"/>
    <x v="14"/>
    <s v="Operational"/>
    <m/>
    <m/>
    <m/>
    <m/>
    <m/>
    <x v="0"/>
    <x v="0"/>
  </r>
  <r>
    <n v="27839794"/>
    <x v="0"/>
    <x v="2484"/>
    <m/>
    <m/>
    <x v="4"/>
    <x v="123"/>
    <x v="13"/>
    <s v="Operational"/>
    <m/>
    <m/>
    <m/>
    <m/>
    <m/>
    <x v="0"/>
    <x v="0"/>
  </r>
  <r>
    <n v="27839805"/>
    <x v="0"/>
    <x v="2485"/>
    <s v="SG 056_2022-07-29T18x45x00"/>
    <s v="B737/8-MAX"/>
    <x v="0"/>
    <x v="63"/>
    <x v="1"/>
    <s v="Operational"/>
    <s v="SG 056"/>
    <m/>
    <m/>
    <m/>
    <m/>
    <x v="0"/>
    <x v="0"/>
  </r>
  <r>
    <n v="27839816"/>
    <x v="0"/>
    <x v="2486"/>
    <s v="EK 782_2022-07-29T18x50x00"/>
    <s v="B777/3-ER"/>
    <x v="3"/>
    <x v="19"/>
    <x v="4"/>
    <s v="Operational"/>
    <s v="EK 782"/>
    <m/>
    <m/>
    <m/>
    <m/>
    <x v="0"/>
    <x v="0"/>
  </r>
  <r>
    <n v="27839828"/>
    <x v="0"/>
    <x v="2487"/>
    <m/>
    <m/>
    <x v="4"/>
    <x v="123"/>
    <x v="14"/>
    <s v="Operational"/>
    <m/>
    <m/>
    <m/>
    <m/>
    <m/>
    <x v="0"/>
    <x v="0"/>
  </r>
  <r>
    <n v="27839833"/>
    <x v="0"/>
    <x v="2488"/>
    <m/>
    <m/>
    <x v="4"/>
    <x v="123"/>
    <x v="13"/>
    <s v="Operational"/>
    <m/>
    <m/>
    <m/>
    <m/>
    <m/>
    <x v="0"/>
    <x v="0"/>
  </r>
  <r>
    <n v="27839840"/>
    <x v="0"/>
    <x v="2489"/>
    <s v="EK 098_2022-07-29T19x15x00"/>
    <s v="A380/8"/>
    <x v="2"/>
    <x v="8"/>
    <x v="3"/>
    <s v="Operational"/>
    <s v="EK 098"/>
    <m/>
    <m/>
    <m/>
    <m/>
    <x v="0"/>
    <x v="0"/>
  </r>
  <r>
    <n v="27839846"/>
    <x v="0"/>
    <x v="2490"/>
    <s v="BA 107_2022-07-29T19x05x00"/>
    <s v="B777/3-ER"/>
    <x v="0"/>
    <x v="9"/>
    <x v="3"/>
    <s v="Operational"/>
    <s v="BA 107"/>
    <m/>
    <m/>
    <m/>
    <m/>
    <x v="0"/>
    <x v="0"/>
  </r>
  <r>
    <n v="27839853"/>
    <x v="0"/>
    <x v="2491"/>
    <s v="FZ 912_2022-07-29T18x05x00"/>
    <s v="B737/8"/>
    <x v="1"/>
    <x v="35"/>
    <x v="2"/>
    <s v="Operational"/>
    <s v="FZ 912"/>
    <m/>
    <m/>
    <m/>
    <m/>
    <x v="0"/>
    <x v="0"/>
  </r>
  <r>
    <n v="27839856"/>
    <x v="0"/>
    <x v="2492"/>
    <s v="FZ 431_2022-07-29T18x15x00"/>
    <s v="B737/8"/>
    <x v="1"/>
    <x v="34"/>
    <x v="1"/>
    <s v="Operational"/>
    <s v="FZ 431"/>
    <m/>
    <m/>
    <m/>
    <m/>
    <x v="0"/>
    <x v="0"/>
  </r>
  <r>
    <n v="27839873"/>
    <x v="0"/>
    <x v="2493"/>
    <s v="AF 662_2022-07-29T18x35x00"/>
    <s v="B777/3-ER"/>
    <x v="0"/>
    <x v="17"/>
    <x v="2"/>
    <s v="Operational"/>
    <s v="AF 662"/>
    <m/>
    <m/>
    <m/>
    <m/>
    <x v="0"/>
    <x v="0"/>
  </r>
  <r>
    <n v="27839875"/>
    <x v="0"/>
    <x v="2494"/>
    <m/>
    <m/>
    <x v="4"/>
    <x v="123"/>
    <x v="14"/>
    <s v="Operational"/>
    <m/>
    <m/>
    <m/>
    <m/>
    <m/>
    <x v="0"/>
    <x v="0"/>
  </r>
  <r>
    <n v="27839881"/>
    <x v="0"/>
    <x v="2495"/>
    <m/>
    <m/>
    <x v="4"/>
    <x v="123"/>
    <x v="6"/>
    <s v="Operational"/>
    <m/>
    <m/>
    <m/>
    <m/>
    <m/>
    <x v="0"/>
    <x v="0"/>
  </r>
  <r>
    <n v="27839890"/>
    <x v="0"/>
    <x v="2496"/>
    <s v="FZ 912_2022-07-29T18x05x00"/>
    <s v="B737/8"/>
    <x v="1"/>
    <x v="35"/>
    <x v="0"/>
    <s v="Operational"/>
    <s v="FZ 912"/>
    <m/>
    <m/>
    <m/>
    <m/>
    <x v="0"/>
    <x v="0"/>
  </r>
  <r>
    <n v="27839906"/>
    <x v="0"/>
    <x v="2497"/>
    <s v="EK 398_2022-07-29T22x20x00"/>
    <s v="B777/3-ER"/>
    <x v="4"/>
    <x v="123"/>
    <x v="15"/>
    <s v="Technical"/>
    <m/>
    <m/>
    <m/>
    <m/>
    <m/>
    <x v="0"/>
    <x v="0"/>
  </r>
  <r>
    <n v="27839912"/>
    <x v="0"/>
    <x v="2498"/>
    <s v="EK 180_2022-07-29T18x45x00"/>
    <s v="B777/3-ER"/>
    <x v="3"/>
    <x v="42"/>
    <x v="3"/>
    <s v="Operational"/>
    <s v="EK 180"/>
    <m/>
    <m/>
    <m/>
    <m/>
    <x v="0"/>
    <x v="0"/>
  </r>
  <r>
    <n v="27839916"/>
    <x v="0"/>
    <x v="2499"/>
    <s v="FZ 1790_2022-07-29T19x05x00"/>
    <s v="B737/8-MAX"/>
    <x v="5"/>
    <x v="111"/>
    <x v="2"/>
    <s v="Operational"/>
    <s v="FZ 1790"/>
    <m/>
    <m/>
    <m/>
    <m/>
    <x v="0"/>
    <x v="0"/>
  </r>
  <r>
    <n v="27839921"/>
    <x v="0"/>
    <x v="2500"/>
    <s v="EK 398_2022-07-29T22x20x00"/>
    <s v="B777/3-ER"/>
    <x v="4"/>
    <x v="123"/>
    <x v="17"/>
    <s v="Technical"/>
    <m/>
    <m/>
    <m/>
    <m/>
    <m/>
    <x v="0"/>
    <x v="0"/>
  </r>
  <r>
    <n v="27839927"/>
    <x v="0"/>
    <x v="2501"/>
    <s v="AF 662_2022-07-29T18x35x00"/>
    <s v="B777/3-ER"/>
    <x v="0"/>
    <x v="17"/>
    <x v="0"/>
    <s v="Operational"/>
    <s v="AF 662"/>
    <m/>
    <m/>
    <m/>
    <m/>
    <x v="0"/>
    <x v="0"/>
  </r>
  <r>
    <n v="27839938"/>
    <x v="0"/>
    <x v="2502"/>
    <s v="EK 398_2022-07-29T22x20x00"/>
    <s v="B777/3-ER"/>
    <x v="4"/>
    <x v="123"/>
    <x v="23"/>
    <s v="Operational"/>
    <m/>
    <m/>
    <m/>
    <m/>
    <m/>
    <x v="0"/>
    <x v="0"/>
  </r>
  <r>
    <n v="27839944"/>
    <x v="0"/>
    <x v="2503"/>
    <s v="EK 538_2022-07-29T18x50x00"/>
    <s v="B777/2-LR"/>
    <x v="4"/>
    <x v="70"/>
    <x v="1"/>
    <s v="Operational"/>
    <s v="EK 538"/>
    <m/>
    <m/>
    <m/>
    <m/>
    <x v="0"/>
    <x v="0"/>
  </r>
  <r>
    <n v="27839951"/>
    <x v="0"/>
    <x v="2504"/>
    <s v="FZ 1790_2022-07-29T19x05x00"/>
    <s v="B737/8-MAX"/>
    <x v="5"/>
    <x v="111"/>
    <x v="0"/>
    <s v="Operational"/>
    <s v="FZ 1790"/>
    <m/>
    <m/>
    <m/>
    <m/>
    <x v="0"/>
    <x v="0"/>
  </r>
  <r>
    <n v="27839966"/>
    <x v="0"/>
    <x v="2505"/>
    <m/>
    <m/>
    <x v="4"/>
    <x v="123"/>
    <x v="6"/>
    <s v="Operational"/>
    <m/>
    <m/>
    <m/>
    <m/>
    <m/>
    <x v="0"/>
    <x v="0"/>
  </r>
  <r>
    <n v="27839984"/>
    <x v="0"/>
    <x v="2506"/>
    <s v="EK 098_2022-07-29T19x15x00"/>
    <s v="A380/8"/>
    <x v="2"/>
    <x v="8"/>
    <x v="4"/>
    <s v="Operational"/>
    <s v="EK 098"/>
    <m/>
    <m/>
    <m/>
    <m/>
    <x v="0"/>
    <x v="0"/>
  </r>
  <r>
    <n v="27839989"/>
    <x v="0"/>
    <x v="2507"/>
    <s v="EK 748_2022-07-29T18x40x00"/>
    <s v="B777/3-ER"/>
    <x v="6"/>
    <x v="160"/>
    <x v="2"/>
    <s v="Operational"/>
    <s v="EK 748"/>
    <m/>
    <m/>
    <m/>
    <m/>
    <x v="0"/>
    <x v="0"/>
  </r>
  <r>
    <n v="27839990"/>
    <x v="0"/>
    <x v="2507"/>
    <s v="EK 398_2022-07-29T22x20x00"/>
    <s v="A380/8"/>
    <x v="4"/>
    <x v="123"/>
    <x v="23"/>
    <s v="Operational"/>
    <m/>
    <m/>
    <m/>
    <m/>
    <m/>
    <x v="0"/>
    <x v="0"/>
  </r>
  <r>
    <n v="27840005"/>
    <x v="0"/>
    <x v="2508"/>
    <s v="EK 567_2022-07-29T19x30x00"/>
    <s v="B777/3-ER"/>
    <x v="2"/>
    <x v="90"/>
    <x v="3"/>
    <s v="Operational"/>
    <s v="EK 567"/>
    <m/>
    <m/>
    <m/>
    <m/>
    <x v="0"/>
    <x v="0"/>
  </r>
  <r>
    <n v="27840017"/>
    <x v="0"/>
    <x v="2509"/>
    <s v="BA 107_2022-07-29T19x05x00"/>
    <s v="B777/3-ER"/>
    <x v="0"/>
    <x v="9"/>
    <x v="4"/>
    <s v="Operational"/>
    <s v="BA 107"/>
    <m/>
    <m/>
    <m/>
    <m/>
    <x v="0"/>
    <x v="0"/>
  </r>
  <r>
    <n v="27840027"/>
    <x v="0"/>
    <x v="2510"/>
    <s v="EK 748_2022-07-29T18x40x00"/>
    <s v="B777/3-ER"/>
    <x v="6"/>
    <x v="160"/>
    <x v="0"/>
    <s v="Operational"/>
    <s v="EK 748"/>
    <m/>
    <m/>
    <m/>
    <m/>
    <x v="0"/>
    <x v="0"/>
  </r>
  <r>
    <n v="27840039"/>
    <x v="0"/>
    <x v="2511"/>
    <s v="T5 812_2022-07-29T17x30x00"/>
    <s v="B737/8"/>
    <x v="1"/>
    <x v="11"/>
    <x v="1"/>
    <s v="Operational"/>
    <s v="T5 812"/>
    <m/>
    <m/>
    <m/>
    <m/>
    <x v="0"/>
    <x v="0"/>
  </r>
  <r>
    <n v="27840057"/>
    <x v="0"/>
    <x v="2512"/>
    <s v="EK 160_2022-07-29T19x20x00"/>
    <s v="B777/3-ER"/>
    <x v="3"/>
    <x v="84"/>
    <x v="3"/>
    <s v="Operational"/>
    <s v="EK 160"/>
    <m/>
    <m/>
    <m/>
    <m/>
    <x v="0"/>
    <x v="0"/>
  </r>
  <r>
    <n v="27840064"/>
    <x v="0"/>
    <x v="2513"/>
    <s v="EK 180_2022-07-29T18x45x00"/>
    <s v="B777/3-ER"/>
    <x v="3"/>
    <x v="42"/>
    <x v="4"/>
    <s v="Operational"/>
    <s v="EK 180"/>
    <m/>
    <m/>
    <m/>
    <m/>
    <x v="0"/>
    <x v="0"/>
  </r>
  <r>
    <n v="27840071"/>
    <x v="0"/>
    <x v="2514"/>
    <s v="EK 567_2022-07-29T19x30x00"/>
    <s v="B777/3-ER"/>
    <x v="2"/>
    <x v="90"/>
    <x v="4"/>
    <s v="Operational"/>
    <s v="EK 567"/>
    <m/>
    <m/>
    <m/>
    <m/>
    <x v="0"/>
    <x v="0"/>
  </r>
  <r>
    <n v="27840094"/>
    <x v="0"/>
    <x v="2515"/>
    <s v="FZ 339_2022-07-29T18x20x00"/>
    <s v="B737/8"/>
    <x v="1"/>
    <x v="101"/>
    <x v="1"/>
    <s v="Operational"/>
    <s v="FZ 339"/>
    <m/>
    <m/>
    <m/>
    <m/>
    <x v="0"/>
    <x v="0"/>
  </r>
  <r>
    <n v="27840104"/>
    <x v="0"/>
    <x v="2516"/>
    <s v="EK 782_2022-07-29T18x50x00"/>
    <s v="B777/3-ER"/>
    <x v="3"/>
    <x v="19"/>
    <x v="2"/>
    <s v="Operational"/>
    <s v="EK 782"/>
    <m/>
    <m/>
    <m/>
    <m/>
    <x v="0"/>
    <x v="0"/>
  </r>
  <r>
    <n v="27840117"/>
    <x v="0"/>
    <x v="2517"/>
    <s v="EK 782_2022-07-29T18x50x00"/>
    <s v="B777/3-ER"/>
    <x v="3"/>
    <x v="19"/>
    <x v="0"/>
    <s v="Operational"/>
    <s v="EK 782"/>
    <m/>
    <m/>
    <m/>
    <m/>
    <x v="0"/>
    <x v="0"/>
  </r>
  <r>
    <n v="27840125"/>
    <x v="0"/>
    <x v="2518"/>
    <m/>
    <m/>
    <x v="4"/>
    <x v="70"/>
    <x v="6"/>
    <s v="Operational"/>
    <m/>
    <m/>
    <m/>
    <m/>
    <m/>
    <x v="0"/>
    <x v="0"/>
  </r>
  <r>
    <n v="27840136"/>
    <x v="0"/>
    <x v="2519"/>
    <s v="EK 112_2022-07-29T19x20x00"/>
    <s v="B777/3-ER"/>
    <x v="6"/>
    <x v="148"/>
    <x v="3"/>
    <s v="Operational"/>
    <s v="EK 112"/>
    <m/>
    <m/>
    <m/>
    <m/>
    <x v="0"/>
    <x v="0"/>
  </r>
  <r>
    <n v="27840142"/>
    <x v="0"/>
    <x v="2520"/>
    <s v="EK 128_2022-07-29T19x05x00"/>
    <s v="A380/8"/>
    <x v="2"/>
    <x v="21"/>
    <x v="2"/>
    <s v="Operational"/>
    <m/>
    <m/>
    <m/>
    <m/>
    <m/>
    <x v="0"/>
    <x v="0"/>
  </r>
  <r>
    <n v="27840149"/>
    <x v="0"/>
    <x v="2521"/>
    <s v="EK 128_2022-07-29T19x05x00"/>
    <s v="A380/8"/>
    <x v="2"/>
    <x v="21"/>
    <x v="0"/>
    <s v="Operational"/>
    <m/>
    <m/>
    <m/>
    <m/>
    <m/>
    <x v="0"/>
    <x v="0"/>
  </r>
  <r>
    <n v="27840152"/>
    <x v="0"/>
    <x v="2522"/>
    <s v="EK 160_2022-07-29T19x20x00"/>
    <s v="B777/3-ER"/>
    <x v="3"/>
    <x v="84"/>
    <x v="4"/>
    <s v="Operational"/>
    <s v="EK 160"/>
    <m/>
    <m/>
    <m/>
    <m/>
    <x v="0"/>
    <x v="0"/>
  </r>
  <r>
    <n v="27840171"/>
    <x v="0"/>
    <x v="2523"/>
    <s v="EK 262_2022-07-29T18x55x00"/>
    <s v="A380/8"/>
    <x v="4"/>
    <x v="126"/>
    <x v="3"/>
    <s v="Operational"/>
    <s v="EK 262"/>
    <m/>
    <m/>
    <m/>
    <m/>
    <x v="0"/>
    <x v="0"/>
  </r>
  <r>
    <n v="27840182"/>
    <x v="0"/>
    <x v="2524"/>
    <s v="EK 094_2022-07-29T19x30x00"/>
    <s v="B777/3-ER"/>
    <x v="2"/>
    <x v="10"/>
    <x v="3"/>
    <s v="Operational"/>
    <s v="EK 094"/>
    <m/>
    <m/>
    <m/>
    <m/>
    <x v="0"/>
    <x v="0"/>
  </r>
  <r>
    <n v="27840186"/>
    <x v="0"/>
    <x v="2525"/>
    <s v="EK 262_2022-07-29T18x55x00"/>
    <s v="A380/8"/>
    <x v="4"/>
    <x v="126"/>
    <x v="4"/>
    <s v="Operational"/>
    <s v="EK 262"/>
    <m/>
    <m/>
    <m/>
    <m/>
    <x v="0"/>
    <x v="0"/>
  </r>
  <r>
    <n v="27840201"/>
    <x v="0"/>
    <x v="2526"/>
    <s v="EK 098_2022-07-29T19x15x00"/>
    <s v="A380/8"/>
    <x v="2"/>
    <x v="8"/>
    <x v="2"/>
    <s v="Operational"/>
    <s v="EK 098"/>
    <m/>
    <m/>
    <m/>
    <m/>
    <x v="0"/>
    <x v="0"/>
  </r>
  <r>
    <n v="27840204"/>
    <x v="0"/>
    <x v="2527"/>
    <s v="SV 595_2022-07-29T19x00x00"/>
    <s v="A330/3"/>
    <x v="0"/>
    <x v="88"/>
    <x v="1"/>
    <s v="Operational"/>
    <s v="SV 595"/>
    <m/>
    <m/>
    <m/>
    <m/>
    <x v="0"/>
    <x v="0"/>
  </r>
  <r>
    <n v="27840226"/>
    <x v="0"/>
    <x v="2528"/>
    <m/>
    <s v="B777/2-LR"/>
    <x v="4"/>
    <x v="70"/>
    <x v="2"/>
    <s v="Operational"/>
    <m/>
    <m/>
    <m/>
    <m/>
    <m/>
    <x v="0"/>
    <x v="0"/>
  </r>
  <r>
    <n v="27840235"/>
    <x v="0"/>
    <x v="2529"/>
    <s v="EK 702_2022-07-29T19x10x00"/>
    <s v="A380/8"/>
    <x v="2"/>
    <x v="53"/>
    <x v="3"/>
    <s v="Operational"/>
    <s v="EK 702"/>
    <m/>
    <m/>
    <m/>
    <m/>
    <x v="0"/>
    <x v="0"/>
  </r>
  <r>
    <n v="27840245"/>
    <x v="0"/>
    <x v="2530"/>
    <s v="EK 098_2022-07-29T19x15x00"/>
    <s v="A380/8"/>
    <x v="2"/>
    <x v="8"/>
    <x v="0"/>
    <s v="Operational"/>
    <s v="EK 098"/>
    <m/>
    <m/>
    <m/>
    <m/>
    <x v="0"/>
    <x v="0"/>
  </r>
  <r>
    <n v="27840278"/>
    <x v="0"/>
    <x v="2531"/>
    <s v="EK 112_2022-07-29T19x20x00"/>
    <s v="B777/3-ER"/>
    <x v="6"/>
    <x v="148"/>
    <x v="4"/>
    <s v="Operational"/>
    <s v="EK 112"/>
    <m/>
    <m/>
    <m/>
    <m/>
    <x v="0"/>
    <x v="0"/>
  </r>
  <r>
    <n v="27840283"/>
    <x v="0"/>
    <x v="2532"/>
    <s v="EK 702_2022-07-29T19x10x00"/>
    <s v="A380/8"/>
    <x v="2"/>
    <x v="53"/>
    <x v="4"/>
    <s v="Operational"/>
    <s v="EK 702"/>
    <m/>
    <m/>
    <m/>
    <m/>
    <x v="0"/>
    <x v="0"/>
  </r>
  <r>
    <n v="27840294"/>
    <x v="0"/>
    <x v="2533"/>
    <s v="BA 107_2022-07-29T19x05x00"/>
    <s v="B777/3-ER"/>
    <x v="0"/>
    <x v="9"/>
    <x v="2"/>
    <s v="Operational"/>
    <s v="BA 107"/>
    <m/>
    <m/>
    <m/>
    <m/>
    <x v="0"/>
    <x v="0"/>
  </r>
  <r>
    <n v="27840300"/>
    <x v="0"/>
    <x v="2534"/>
    <m/>
    <s v="B777/2-LR"/>
    <x v="4"/>
    <x v="70"/>
    <x v="35"/>
    <s v="Technical"/>
    <m/>
    <m/>
    <m/>
    <m/>
    <m/>
    <x v="0"/>
    <x v="0"/>
  </r>
  <r>
    <n v="27840303"/>
    <x v="0"/>
    <x v="2535"/>
    <m/>
    <s v="B777/2-LR"/>
    <x v="4"/>
    <x v="70"/>
    <x v="16"/>
    <s v="Technical"/>
    <m/>
    <m/>
    <m/>
    <m/>
    <m/>
    <x v="0"/>
    <x v="0"/>
  </r>
  <r>
    <n v="27840311"/>
    <x v="0"/>
    <x v="2536"/>
    <s v="EK 160_2022-07-29T19x20x00"/>
    <s v="B777/3-ER"/>
    <x v="3"/>
    <x v="84"/>
    <x v="2"/>
    <s v="Operational"/>
    <s v="EK 160"/>
    <m/>
    <m/>
    <m/>
    <m/>
    <x v="0"/>
    <x v="0"/>
  </r>
  <r>
    <n v="27840314"/>
    <x v="0"/>
    <x v="2537"/>
    <s v="EK 567_2022-07-29T19x30x00"/>
    <s v="B777/3-ER"/>
    <x v="2"/>
    <x v="90"/>
    <x v="2"/>
    <s v="Operational"/>
    <s v="EK 567"/>
    <m/>
    <m/>
    <m/>
    <m/>
    <x v="0"/>
    <x v="0"/>
  </r>
  <r>
    <n v="27840315"/>
    <x v="0"/>
    <x v="2538"/>
    <s v="BA 107_2022-07-29T19x05x00"/>
    <s v="B777/3-ER"/>
    <x v="0"/>
    <x v="9"/>
    <x v="0"/>
    <s v="Operational"/>
    <s v="BA 107"/>
    <m/>
    <m/>
    <m/>
    <m/>
    <x v="0"/>
    <x v="0"/>
  </r>
  <r>
    <n v="27840330"/>
    <x v="0"/>
    <x v="2539"/>
    <s v="EK 567_2022-07-29T19x30x00"/>
    <s v="B777/3-ER"/>
    <x v="2"/>
    <x v="90"/>
    <x v="0"/>
    <s v="Operational"/>
    <s v="EK 567"/>
    <m/>
    <m/>
    <m/>
    <m/>
    <x v="0"/>
    <x v="0"/>
  </r>
  <r>
    <n v="27840354"/>
    <x v="0"/>
    <x v="2540"/>
    <m/>
    <m/>
    <x v="1"/>
    <x v="116"/>
    <x v="3"/>
    <s v="Operational"/>
    <m/>
    <m/>
    <m/>
    <m/>
    <m/>
    <x v="0"/>
    <x v="0"/>
  </r>
  <r>
    <n v="27840356"/>
    <x v="0"/>
    <x v="2541"/>
    <s v="FZ 006_2022-07-29T19x15x00"/>
    <s v="B737/8-MAX"/>
    <x v="1"/>
    <x v="116"/>
    <x v="4"/>
    <s v="Operational"/>
    <s v="FZ 006"/>
    <m/>
    <m/>
    <m/>
    <m/>
    <x v="0"/>
    <x v="0"/>
  </r>
  <r>
    <n v="27840359"/>
    <x v="0"/>
    <x v="2542"/>
    <s v="EK 180_2022-07-29T18x45x00"/>
    <s v="B777/3-ER"/>
    <x v="3"/>
    <x v="42"/>
    <x v="2"/>
    <s v="Operational"/>
    <s v="EK 180"/>
    <m/>
    <m/>
    <m/>
    <m/>
    <x v="0"/>
    <x v="0"/>
  </r>
  <r>
    <n v="27840361"/>
    <x v="0"/>
    <x v="2543"/>
    <s v="EK 160_2022-07-29T19x20x00"/>
    <s v="B777/3-ER"/>
    <x v="3"/>
    <x v="84"/>
    <x v="0"/>
    <s v="Operational"/>
    <s v="EK 160"/>
    <m/>
    <m/>
    <m/>
    <m/>
    <x v="0"/>
    <x v="0"/>
  </r>
  <r>
    <n v="27840385"/>
    <x v="0"/>
    <x v="2544"/>
    <s v="EK 180_2022-07-29T18x45x00"/>
    <s v="B777/3-ER"/>
    <x v="3"/>
    <x v="42"/>
    <x v="0"/>
    <s v="Operational"/>
    <s v="EK 180"/>
    <m/>
    <m/>
    <m/>
    <m/>
    <x v="0"/>
    <x v="0"/>
  </r>
  <r>
    <n v="27840404"/>
    <x v="0"/>
    <x v="2545"/>
    <s v="EK 090_2022-07-29T19x45x00"/>
    <s v="B777/3-ER"/>
    <x v="4"/>
    <x v="41"/>
    <x v="3"/>
    <s v="Operational"/>
    <s v="EK 090"/>
    <m/>
    <m/>
    <m/>
    <m/>
    <x v="0"/>
    <x v="0"/>
  </r>
  <r>
    <n v="27840407"/>
    <x v="0"/>
    <x v="2546"/>
    <s v="QR 1015_2022-07-29T19x00x00"/>
    <s v="A330/2"/>
    <x v="0"/>
    <x v="113"/>
    <x v="1"/>
    <s v="Operational"/>
    <s v="QR 1015"/>
    <m/>
    <m/>
    <m/>
    <m/>
    <x v="0"/>
    <x v="0"/>
  </r>
  <r>
    <n v="27840422"/>
    <x v="0"/>
    <x v="2547"/>
    <s v="EK 112_2022-07-29T19x20x00"/>
    <s v="B777/3-ER"/>
    <x v="6"/>
    <x v="148"/>
    <x v="2"/>
    <s v="Operational"/>
    <s v="EK 112"/>
    <m/>
    <m/>
    <m/>
    <m/>
    <x v="0"/>
    <x v="0"/>
  </r>
  <r>
    <n v="27840423"/>
    <x v="0"/>
    <x v="2548"/>
    <s v="FZ 777_2022-07-29T18x35x00"/>
    <s v="B737/8"/>
    <x v="1"/>
    <x v="6"/>
    <x v="1"/>
    <s v="Operational"/>
    <s v="FZ 777"/>
    <m/>
    <m/>
    <m/>
    <m/>
    <x v="0"/>
    <x v="0"/>
  </r>
  <r>
    <n v="27840434"/>
    <x v="0"/>
    <x v="2549"/>
    <s v="F3 514_2022-07-29T18x45x00"/>
    <s v="A320-NEO"/>
    <x v="1"/>
    <x v="1"/>
    <x v="1"/>
    <s v="Operational"/>
    <s v="F3 514"/>
    <m/>
    <m/>
    <m/>
    <m/>
    <x v="0"/>
    <x v="0"/>
  </r>
  <r>
    <n v="27840445"/>
    <x v="0"/>
    <x v="2550"/>
    <s v="ES 262_2022-07-29T19x00x00"/>
    <s v="B767/3"/>
    <x v="1"/>
    <x v="117"/>
    <x v="1"/>
    <s v="Operational"/>
    <s v="ES 262"/>
    <m/>
    <m/>
    <m/>
    <m/>
    <x v="0"/>
    <x v="0"/>
  </r>
  <r>
    <n v="27840461"/>
    <x v="0"/>
    <x v="2551"/>
    <s v="EK 112_2022-07-29T19x20x00"/>
    <s v="B777/3-ER"/>
    <x v="6"/>
    <x v="148"/>
    <x v="0"/>
    <s v="Operational"/>
    <s v="EK 112"/>
    <m/>
    <m/>
    <m/>
    <m/>
    <x v="0"/>
    <x v="0"/>
  </r>
  <r>
    <n v="27840498"/>
    <x v="0"/>
    <x v="2552"/>
    <s v="EK 262_2022-07-29T18x55x00"/>
    <s v="A380/8"/>
    <x v="4"/>
    <x v="126"/>
    <x v="2"/>
    <s v="Operational"/>
    <s v="EK 262"/>
    <m/>
    <m/>
    <m/>
    <m/>
    <x v="0"/>
    <x v="0"/>
  </r>
  <r>
    <n v="27840503"/>
    <x v="0"/>
    <x v="2553"/>
    <s v="EK 262_2022-07-29T18x55x00"/>
    <s v="A380/8"/>
    <x v="4"/>
    <x v="126"/>
    <x v="0"/>
    <s v="Operational"/>
    <s v="EK 262"/>
    <m/>
    <m/>
    <m/>
    <m/>
    <x v="0"/>
    <x v="0"/>
  </r>
  <r>
    <n v="27840514"/>
    <x v="0"/>
    <x v="2554"/>
    <s v="EK 094_2022-07-29T19x30x00"/>
    <s v="B777/3-ER"/>
    <x v="2"/>
    <x v="10"/>
    <x v="4"/>
    <s v="Operational"/>
    <s v="EK 094"/>
    <m/>
    <m/>
    <m/>
    <m/>
    <x v="0"/>
    <x v="0"/>
  </r>
  <r>
    <n v="27840522"/>
    <x v="0"/>
    <x v="2555"/>
    <s v="EK 090_2022-07-29T19x45x00"/>
    <s v="B777/3-ER"/>
    <x v="4"/>
    <x v="41"/>
    <x v="4"/>
    <s v="Operational"/>
    <s v="EK 090"/>
    <m/>
    <m/>
    <m/>
    <m/>
    <x v="0"/>
    <x v="0"/>
  </r>
  <r>
    <n v="27840556"/>
    <x v="0"/>
    <x v="2556"/>
    <s v="SG 015_2022-07-29T19x05x00"/>
    <s v="B737/8"/>
    <x v="0"/>
    <x v="63"/>
    <x v="3"/>
    <s v="Operational"/>
    <s v="SG 015"/>
    <m/>
    <m/>
    <m/>
    <m/>
    <x v="0"/>
    <x v="0"/>
  </r>
  <r>
    <n v="27840564"/>
    <x v="0"/>
    <x v="2557"/>
    <s v="FZ 252_2022-07-29T19x15x00"/>
    <s v="B737/8"/>
    <x v="1"/>
    <x v="43"/>
    <x v="3"/>
    <s v="Operational"/>
    <s v="FZ 252"/>
    <m/>
    <m/>
    <m/>
    <m/>
    <x v="0"/>
    <x v="0"/>
  </r>
  <r>
    <n v="27840574"/>
    <x v="0"/>
    <x v="2558"/>
    <s v="SG 015_2022-07-29T19x05x00"/>
    <s v="B737/8"/>
    <x v="0"/>
    <x v="63"/>
    <x v="10"/>
    <s v="Operational"/>
    <s v="SG 015"/>
    <m/>
    <m/>
    <m/>
    <m/>
    <x v="0"/>
    <x v="0"/>
  </r>
  <r>
    <n v="27840575"/>
    <x v="0"/>
    <x v="2559"/>
    <s v="SG 015_2022-07-29T19x05x00"/>
    <s v="B737/8"/>
    <x v="0"/>
    <x v="63"/>
    <x v="11"/>
    <s v="Operational"/>
    <s v="SG 015"/>
    <m/>
    <m/>
    <m/>
    <m/>
    <x v="0"/>
    <x v="0"/>
  </r>
  <r>
    <n v="27840580"/>
    <x v="0"/>
    <x v="2560"/>
    <s v="FZ 252_2022-07-29T19x15x00"/>
    <s v="B737/8"/>
    <x v="1"/>
    <x v="43"/>
    <x v="4"/>
    <s v="Operational"/>
    <s v="FZ 252"/>
    <m/>
    <m/>
    <m/>
    <m/>
    <x v="0"/>
    <x v="0"/>
  </r>
  <r>
    <n v="27840587"/>
    <x v="0"/>
    <x v="2561"/>
    <s v="EK 094_2022-07-29T19x30x00"/>
    <s v="B777/3-ER"/>
    <x v="2"/>
    <x v="10"/>
    <x v="2"/>
    <s v="Operational"/>
    <s v="EK 094"/>
    <m/>
    <m/>
    <m/>
    <m/>
    <x v="0"/>
    <x v="0"/>
  </r>
  <r>
    <n v="27840594"/>
    <x v="0"/>
    <x v="2562"/>
    <s v="6E 096_2022-07-29T19x10x00"/>
    <s v="A320-NEO"/>
    <x v="0"/>
    <x v="3"/>
    <x v="1"/>
    <s v="Operational"/>
    <s v="6E 096"/>
    <m/>
    <m/>
    <m/>
    <m/>
    <x v="0"/>
    <x v="0"/>
  </r>
  <r>
    <n v="27840601"/>
    <x v="0"/>
    <x v="2563"/>
    <s v="EK 858_2022-07-29T18x27x00"/>
    <s v="B777/3-ER"/>
    <x v="7"/>
    <x v="128"/>
    <x v="27"/>
    <s v="Operational"/>
    <s v="EK 858"/>
    <m/>
    <m/>
    <m/>
    <m/>
    <x v="0"/>
    <x v="0"/>
  </r>
  <r>
    <n v="27840611"/>
    <x v="0"/>
    <x v="2564"/>
    <s v="EK 702_2022-07-29T19x10x00"/>
    <s v="A380/8"/>
    <x v="2"/>
    <x v="53"/>
    <x v="2"/>
    <s v="Operational"/>
    <s v="EK 702"/>
    <m/>
    <m/>
    <m/>
    <m/>
    <x v="0"/>
    <x v="0"/>
  </r>
  <r>
    <n v="27840612"/>
    <x v="0"/>
    <x v="2565"/>
    <s v="EK 094_2022-07-29T19x30x00"/>
    <s v="B777/3-ER"/>
    <x v="2"/>
    <x v="10"/>
    <x v="0"/>
    <s v="Operational"/>
    <s v="EK 094"/>
    <m/>
    <m/>
    <m/>
    <m/>
    <x v="0"/>
    <x v="0"/>
  </r>
  <r>
    <n v="27840629"/>
    <x v="0"/>
    <x v="2566"/>
    <s v="EK 702_2022-07-29T19x10x00"/>
    <s v="A380/8"/>
    <x v="2"/>
    <x v="53"/>
    <x v="0"/>
    <s v="Operational"/>
    <s v="EK 702"/>
    <m/>
    <m/>
    <m/>
    <m/>
    <x v="0"/>
    <x v="0"/>
  </r>
  <r>
    <n v="27840641"/>
    <x v="0"/>
    <x v="2567"/>
    <s v="FZ 1466_2022-07-29T19x55x00"/>
    <s v="B737/8-MAX"/>
    <x v="5"/>
    <x v="33"/>
    <x v="3"/>
    <s v="Operational"/>
    <s v="FZ 1466"/>
    <m/>
    <m/>
    <m/>
    <m/>
    <x v="0"/>
    <x v="0"/>
  </r>
  <r>
    <n v="27840650"/>
    <x v="0"/>
    <x v="2568"/>
    <s v="FZ 006_2022-07-29T19x15x00"/>
    <s v="B737/8-MAX"/>
    <x v="1"/>
    <x v="116"/>
    <x v="2"/>
    <s v="Operational"/>
    <s v="FZ 006"/>
    <m/>
    <m/>
    <m/>
    <m/>
    <x v="0"/>
    <x v="0"/>
  </r>
  <r>
    <n v="27840659"/>
    <x v="0"/>
    <x v="2569"/>
    <s v="FZ 006_2022-07-29T19x15x00"/>
    <s v="B737/8-MAX"/>
    <x v="1"/>
    <x v="116"/>
    <x v="0"/>
    <s v="Operational"/>
    <s v="FZ 006"/>
    <m/>
    <m/>
    <m/>
    <m/>
    <x v="0"/>
    <x v="0"/>
  </r>
  <r>
    <n v="27840692"/>
    <x v="0"/>
    <x v="2570"/>
    <s v="FZ 172_2022-07-29T19x25x00"/>
    <s v="B737/8"/>
    <x v="1"/>
    <x v="1"/>
    <x v="3"/>
    <s v="Operational"/>
    <s v="FZ 172"/>
    <m/>
    <m/>
    <m/>
    <m/>
    <x v="0"/>
    <x v="0"/>
  </r>
  <r>
    <n v="27840696"/>
    <x v="0"/>
    <x v="2571"/>
    <s v="FZ 172_2022-07-29T19x25x00"/>
    <s v="B737/8"/>
    <x v="1"/>
    <x v="1"/>
    <x v="4"/>
    <s v="Operational"/>
    <s v="FZ 172"/>
    <m/>
    <m/>
    <m/>
    <m/>
    <x v="0"/>
    <x v="0"/>
  </r>
  <r>
    <n v="27840716"/>
    <x v="0"/>
    <x v="2572"/>
    <s v="EK 090_2022-07-29T19x45x00"/>
    <s v="B777/3-ER"/>
    <x v="4"/>
    <x v="41"/>
    <x v="2"/>
    <s v="Operational"/>
    <s v="EK 090"/>
    <m/>
    <m/>
    <m/>
    <m/>
    <x v="0"/>
    <x v="0"/>
  </r>
  <r>
    <n v="27840733"/>
    <x v="0"/>
    <x v="2573"/>
    <s v="EK 090_2022-07-29T19x45x00"/>
    <s v="B777/3-ER"/>
    <x v="4"/>
    <x v="41"/>
    <x v="0"/>
    <s v="Operational"/>
    <s v="EK 090"/>
    <m/>
    <m/>
    <m/>
    <m/>
    <x v="0"/>
    <x v="0"/>
  </r>
  <r>
    <n v="27840761"/>
    <x v="0"/>
    <x v="2574"/>
    <s v="EK 140_2022-07-29T19x50x00"/>
    <s v="B777/3-ER"/>
    <x v="2"/>
    <x v="56"/>
    <x v="3"/>
    <s v="Operational"/>
    <s v="EK 140"/>
    <m/>
    <m/>
    <m/>
    <m/>
    <x v="0"/>
    <x v="0"/>
  </r>
  <r>
    <n v="27840783"/>
    <x v="0"/>
    <x v="2575"/>
    <s v="FZ 252_2022-07-29T19x15x00"/>
    <s v="B737/8"/>
    <x v="1"/>
    <x v="43"/>
    <x v="2"/>
    <s v="Operational"/>
    <s v="FZ 252"/>
    <m/>
    <m/>
    <m/>
    <m/>
    <x v="0"/>
    <x v="0"/>
  </r>
  <r>
    <n v="27840789"/>
    <x v="0"/>
    <x v="2576"/>
    <s v="FZ 252_2022-07-29T19x15x00"/>
    <s v="B737/8"/>
    <x v="1"/>
    <x v="43"/>
    <x v="0"/>
    <s v="Operational"/>
    <s v="FZ 252"/>
    <m/>
    <m/>
    <m/>
    <m/>
    <x v="0"/>
    <x v="0"/>
  </r>
  <r>
    <n v="27840807"/>
    <x v="0"/>
    <x v="2577"/>
    <s v="EK 046_2022-07-29T19x35x00"/>
    <s v="B777/3-ER"/>
    <x v="2"/>
    <x v="54"/>
    <x v="3"/>
    <s v="Operational"/>
    <s v="EK 046"/>
    <m/>
    <m/>
    <m/>
    <m/>
    <x v="0"/>
    <x v="0"/>
  </r>
  <r>
    <n v="27840817"/>
    <x v="0"/>
    <x v="2578"/>
    <s v="SG 015_2022-07-29T19x05x00"/>
    <s v="B737/8"/>
    <x v="0"/>
    <x v="63"/>
    <x v="2"/>
    <s v="Operational"/>
    <s v="SG 015"/>
    <m/>
    <m/>
    <m/>
    <m/>
    <x v="0"/>
    <x v="0"/>
  </r>
  <r>
    <n v="27840828"/>
    <x v="0"/>
    <x v="2579"/>
    <s v="SG 015_2022-07-29T19x05x00"/>
    <s v="B737/8"/>
    <x v="0"/>
    <x v="63"/>
    <x v="0"/>
    <s v="Operational"/>
    <s v="SG 015"/>
    <m/>
    <m/>
    <m/>
    <m/>
    <x v="0"/>
    <x v="0"/>
  </r>
  <r>
    <n v="27840839"/>
    <x v="0"/>
    <x v="2580"/>
    <s v="FZ 8567_2022-07-29T19x05x00"/>
    <s v="B737/8"/>
    <x v="1"/>
    <x v="87"/>
    <x v="1"/>
    <s v="Operational"/>
    <s v="FZ 8567"/>
    <m/>
    <m/>
    <m/>
    <m/>
    <x v="0"/>
    <x v="0"/>
  </r>
  <r>
    <n v="27840867"/>
    <x v="0"/>
    <x v="2581"/>
    <s v="FZ 1461_2022-07-29T18x45x00"/>
    <s v="B737/8-MAX"/>
    <x v="2"/>
    <x v="7"/>
    <x v="1"/>
    <s v="Operational"/>
    <s v="FZ 1461"/>
    <m/>
    <m/>
    <m/>
    <m/>
    <x v="0"/>
    <x v="0"/>
  </r>
  <r>
    <n v="27840878"/>
    <x v="0"/>
    <x v="2582"/>
    <s v="EK 140_2022-07-29T19x50x00"/>
    <s v="B777/3-ER"/>
    <x v="2"/>
    <x v="56"/>
    <x v="4"/>
    <s v="Operational"/>
    <s v="EK 140"/>
    <m/>
    <m/>
    <m/>
    <m/>
    <x v="0"/>
    <x v="0"/>
  </r>
  <r>
    <n v="27840905"/>
    <x v="0"/>
    <x v="2583"/>
    <s v="FZ 331_2022-07-29T19x15x00"/>
    <s v="B737/8-MAX"/>
    <x v="1"/>
    <x v="83"/>
    <x v="1"/>
    <s v="Operational"/>
    <s v="FZ 331"/>
    <m/>
    <m/>
    <m/>
    <m/>
    <x v="0"/>
    <x v="0"/>
  </r>
  <r>
    <n v="27840917"/>
    <x v="0"/>
    <x v="2584"/>
    <s v="AC 057_2022-07-29T18x55x00"/>
    <s v="B787/9"/>
    <x v="0"/>
    <x v="92"/>
    <x v="1"/>
    <s v="Operational"/>
    <s v="AC 057"/>
    <m/>
    <m/>
    <m/>
    <m/>
    <x v="0"/>
    <x v="0"/>
  </r>
  <r>
    <n v="27840927"/>
    <x v="0"/>
    <x v="2585"/>
    <s v="FZ 8945_2022-07-29T19x05x00"/>
    <s v="B737/8"/>
    <x v="1"/>
    <x v="135"/>
    <x v="1"/>
    <s v="Operational"/>
    <s v="FZ 8945"/>
    <m/>
    <m/>
    <m/>
    <m/>
    <x v="0"/>
    <x v="0"/>
  </r>
  <r>
    <n v="27840935"/>
    <x v="0"/>
    <x v="2586"/>
    <s v="EK 046_2022-07-29T19x35x00"/>
    <s v="B777/3-ER"/>
    <x v="2"/>
    <x v="54"/>
    <x v="4"/>
    <s v="Operational"/>
    <s v="EK 046"/>
    <m/>
    <m/>
    <m/>
    <m/>
    <x v="0"/>
    <x v="0"/>
  </r>
  <r>
    <n v="27840939"/>
    <x v="0"/>
    <x v="2587"/>
    <s v="IX 539_2022-07-29T20x05x00"/>
    <s v="B737/8"/>
    <x v="1"/>
    <x v="135"/>
    <x v="3"/>
    <s v="Operational"/>
    <s v="IX 539"/>
    <m/>
    <m/>
    <m/>
    <m/>
    <x v="0"/>
    <x v="0"/>
  </r>
  <r>
    <n v="27840950"/>
    <x v="0"/>
    <x v="2588"/>
    <s v="FZ 1466_2022-07-29T19x55x00"/>
    <s v="B737/8-MAX"/>
    <x v="5"/>
    <x v="33"/>
    <x v="4"/>
    <s v="Operational"/>
    <s v="FZ 1466"/>
    <m/>
    <m/>
    <m/>
    <m/>
    <x v="0"/>
    <x v="0"/>
  </r>
  <r>
    <n v="27840955"/>
    <x v="0"/>
    <x v="2589"/>
    <s v="IX 539_2022-07-29T20x05x00"/>
    <s v="B737/8"/>
    <x v="1"/>
    <x v="135"/>
    <x v="4"/>
    <s v="Operational"/>
    <s v="IX 539"/>
    <m/>
    <m/>
    <m/>
    <m/>
    <x v="0"/>
    <x v="0"/>
  </r>
  <r>
    <n v="27840963"/>
    <x v="0"/>
    <x v="2590"/>
    <s v="EK 050_2022-07-29T19x45x00"/>
    <s v="B777/3-ER"/>
    <x v="4"/>
    <x v="123"/>
    <x v="3"/>
    <s v="Operational"/>
    <s v="EK 050"/>
    <m/>
    <m/>
    <m/>
    <m/>
    <x v="0"/>
    <x v="0"/>
  </r>
  <r>
    <n v="27840973"/>
    <x v="0"/>
    <x v="2591"/>
    <s v="FZ 172_2022-07-29T19x25x00"/>
    <s v="B737/8"/>
    <x v="1"/>
    <x v="1"/>
    <x v="2"/>
    <s v="Operational"/>
    <s v="FZ 172"/>
    <m/>
    <m/>
    <m/>
    <m/>
    <x v="0"/>
    <x v="0"/>
  </r>
  <r>
    <n v="27840977"/>
    <x v="0"/>
    <x v="2592"/>
    <s v="FZ 1466_2022-07-29T19x55x00"/>
    <s v="B737/8-MAX"/>
    <x v="5"/>
    <x v="33"/>
    <x v="2"/>
    <s v="Operational"/>
    <s v="FZ 1466"/>
    <m/>
    <m/>
    <m/>
    <m/>
    <x v="0"/>
    <x v="0"/>
  </r>
  <r>
    <n v="27840989"/>
    <x v="0"/>
    <x v="2593"/>
    <s v="EK 509_2022-07-29T20x05x00"/>
    <s v="B777/3-ER"/>
    <x v="3"/>
    <x v="44"/>
    <x v="3"/>
    <s v="Operational"/>
    <s v="EK 509"/>
    <m/>
    <m/>
    <m/>
    <m/>
    <x v="0"/>
    <x v="0"/>
  </r>
  <r>
    <n v="27840994"/>
    <x v="0"/>
    <x v="2594"/>
    <s v="FZ 1466_2022-07-29T19x55x00"/>
    <s v="B737/8-MAX"/>
    <x v="5"/>
    <x v="33"/>
    <x v="0"/>
    <s v="Operational"/>
    <s v="FZ 1466"/>
    <m/>
    <m/>
    <m/>
    <m/>
    <x v="0"/>
    <x v="0"/>
  </r>
  <r>
    <n v="27841006"/>
    <x v="0"/>
    <x v="2595"/>
    <s v="FZ 172_2022-07-29T19x25x00"/>
    <s v="B737/8"/>
    <x v="1"/>
    <x v="1"/>
    <x v="0"/>
    <s v="Operational"/>
    <s v="FZ 172"/>
    <m/>
    <m/>
    <m/>
    <m/>
    <x v="0"/>
    <x v="0"/>
  </r>
  <r>
    <n v="27841015"/>
    <x v="0"/>
    <x v="2596"/>
    <s v="G8 058_2022-07-29T19x20x00"/>
    <s v="A320-NEO"/>
    <x v="0"/>
    <x v="57"/>
    <x v="1"/>
    <s v="Operational"/>
    <s v="G8 058"/>
    <m/>
    <m/>
    <m/>
    <m/>
    <x v="0"/>
    <x v="0"/>
  </r>
  <r>
    <n v="27841029"/>
    <x v="0"/>
    <x v="2597"/>
    <s v="FZ 1739_2022-07-29T18x55x00"/>
    <s v="B737/8-MAX"/>
    <x v="5"/>
    <x v="71"/>
    <x v="1"/>
    <s v="Operational"/>
    <s v="FZ 1739"/>
    <m/>
    <m/>
    <m/>
    <m/>
    <x v="0"/>
    <x v="0"/>
  </r>
  <r>
    <n v="27841049"/>
    <x v="0"/>
    <x v="2598"/>
    <s v="EK 134_2022-07-29T19x25x00"/>
    <s v="A380/8"/>
    <x v="3"/>
    <x v="106"/>
    <x v="3"/>
    <s v="Operational"/>
    <s v="EK 134"/>
    <m/>
    <m/>
    <m/>
    <m/>
    <x v="0"/>
    <x v="0"/>
  </r>
  <r>
    <n v="27841056"/>
    <x v="0"/>
    <x v="2599"/>
    <s v="EK 509_2022-07-29T20x05x00"/>
    <s v="B777/3-ER"/>
    <x v="3"/>
    <x v="44"/>
    <x v="4"/>
    <s v="Operational"/>
    <s v="EK 509"/>
    <m/>
    <m/>
    <m/>
    <m/>
    <x v="0"/>
    <x v="0"/>
  </r>
  <r>
    <n v="27841073"/>
    <x v="0"/>
    <x v="2600"/>
    <s v="EK 603_2022-07-29T19x45x00"/>
    <s v="B777/3-ER"/>
    <x v="4"/>
    <x v="13"/>
    <x v="3"/>
    <s v="Operational"/>
    <s v="EK 603"/>
    <m/>
    <m/>
    <m/>
    <m/>
    <x v="0"/>
    <x v="0"/>
  </r>
  <r>
    <n v="27841076"/>
    <x v="0"/>
    <x v="2600"/>
    <s v="EK 140_2022-07-29T19x50x00"/>
    <s v="B777/3-ER"/>
    <x v="2"/>
    <x v="56"/>
    <x v="2"/>
    <s v="Operational"/>
    <s v="EK 140"/>
    <m/>
    <m/>
    <m/>
    <m/>
    <x v="0"/>
    <x v="0"/>
  </r>
  <r>
    <n v="27841081"/>
    <x v="0"/>
    <x v="2601"/>
    <s v="EK 140_2022-07-29T19x50x00"/>
    <s v="B777/3-ER"/>
    <x v="2"/>
    <x v="56"/>
    <x v="0"/>
    <s v="Operational"/>
    <s v="EK 140"/>
    <m/>
    <m/>
    <m/>
    <m/>
    <x v="0"/>
    <x v="0"/>
  </r>
  <r>
    <n v="27841100"/>
    <x v="0"/>
    <x v="2602"/>
    <s v="EK 134_2022-07-29T19x25x00"/>
    <s v="A380/8"/>
    <x v="3"/>
    <x v="106"/>
    <x v="4"/>
    <s v="Operational"/>
    <s v="EK 134"/>
    <m/>
    <m/>
    <m/>
    <m/>
    <x v="0"/>
    <x v="0"/>
  </r>
  <r>
    <n v="27841111"/>
    <x v="0"/>
    <x v="2603"/>
    <s v="EK 573_2022-07-29T20x05x00"/>
    <s v="B777/3-ER"/>
    <x v="4"/>
    <x v="97"/>
    <x v="3"/>
    <s v="Operational"/>
    <s v="EK 573"/>
    <m/>
    <m/>
    <m/>
    <m/>
    <x v="0"/>
    <x v="0"/>
  </r>
  <r>
    <n v="27841125"/>
    <x v="0"/>
    <x v="2604"/>
    <s v="EK 603_2022-07-29T19x45x00"/>
    <s v="B777/3-ER"/>
    <x v="4"/>
    <x v="13"/>
    <x v="4"/>
    <s v="Operational"/>
    <s v="EK 603"/>
    <m/>
    <m/>
    <m/>
    <m/>
    <x v="0"/>
    <x v="0"/>
  </r>
  <r>
    <n v="27841138"/>
    <x v="0"/>
    <x v="2605"/>
    <s v="AI 952_2022-07-29T19x25x00"/>
    <s v="A320-NEO"/>
    <x v="0"/>
    <x v="91"/>
    <x v="1"/>
    <s v="Operational"/>
    <s v="AI 952"/>
    <m/>
    <m/>
    <m/>
    <m/>
    <x v="0"/>
    <x v="0"/>
  </r>
  <r>
    <n v="27841144"/>
    <x v="0"/>
    <x v="2606"/>
    <s v="IX 434_2022-07-29T19x15x00"/>
    <s v="B737/8"/>
    <x v="1"/>
    <x v="96"/>
    <x v="1"/>
    <s v="Operational"/>
    <s v="IX 434"/>
    <m/>
    <m/>
    <m/>
    <m/>
    <x v="0"/>
    <x v="0"/>
  </r>
  <r>
    <n v="27841163"/>
    <x v="0"/>
    <x v="2607"/>
    <s v="GF 513_2022-07-29T19x35x00"/>
    <s v="B787/9"/>
    <x v="0"/>
    <x v="50"/>
    <x v="1"/>
    <s v="Operational"/>
    <s v="GF 513"/>
    <m/>
    <m/>
    <m/>
    <m/>
    <x v="0"/>
    <x v="0"/>
  </r>
  <r>
    <n v="27841176"/>
    <x v="0"/>
    <x v="2608"/>
    <s v="EK 573_2022-07-29T20x05x00"/>
    <s v="B777/3-ER"/>
    <x v="4"/>
    <x v="97"/>
    <x v="4"/>
    <s v="Operational"/>
    <s v="EK 573"/>
    <m/>
    <m/>
    <m/>
    <m/>
    <x v="0"/>
    <x v="0"/>
  </r>
  <r>
    <n v="27841184"/>
    <x v="0"/>
    <x v="2609"/>
    <s v="EK 158_2022-07-29T19x20x00"/>
    <s v="B777/3-ER"/>
    <x v="3"/>
    <x v="37"/>
    <x v="3"/>
    <s v="Operational"/>
    <s v="EK 158"/>
    <m/>
    <m/>
    <m/>
    <m/>
    <x v="0"/>
    <x v="0"/>
  </r>
  <r>
    <n v="27841188"/>
    <x v="0"/>
    <x v="2610"/>
    <m/>
    <m/>
    <x v="2"/>
    <x v="7"/>
    <x v="6"/>
    <s v="Operational"/>
    <m/>
    <m/>
    <m/>
    <m/>
    <m/>
    <x v="0"/>
    <x v="0"/>
  </r>
  <r>
    <n v="27841199"/>
    <x v="0"/>
    <x v="2611"/>
    <s v="EK 050_2022-07-29T19x45x00"/>
    <s v="B777/3-ER"/>
    <x v="4"/>
    <x v="123"/>
    <x v="4"/>
    <s v="Operational"/>
    <s v="EK 050"/>
    <m/>
    <m/>
    <m/>
    <m/>
    <x v="0"/>
    <x v="0"/>
  </r>
  <r>
    <n v="27841205"/>
    <x v="0"/>
    <x v="2612"/>
    <s v="UL 226_2022-07-29T18x50x00"/>
    <s v="A330/2"/>
    <x v="0"/>
    <x v="22"/>
    <x v="1"/>
    <s v="Operational"/>
    <s v="UL 226"/>
    <m/>
    <m/>
    <m/>
    <m/>
    <x v="0"/>
    <x v="0"/>
  </r>
  <r>
    <n v="27841220"/>
    <x v="0"/>
    <x v="2613"/>
    <s v="EK 046_2022-07-29T19x35x00"/>
    <s v="B777/3-ER"/>
    <x v="2"/>
    <x v="54"/>
    <x v="2"/>
    <s v="Operational"/>
    <s v="EK 046"/>
    <m/>
    <m/>
    <m/>
    <m/>
    <x v="0"/>
    <x v="0"/>
  </r>
  <r>
    <n v="27841226"/>
    <x v="0"/>
    <x v="2614"/>
    <s v="EK 050_2022-07-29T19x45x00"/>
    <s v="B777/3-ER"/>
    <x v="4"/>
    <x v="123"/>
    <x v="2"/>
    <s v="Operational"/>
    <s v="EK 050"/>
    <m/>
    <m/>
    <m/>
    <m/>
    <x v="0"/>
    <x v="0"/>
  </r>
  <r>
    <n v="27841229"/>
    <x v="0"/>
    <x v="2615"/>
    <s v="AI 906_2022-07-29T19x30x00"/>
    <s v="A321"/>
    <x v="0"/>
    <x v="14"/>
    <x v="1"/>
    <s v="Operational"/>
    <s v="AI 906"/>
    <m/>
    <m/>
    <m/>
    <m/>
    <x v="0"/>
    <x v="0"/>
  </r>
  <r>
    <n v="27841241"/>
    <x v="0"/>
    <x v="2616"/>
    <s v="IX 539_2022-07-29T20x05x00"/>
    <s v="B737/8"/>
    <x v="1"/>
    <x v="135"/>
    <x v="2"/>
    <s v="Operational"/>
    <s v="IX 539"/>
    <m/>
    <m/>
    <m/>
    <m/>
    <x v="0"/>
    <x v="0"/>
  </r>
  <r>
    <n v="27841248"/>
    <x v="0"/>
    <x v="2617"/>
    <s v="EK 046_2022-07-29T19x35x00"/>
    <s v="B777/3-ER"/>
    <x v="2"/>
    <x v="54"/>
    <x v="0"/>
    <s v="Operational"/>
    <s v="EK 046"/>
    <m/>
    <m/>
    <m/>
    <m/>
    <x v="0"/>
    <x v="0"/>
  </r>
  <r>
    <n v="27841260"/>
    <x v="0"/>
    <x v="2618"/>
    <s v="EK 050_2022-07-29T19x45x00"/>
    <s v="B777/3-ER"/>
    <x v="4"/>
    <x v="123"/>
    <x v="0"/>
    <s v="Operational"/>
    <s v="EK 050"/>
    <m/>
    <m/>
    <m/>
    <m/>
    <x v="0"/>
    <x v="0"/>
  </r>
  <r>
    <n v="27841281"/>
    <x v="0"/>
    <x v="2619"/>
    <s v="IX 539_2022-07-29T20x05x00"/>
    <s v="B737/8"/>
    <x v="1"/>
    <x v="135"/>
    <x v="0"/>
    <s v="Operational"/>
    <s v="IX 539"/>
    <m/>
    <m/>
    <m/>
    <m/>
    <x v="0"/>
    <x v="0"/>
  </r>
  <r>
    <n v="27841317"/>
    <x v="0"/>
    <x v="2620"/>
    <s v="EK 134_2022-07-29T19x25x00"/>
    <s v="A380/8"/>
    <x v="3"/>
    <x v="106"/>
    <x v="2"/>
    <s v="Operational"/>
    <s v="EK 134"/>
    <m/>
    <m/>
    <m/>
    <m/>
    <x v="0"/>
    <x v="0"/>
  </r>
  <r>
    <n v="27841323"/>
    <x v="0"/>
    <x v="2621"/>
    <s v="EK 158_2022-07-29T19x20x00"/>
    <s v="B777/3-ER"/>
    <x v="3"/>
    <x v="37"/>
    <x v="4"/>
    <s v="Operational"/>
    <s v="EK 158"/>
    <m/>
    <m/>
    <m/>
    <m/>
    <x v="0"/>
    <x v="0"/>
  </r>
  <r>
    <n v="27841325"/>
    <x v="0"/>
    <x v="2621"/>
    <s v="FZ 895_2022-07-29T19x25x00"/>
    <s v="B737/8-MAX"/>
    <x v="5"/>
    <x v="157"/>
    <x v="1"/>
    <s v="Operational"/>
    <s v="FZ 895"/>
    <m/>
    <m/>
    <m/>
    <m/>
    <x v="0"/>
    <x v="0"/>
  </r>
  <r>
    <n v="27841336"/>
    <x v="0"/>
    <x v="2622"/>
    <s v="EK 134_2022-07-29T19x25x00"/>
    <s v="A380/8"/>
    <x v="3"/>
    <x v="106"/>
    <x v="0"/>
    <s v="Operational"/>
    <s v="EK 134"/>
    <m/>
    <m/>
    <m/>
    <m/>
    <x v="0"/>
    <x v="0"/>
  </r>
  <r>
    <n v="27841354"/>
    <x v="0"/>
    <x v="2623"/>
    <s v="EK 509_2022-07-29T20x05x00"/>
    <s v="B777/3-ER"/>
    <x v="3"/>
    <x v="44"/>
    <x v="2"/>
    <s v="Operational"/>
    <s v="EK 509"/>
    <m/>
    <m/>
    <m/>
    <m/>
    <x v="0"/>
    <x v="0"/>
  </r>
  <r>
    <n v="27841360"/>
    <x v="0"/>
    <x v="2624"/>
    <s v="EK 509_2022-07-29T20x05x00"/>
    <s v="B777/3-ER"/>
    <x v="3"/>
    <x v="44"/>
    <x v="0"/>
    <s v="Operational"/>
    <s v="EK 509"/>
    <m/>
    <m/>
    <m/>
    <m/>
    <x v="0"/>
    <x v="0"/>
  </r>
  <r>
    <n v="27841375"/>
    <x v="0"/>
    <x v="2625"/>
    <s v="EK 152_2022-07-29T19x55x00"/>
    <s v="B777/3-ER"/>
    <x v="3"/>
    <x v="102"/>
    <x v="3"/>
    <s v="Operational"/>
    <s v="EK 152"/>
    <m/>
    <m/>
    <m/>
    <m/>
    <x v="0"/>
    <x v="0"/>
  </r>
  <r>
    <n v="27841398"/>
    <x v="0"/>
    <x v="2626"/>
    <s v="EK 603_2022-07-29T19x45x00"/>
    <s v="B777/3-ER"/>
    <x v="4"/>
    <x v="13"/>
    <x v="2"/>
    <s v="Operational"/>
    <s v="EK 603"/>
    <m/>
    <m/>
    <m/>
    <m/>
    <x v="0"/>
    <x v="0"/>
  </r>
  <r>
    <n v="27841400"/>
    <x v="0"/>
    <x v="2627"/>
    <s v="AI 984_2022-07-29T19x40x00"/>
    <s v="A321"/>
    <x v="0"/>
    <x v="3"/>
    <x v="1"/>
    <s v="Operational"/>
    <s v="AI 984"/>
    <m/>
    <m/>
    <m/>
    <m/>
    <x v="0"/>
    <x v="0"/>
  </r>
  <r>
    <n v="27841411"/>
    <x v="0"/>
    <x v="2628"/>
    <s v="EK 152_2022-07-29T19x55x00"/>
    <s v="B777/3-ER"/>
    <x v="3"/>
    <x v="102"/>
    <x v="4"/>
    <s v="Operational"/>
    <s v="EK 152"/>
    <m/>
    <m/>
    <m/>
    <m/>
    <x v="0"/>
    <x v="0"/>
  </r>
  <r>
    <n v="27841428"/>
    <x v="0"/>
    <x v="2629"/>
    <s v="EK 603_2022-07-29T19x45x00"/>
    <s v="B777/3-ER"/>
    <x v="4"/>
    <x v="13"/>
    <x v="0"/>
    <s v="Operational"/>
    <s v="EK 603"/>
    <m/>
    <m/>
    <m/>
    <m/>
    <x v="0"/>
    <x v="0"/>
  </r>
  <r>
    <n v="27841451"/>
    <x v="0"/>
    <x v="2630"/>
    <s v="EK 573_2022-07-29T20x05x00"/>
    <s v="B777/3-ER"/>
    <x v="4"/>
    <x v="97"/>
    <x v="2"/>
    <s v="Operational"/>
    <s v="EK 573"/>
    <m/>
    <m/>
    <m/>
    <m/>
    <x v="0"/>
    <x v="0"/>
  </r>
  <r>
    <n v="27841455"/>
    <x v="0"/>
    <x v="2631"/>
    <m/>
    <m/>
    <x v="3"/>
    <x v="142"/>
    <x v="6"/>
    <s v="Operational"/>
    <m/>
    <m/>
    <m/>
    <m/>
    <m/>
    <x v="0"/>
    <x v="0"/>
  </r>
  <r>
    <n v="27841461"/>
    <x v="0"/>
    <x v="2632"/>
    <m/>
    <m/>
    <x v="2"/>
    <x v="100"/>
    <x v="6"/>
    <s v="Operational"/>
    <m/>
    <m/>
    <m/>
    <m/>
    <m/>
    <x v="0"/>
    <x v="0"/>
  </r>
  <r>
    <n v="27841467"/>
    <x v="0"/>
    <x v="2633"/>
    <s v="EK 158_2022-07-29T19x20x00"/>
    <s v="B777/3-ER"/>
    <x v="3"/>
    <x v="37"/>
    <x v="2"/>
    <s v="Operational"/>
    <s v="EK 158"/>
    <m/>
    <m/>
    <m/>
    <m/>
    <x v="0"/>
    <x v="0"/>
  </r>
  <r>
    <n v="27841468"/>
    <x v="0"/>
    <x v="2634"/>
    <s v="EK 573_2022-07-29T20x05x00"/>
    <s v="B777/3-ER"/>
    <x v="4"/>
    <x v="97"/>
    <x v="0"/>
    <s v="Operational"/>
    <s v="EK 573"/>
    <m/>
    <m/>
    <m/>
    <m/>
    <x v="0"/>
    <x v="0"/>
  </r>
  <r>
    <n v="27841485"/>
    <x v="0"/>
    <x v="2635"/>
    <m/>
    <m/>
    <x v="0"/>
    <x v="22"/>
    <x v="6"/>
    <s v="Operational"/>
    <m/>
    <m/>
    <m/>
    <m/>
    <m/>
    <x v="0"/>
    <x v="0"/>
  </r>
  <r>
    <n v="27841495"/>
    <x v="0"/>
    <x v="2636"/>
    <s v="EK 158_2022-07-29T19x20x00"/>
    <s v="B777/3-ER"/>
    <x v="3"/>
    <x v="37"/>
    <x v="0"/>
    <s v="Operational"/>
    <s v="EK 158"/>
    <m/>
    <m/>
    <m/>
    <m/>
    <x v="0"/>
    <x v="0"/>
  </r>
  <r>
    <n v="27841516"/>
    <x v="0"/>
    <x v="2637"/>
    <s v="EK 174_2022-07-29T19x35x00"/>
    <s v="B777/3-ER"/>
    <x v="6"/>
    <x v="127"/>
    <x v="3"/>
    <s v="Operational"/>
    <s v="EK 174"/>
    <m/>
    <m/>
    <m/>
    <m/>
    <x v="0"/>
    <x v="0"/>
  </r>
  <r>
    <n v="27841548"/>
    <x v="0"/>
    <x v="2638"/>
    <s v="KL 427_2022-07-29T19x10x00"/>
    <s v="B777/2"/>
    <x v="0"/>
    <x v="22"/>
    <x v="2"/>
    <s v="Operational"/>
    <m/>
    <m/>
    <m/>
    <m/>
    <m/>
    <x v="0"/>
    <x v="0"/>
  </r>
  <r>
    <n v="27841560"/>
    <x v="0"/>
    <x v="2639"/>
    <m/>
    <m/>
    <x v="4"/>
    <x v="49"/>
    <x v="6"/>
    <s v="Operational"/>
    <m/>
    <m/>
    <m/>
    <m/>
    <m/>
    <x v="0"/>
    <x v="0"/>
  </r>
  <r>
    <n v="27841565"/>
    <x v="0"/>
    <x v="2640"/>
    <s v="QR 1019_2022-07-29T19x30x00"/>
    <s v="B777/3-ER"/>
    <x v="0"/>
    <x v="40"/>
    <x v="1"/>
    <s v="Operational"/>
    <s v="QR 1019"/>
    <m/>
    <m/>
    <m/>
    <m/>
    <x v="0"/>
    <x v="0"/>
  </r>
  <r>
    <n v="27841573"/>
    <x v="0"/>
    <x v="2641"/>
    <s v="KL 427_2022-07-29T19x10x00"/>
    <s v="B777/2"/>
    <x v="0"/>
    <x v="22"/>
    <x v="0"/>
    <s v="Operational"/>
    <m/>
    <m/>
    <m/>
    <m/>
    <m/>
    <x v="0"/>
    <x v="0"/>
  </r>
  <r>
    <n v="27841591"/>
    <x v="0"/>
    <x v="2642"/>
    <s v="AT 244_2022-07-29T19x15x00"/>
    <s v="B787/8"/>
    <x v="0"/>
    <x v="88"/>
    <x v="3"/>
    <s v="Operational"/>
    <s v="AT 244"/>
    <m/>
    <m/>
    <m/>
    <m/>
    <x v="0"/>
    <x v="0"/>
  </r>
  <r>
    <n v="27841603"/>
    <x v="0"/>
    <x v="2643"/>
    <s v="EK 174_2022-07-29T19x35x00"/>
    <s v="B777/3-ER"/>
    <x v="6"/>
    <x v="127"/>
    <x v="4"/>
    <s v="Operational"/>
    <s v="EK 174"/>
    <m/>
    <m/>
    <m/>
    <m/>
    <x v="0"/>
    <x v="0"/>
  </r>
  <r>
    <n v="27841622"/>
    <x v="0"/>
    <x v="2644"/>
    <s v="XY 811_2022-07-29T18x25x00"/>
    <s v="A320"/>
    <x v="0"/>
    <x v="29"/>
    <x v="3"/>
    <s v="Operational"/>
    <s v="XY 811"/>
    <m/>
    <m/>
    <m/>
    <m/>
    <x v="0"/>
    <x v="0"/>
  </r>
  <r>
    <n v="27841633"/>
    <x v="0"/>
    <x v="2645"/>
    <s v="EK 210_2022-07-29T19x35x00"/>
    <s v="B777/3-ER"/>
    <x v="3"/>
    <x v="124"/>
    <x v="3"/>
    <s v="Operational"/>
    <s v="EK 210"/>
    <m/>
    <m/>
    <m/>
    <m/>
    <x v="0"/>
    <x v="0"/>
  </r>
  <r>
    <n v="27841639"/>
    <x v="0"/>
    <x v="2646"/>
    <s v="XY 811_2022-07-29T18x25x00"/>
    <s v="A320"/>
    <x v="0"/>
    <x v="29"/>
    <x v="10"/>
    <s v="Operational"/>
    <s v="XY 811"/>
    <m/>
    <m/>
    <m/>
    <m/>
    <x v="0"/>
    <x v="0"/>
  </r>
  <r>
    <n v="27841640"/>
    <x v="0"/>
    <x v="2647"/>
    <s v="XY 811_2022-07-29T18x25x00"/>
    <s v="A320"/>
    <x v="0"/>
    <x v="29"/>
    <x v="11"/>
    <s v="Operational"/>
    <s v="XY 811"/>
    <m/>
    <m/>
    <m/>
    <m/>
    <x v="0"/>
    <x v="0"/>
  </r>
  <r>
    <n v="27841648"/>
    <x v="0"/>
    <x v="2648"/>
    <s v="EK 515_2022-07-29T19x55x00"/>
    <s v="B777/3-ER"/>
    <x v="2"/>
    <x v="7"/>
    <x v="2"/>
    <s v="Operational"/>
    <m/>
    <m/>
    <m/>
    <m/>
    <m/>
    <x v="0"/>
    <x v="0"/>
  </r>
  <r>
    <n v="27841658"/>
    <x v="0"/>
    <x v="2649"/>
    <s v="EK 210_2022-07-29T19x35x00"/>
    <s v="B777/3-ER"/>
    <x v="3"/>
    <x v="124"/>
    <x v="4"/>
    <s v="Operational"/>
    <s v="EK 210"/>
    <m/>
    <m/>
    <m/>
    <m/>
    <x v="0"/>
    <x v="0"/>
  </r>
  <r>
    <n v="27841672"/>
    <x v="0"/>
    <x v="2650"/>
    <s v="EK 515_2022-07-29T19x55x00"/>
    <s v="B777/3-ER"/>
    <x v="2"/>
    <x v="7"/>
    <x v="0"/>
    <s v="Operational"/>
    <m/>
    <m/>
    <m/>
    <m/>
    <m/>
    <x v="0"/>
    <x v="0"/>
  </r>
  <r>
    <n v="27841696"/>
    <x v="0"/>
    <x v="2651"/>
    <s v="EK 762_2022-07-29T20x00x00"/>
    <s v="A380/8"/>
    <x v="4"/>
    <x v="141"/>
    <x v="3"/>
    <s v="Operational"/>
    <s v="EK 762"/>
    <m/>
    <m/>
    <m/>
    <m/>
    <x v="0"/>
    <x v="0"/>
  </r>
  <r>
    <n v="27841711"/>
    <x v="0"/>
    <x v="2652"/>
    <s v="EK 152_2022-07-29T19x55x00"/>
    <s v="B777/3-ER"/>
    <x v="3"/>
    <x v="102"/>
    <x v="2"/>
    <s v="Operational"/>
    <s v="EK 152"/>
    <m/>
    <m/>
    <m/>
    <m/>
    <x v="0"/>
    <x v="0"/>
  </r>
  <r>
    <n v="27841714"/>
    <x v="0"/>
    <x v="2653"/>
    <s v="FZ 445_2022-07-29T19x30x00"/>
    <s v="B737/8"/>
    <x v="1"/>
    <x v="166"/>
    <x v="1"/>
    <s v="Operational"/>
    <s v="FZ 445"/>
    <m/>
    <m/>
    <m/>
    <m/>
    <x v="0"/>
    <x v="0"/>
  </r>
  <r>
    <n v="27841723"/>
    <x v="0"/>
    <x v="2654"/>
    <s v="AT 244_2022-07-29T19x15x00"/>
    <s v="B787/8"/>
    <x v="0"/>
    <x v="88"/>
    <x v="4"/>
    <s v="Operational"/>
    <s v="AT 244"/>
    <m/>
    <m/>
    <m/>
    <m/>
    <x v="0"/>
    <x v="0"/>
  </r>
  <r>
    <n v="27841728"/>
    <x v="0"/>
    <x v="2655"/>
    <s v="EK 152_2022-07-29T19x55x00"/>
    <s v="B777/3-ER"/>
    <x v="3"/>
    <x v="102"/>
    <x v="0"/>
    <s v="Operational"/>
    <s v="EK 152"/>
    <m/>
    <m/>
    <m/>
    <m/>
    <x v="0"/>
    <x v="0"/>
  </r>
  <r>
    <n v="27841734"/>
    <x v="0"/>
    <x v="2656"/>
    <s v="EK 762_2022-07-29T20x00x00"/>
    <s v="A380/8"/>
    <x v="4"/>
    <x v="141"/>
    <x v="4"/>
    <s v="Operational"/>
    <s v="EK 762"/>
    <m/>
    <m/>
    <m/>
    <m/>
    <x v="0"/>
    <x v="0"/>
  </r>
  <r>
    <n v="27841750"/>
    <x v="0"/>
    <x v="2657"/>
    <s v="EK 547_2022-07-29T20x30x00"/>
    <s v="B777/3-ER"/>
    <x v="3"/>
    <x v="131"/>
    <x v="3"/>
    <s v="Operational"/>
    <s v="EK 547"/>
    <m/>
    <m/>
    <m/>
    <m/>
    <x v="0"/>
    <x v="0"/>
  </r>
  <r>
    <n v="27841764"/>
    <x v="0"/>
    <x v="2658"/>
    <s v="EK 174_2022-07-29T19x35x00"/>
    <s v="B777/3-ER"/>
    <x v="6"/>
    <x v="127"/>
    <x v="2"/>
    <s v="Operational"/>
    <s v="EK 174"/>
    <m/>
    <m/>
    <m/>
    <m/>
    <x v="0"/>
    <x v="0"/>
  </r>
  <r>
    <n v="27841776"/>
    <x v="0"/>
    <x v="2659"/>
    <s v="EK 529_2022-07-29T20x10x00"/>
    <s v="B777/3-ER"/>
    <x v="2"/>
    <x v="100"/>
    <x v="2"/>
    <s v="Operational"/>
    <m/>
    <m/>
    <m/>
    <m/>
    <m/>
    <x v="0"/>
    <x v="0"/>
  </r>
  <r>
    <n v="27841778"/>
    <x v="0"/>
    <x v="2660"/>
    <s v="EK 174_2022-07-29T19x35x00"/>
    <s v="B777/3-ER"/>
    <x v="6"/>
    <x v="127"/>
    <x v="0"/>
    <s v="Operational"/>
    <s v="EK 174"/>
    <m/>
    <m/>
    <m/>
    <m/>
    <x v="0"/>
    <x v="0"/>
  </r>
  <r>
    <n v="27841805"/>
    <x v="0"/>
    <x v="2661"/>
    <s v="FZ 1076_2022-07-29T20x05x00"/>
    <s v="B737/8-MAX"/>
    <x v="5"/>
    <x v="157"/>
    <x v="3"/>
    <s v="Operational"/>
    <s v="FZ 1076"/>
    <m/>
    <m/>
    <m/>
    <m/>
    <x v="0"/>
    <x v="0"/>
  </r>
  <r>
    <n v="27841823"/>
    <x v="0"/>
    <x v="2662"/>
    <s v="EK 529_2022-07-29T20x10x00"/>
    <s v="B777/3-ER"/>
    <x v="2"/>
    <x v="100"/>
    <x v="0"/>
    <s v="Operational"/>
    <m/>
    <m/>
    <m/>
    <m/>
    <m/>
    <x v="0"/>
    <x v="0"/>
  </r>
  <r>
    <n v="27841837"/>
    <x v="0"/>
    <x v="2663"/>
    <m/>
    <m/>
    <x v="2"/>
    <x v="105"/>
    <x v="6"/>
    <s v="Operational"/>
    <m/>
    <m/>
    <m/>
    <m/>
    <m/>
    <x v="0"/>
    <x v="0"/>
  </r>
  <r>
    <n v="27841840"/>
    <x v="0"/>
    <x v="2664"/>
    <s v="EK 088_2022-07-29T19x45x00"/>
    <s v="A380"/>
    <x v="3"/>
    <x v="142"/>
    <x v="2"/>
    <s v="Operational"/>
    <m/>
    <m/>
    <m/>
    <m/>
    <m/>
    <x v="0"/>
    <x v="0"/>
  </r>
  <r>
    <n v="27841845"/>
    <x v="0"/>
    <x v="2665"/>
    <s v="EK 547_2022-07-29T20x30x00"/>
    <s v="B777/3-ER"/>
    <x v="3"/>
    <x v="131"/>
    <x v="4"/>
    <s v="Operational"/>
    <s v="EK 547"/>
    <m/>
    <m/>
    <m/>
    <m/>
    <x v="0"/>
    <x v="0"/>
  </r>
  <r>
    <n v="27841853"/>
    <x v="0"/>
    <x v="2666"/>
    <s v="SG 052_2022-07-29T19x55x00"/>
    <s v="B737/8-MAX"/>
    <x v="0"/>
    <x v="63"/>
    <x v="1"/>
    <s v="Operational"/>
    <s v="SG 052"/>
    <m/>
    <m/>
    <m/>
    <m/>
    <x v="0"/>
    <x v="0"/>
  </r>
  <r>
    <n v="27841860"/>
    <x v="0"/>
    <x v="2667"/>
    <s v="EK 088_2022-07-29T19x45x00"/>
    <s v="A380"/>
    <x v="3"/>
    <x v="142"/>
    <x v="0"/>
    <s v="Operational"/>
    <m/>
    <m/>
    <m/>
    <m/>
    <m/>
    <x v="0"/>
    <x v="0"/>
  </r>
  <r>
    <n v="27841872"/>
    <x v="0"/>
    <x v="2668"/>
    <s v="EK 210_2022-07-29T19x35x00"/>
    <s v="B777/3-ER"/>
    <x v="3"/>
    <x v="124"/>
    <x v="2"/>
    <s v="Operational"/>
    <s v="EK 210"/>
    <m/>
    <m/>
    <m/>
    <m/>
    <x v="0"/>
    <x v="0"/>
  </r>
  <r>
    <n v="27841878"/>
    <x v="0"/>
    <x v="2669"/>
    <s v="FZ 844_2022-07-29T20x05x00"/>
    <s v="B737/9-MAX"/>
    <x v="5"/>
    <x v="71"/>
    <x v="3"/>
    <s v="Operational"/>
    <s v="FZ 844"/>
    <m/>
    <m/>
    <m/>
    <m/>
    <x v="0"/>
    <x v="0"/>
  </r>
  <r>
    <n v="27841885"/>
    <x v="0"/>
    <x v="2670"/>
    <s v="FZ 1076_2022-07-29T20x05x00"/>
    <s v="B737/8-MAX"/>
    <x v="5"/>
    <x v="157"/>
    <x v="4"/>
    <s v="Operational"/>
    <s v="FZ 1076"/>
    <m/>
    <m/>
    <m/>
    <m/>
    <x v="0"/>
    <x v="0"/>
  </r>
  <r>
    <n v="27841889"/>
    <x v="0"/>
    <x v="2671"/>
    <s v="EK 210_2022-07-29T19x35x00"/>
    <s v="B777/3-ER"/>
    <x v="3"/>
    <x v="124"/>
    <x v="0"/>
    <s v="Operational"/>
    <s v="EK 210"/>
    <m/>
    <m/>
    <m/>
    <m/>
    <x v="0"/>
    <x v="0"/>
  </r>
  <r>
    <n v="27841906"/>
    <x v="0"/>
    <x v="2672"/>
    <s v="AT 244_2022-07-29T19x15x00"/>
    <s v="B787/8"/>
    <x v="0"/>
    <x v="88"/>
    <x v="2"/>
    <s v="Operational"/>
    <s v="AT 244"/>
    <m/>
    <m/>
    <m/>
    <m/>
    <x v="0"/>
    <x v="0"/>
  </r>
  <r>
    <n v="27841918"/>
    <x v="0"/>
    <x v="2673"/>
    <s v="AT 244_2022-07-29T19x15x00"/>
    <s v="B787/8"/>
    <x v="0"/>
    <x v="88"/>
    <x v="0"/>
    <s v="Operational"/>
    <s v="AT 244"/>
    <m/>
    <m/>
    <m/>
    <m/>
    <x v="0"/>
    <x v="0"/>
  </r>
  <r>
    <n v="27841952"/>
    <x v="0"/>
    <x v="2674"/>
    <s v="5J 014_2022-07-29T20x45x00"/>
    <s v="A330/9"/>
    <x v="0"/>
    <x v="92"/>
    <x v="3"/>
    <s v="Operational"/>
    <s v="5J 014"/>
    <m/>
    <m/>
    <m/>
    <m/>
    <x v="0"/>
    <x v="0"/>
  </r>
  <r>
    <n v="27841960"/>
    <x v="0"/>
    <x v="2675"/>
    <s v="EK 762_2022-07-29T20x00x00"/>
    <s v="A380/8"/>
    <x v="4"/>
    <x v="141"/>
    <x v="2"/>
    <s v="Operational"/>
    <s v="EK 762"/>
    <m/>
    <m/>
    <m/>
    <m/>
    <x v="0"/>
    <x v="0"/>
  </r>
  <r>
    <n v="27841969"/>
    <x v="0"/>
    <x v="2676"/>
    <s v="XY 811_2022-07-29T18x25x00"/>
    <s v="A320"/>
    <x v="0"/>
    <x v="29"/>
    <x v="2"/>
    <s v="Operational"/>
    <s v="XY 811"/>
    <m/>
    <m/>
    <m/>
    <m/>
    <x v="0"/>
    <x v="0"/>
  </r>
  <r>
    <n v="27841976"/>
    <x v="0"/>
    <x v="2677"/>
    <s v="EK 762_2022-07-29T20x00x00"/>
    <s v="A380/8"/>
    <x v="4"/>
    <x v="141"/>
    <x v="0"/>
    <s v="Operational"/>
    <s v="EK 762"/>
    <m/>
    <m/>
    <m/>
    <m/>
    <x v="0"/>
    <x v="0"/>
  </r>
  <r>
    <n v="27841984"/>
    <x v="0"/>
    <x v="2678"/>
    <s v="EK 040_2022-07-29T20x25x00"/>
    <s v="B777/3-ER"/>
    <x v="4"/>
    <x v="119"/>
    <x v="3"/>
    <s v="Operational"/>
    <s v="EK 040"/>
    <m/>
    <m/>
    <m/>
    <m/>
    <x v="0"/>
    <x v="0"/>
  </r>
  <r>
    <n v="27841998"/>
    <x v="0"/>
    <x v="2679"/>
    <s v="FZ 844_2022-07-29T20x05x00"/>
    <s v="B737/9-MAX"/>
    <x v="5"/>
    <x v="71"/>
    <x v="4"/>
    <s v="Operational"/>
    <s v="FZ 844"/>
    <m/>
    <m/>
    <m/>
    <m/>
    <x v="0"/>
    <x v="0"/>
  </r>
  <r>
    <n v="27842002"/>
    <x v="0"/>
    <x v="2680"/>
    <s v="EK 040_2022-07-29T20x25x00"/>
    <s v="B777/3-ER"/>
    <x v="4"/>
    <x v="119"/>
    <x v="4"/>
    <s v="Operational"/>
    <s v="EK 040"/>
    <m/>
    <m/>
    <m/>
    <m/>
    <x v="0"/>
    <x v="0"/>
  </r>
  <r>
    <n v="27842013"/>
    <x v="0"/>
    <x v="2681"/>
    <s v="XY 811_2022-07-29T18x25x00"/>
    <s v="A320"/>
    <x v="0"/>
    <x v="29"/>
    <x v="0"/>
    <s v="Operational"/>
    <s v="XY 811"/>
    <m/>
    <m/>
    <m/>
    <m/>
    <x v="0"/>
    <x v="0"/>
  </r>
  <r>
    <n v="27842052"/>
    <x v="0"/>
    <x v="2682"/>
    <s v="EK 547_2022-07-29T20x30x00"/>
    <s v="B777/3-ER"/>
    <x v="3"/>
    <x v="131"/>
    <x v="2"/>
    <s v="Operational"/>
    <s v="EK 547"/>
    <m/>
    <m/>
    <m/>
    <m/>
    <x v="0"/>
    <x v="0"/>
  </r>
  <r>
    <n v="27842053"/>
    <x v="0"/>
    <x v="2683"/>
    <s v="AI 996_2022-07-29T20x05x00"/>
    <s v="B787/8"/>
    <x v="0"/>
    <x v="0"/>
    <x v="1"/>
    <s v="Operational"/>
    <s v="AI 996"/>
    <m/>
    <m/>
    <m/>
    <m/>
    <x v="0"/>
    <x v="0"/>
  </r>
  <r>
    <n v="27842074"/>
    <x v="0"/>
    <x v="2684"/>
    <s v="FZ 204_2022-07-29T20x30x00"/>
    <s v="B737/8"/>
    <x v="1"/>
    <x v="34"/>
    <x v="3"/>
    <s v="Operational"/>
    <s v="FZ 204"/>
    <m/>
    <m/>
    <m/>
    <m/>
    <x v="0"/>
    <x v="0"/>
  </r>
  <r>
    <n v="27842085"/>
    <x v="0"/>
    <x v="2685"/>
    <s v="EK 547_2022-07-29T20x30x00"/>
    <s v="B777/3-ER"/>
    <x v="3"/>
    <x v="131"/>
    <x v="0"/>
    <s v="Operational"/>
    <s v="EK 547"/>
    <m/>
    <m/>
    <m/>
    <m/>
    <x v="0"/>
    <x v="0"/>
  </r>
  <r>
    <n v="27842100"/>
    <x v="0"/>
    <x v="2686"/>
    <s v="EK 804_2022-07-29T20x15x00"/>
    <s v="A380"/>
    <x v="4"/>
    <x v="49"/>
    <x v="2"/>
    <s v="Operational"/>
    <m/>
    <m/>
    <m/>
    <m/>
    <m/>
    <x v="0"/>
    <x v="0"/>
  </r>
  <r>
    <n v="27842106"/>
    <x v="0"/>
    <x v="2687"/>
    <s v="FZ 343_2022-07-29T19x35x00"/>
    <s v="B737/8"/>
    <x v="1"/>
    <x v="72"/>
    <x v="1"/>
    <s v="Operational"/>
    <s v="FZ 343"/>
    <m/>
    <m/>
    <m/>
    <m/>
    <x v="0"/>
    <x v="0"/>
  </r>
  <r>
    <n v="27842113"/>
    <x v="0"/>
    <x v="2688"/>
    <s v="FZ 592_2022-07-29T21x05x00"/>
    <s v="B737/8"/>
    <x v="1"/>
    <x v="72"/>
    <x v="3"/>
    <s v="Operational"/>
    <s v="FZ 592"/>
    <m/>
    <m/>
    <m/>
    <m/>
    <x v="0"/>
    <x v="0"/>
  </r>
  <r>
    <n v="27842126"/>
    <x v="0"/>
    <x v="2689"/>
    <s v="FZ 1076_2022-07-29T20x05x00"/>
    <s v="B737/8-MAX"/>
    <x v="5"/>
    <x v="157"/>
    <x v="2"/>
    <s v="Operational"/>
    <s v="FZ 1076"/>
    <m/>
    <m/>
    <m/>
    <m/>
    <x v="0"/>
    <x v="0"/>
  </r>
  <r>
    <n v="27842128"/>
    <x v="0"/>
    <x v="2690"/>
    <s v="EK 804_2022-07-29T20x15x00"/>
    <s v="A380"/>
    <x v="4"/>
    <x v="49"/>
    <x v="0"/>
    <s v="Operational"/>
    <m/>
    <m/>
    <m/>
    <m/>
    <m/>
    <x v="0"/>
    <x v="0"/>
  </r>
  <r>
    <n v="27842143"/>
    <x v="0"/>
    <x v="2691"/>
    <s v="FZ 1076_2022-07-29T20x05x00"/>
    <s v="B737/8-MAX"/>
    <x v="5"/>
    <x v="157"/>
    <x v="0"/>
    <s v="Operational"/>
    <s v="FZ 1076"/>
    <m/>
    <m/>
    <m/>
    <m/>
    <x v="0"/>
    <x v="0"/>
  </r>
  <r>
    <n v="27842165"/>
    <x v="0"/>
    <x v="2692"/>
    <s v="FZ 844_2022-07-29T20x05x00"/>
    <s v="B737/9-MAX"/>
    <x v="5"/>
    <x v="71"/>
    <x v="2"/>
    <s v="Operational"/>
    <s v="FZ 844"/>
    <m/>
    <m/>
    <m/>
    <m/>
    <x v="0"/>
    <x v="0"/>
  </r>
  <r>
    <n v="27842167"/>
    <x v="0"/>
    <x v="2693"/>
    <s v="EK 203_2022-07-29T22x50x00"/>
    <s v="B777/3-ER"/>
    <x v="4"/>
    <x v="86"/>
    <x v="1"/>
    <s v="Operational"/>
    <m/>
    <m/>
    <m/>
    <m/>
    <m/>
    <x v="0"/>
    <x v="0"/>
  </r>
  <r>
    <n v="27842179"/>
    <x v="0"/>
    <x v="2694"/>
    <s v="FZ 844_2022-07-29T20x05x00"/>
    <s v="B737/9-MAX"/>
    <x v="5"/>
    <x v="71"/>
    <x v="0"/>
    <s v="Operational"/>
    <s v="FZ 844"/>
    <m/>
    <m/>
    <m/>
    <m/>
    <x v="0"/>
    <x v="0"/>
  </r>
  <r>
    <n v="27842196"/>
    <x v="0"/>
    <x v="2695"/>
    <s v="EK 256_2022-07-29T20x15x00"/>
    <s v="B777/2-LR"/>
    <x v="3"/>
    <x v="94"/>
    <x v="3"/>
    <s v="Operational"/>
    <s v="EK 256"/>
    <m/>
    <m/>
    <m/>
    <m/>
    <x v="0"/>
    <x v="0"/>
  </r>
  <r>
    <n v="27842198"/>
    <x v="0"/>
    <x v="2696"/>
    <s v="EK 713_2022-07-30T05x25x00"/>
    <s v="B777/3-ER"/>
    <x v="6"/>
    <x v="163"/>
    <x v="4"/>
    <s v="Operational"/>
    <s v="EK 338"/>
    <m/>
    <m/>
    <m/>
    <m/>
    <x v="0"/>
    <x v="0"/>
  </r>
  <r>
    <n v="27842208"/>
    <x v="0"/>
    <x v="2697"/>
    <s v="EK 018_2022-07-29T20x20x00"/>
    <s v="A380/8"/>
    <x v="4"/>
    <x v="65"/>
    <x v="3"/>
    <s v="Operational"/>
    <s v="EK 018"/>
    <m/>
    <m/>
    <m/>
    <m/>
    <x v="0"/>
    <x v="0"/>
  </r>
  <r>
    <n v="27842216"/>
    <x v="0"/>
    <x v="2698"/>
    <s v="FZ 204_2022-07-29T20x30x00"/>
    <s v="B737/8"/>
    <x v="1"/>
    <x v="34"/>
    <x v="4"/>
    <s v="Operational"/>
    <s v="FZ 204"/>
    <m/>
    <m/>
    <m/>
    <m/>
    <x v="0"/>
    <x v="0"/>
  </r>
  <r>
    <n v="27842222"/>
    <x v="0"/>
    <x v="2699"/>
    <s v="FZ 592_2022-07-29T21x05x00"/>
    <s v="B737/8"/>
    <x v="1"/>
    <x v="72"/>
    <x v="4"/>
    <s v="Operational"/>
    <s v="FZ 592"/>
    <m/>
    <m/>
    <m/>
    <m/>
    <x v="0"/>
    <x v="0"/>
  </r>
  <r>
    <n v="27842227"/>
    <x v="0"/>
    <x v="2700"/>
    <s v="5J 014_2022-07-29T20x45x00"/>
    <s v="A330/9"/>
    <x v="0"/>
    <x v="92"/>
    <x v="4"/>
    <s v="Operational"/>
    <s v="5J 014"/>
    <m/>
    <m/>
    <m/>
    <m/>
    <x v="0"/>
    <x v="0"/>
  </r>
  <r>
    <n v="27842242"/>
    <x v="0"/>
    <x v="2701"/>
    <s v="EK 818_2022-07-29T20x35x00"/>
    <s v="B777/3-ER"/>
    <x v="5"/>
    <x v="143"/>
    <x v="3"/>
    <s v="Operational"/>
    <s v="EK 818"/>
    <m/>
    <m/>
    <m/>
    <m/>
    <x v="0"/>
    <x v="0"/>
  </r>
  <r>
    <n v="27842255"/>
    <x v="0"/>
    <x v="2702"/>
    <s v="BG 148_2022-07-29T20x05x00"/>
    <s v="B787/8"/>
    <x v="0"/>
    <x v="12"/>
    <x v="1"/>
    <s v="Operational"/>
    <s v="BG 148"/>
    <m/>
    <m/>
    <m/>
    <m/>
    <x v="0"/>
    <x v="0"/>
  </r>
  <r>
    <n v="27842268"/>
    <x v="0"/>
    <x v="2703"/>
    <s v="EK 040_2022-07-29T20x25x00"/>
    <s v="B777/3-ER"/>
    <x v="4"/>
    <x v="119"/>
    <x v="2"/>
    <s v="Operational"/>
    <s v="EK 040"/>
    <m/>
    <m/>
    <m/>
    <m/>
    <x v="0"/>
    <x v="0"/>
  </r>
  <r>
    <n v="27842273"/>
    <x v="0"/>
    <x v="2704"/>
    <s v="EK 040_2022-07-29T20x25x00"/>
    <s v="B777/3-ER"/>
    <x v="4"/>
    <x v="119"/>
    <x v="0"/>
    <s v="Operational"/>
    <s v="EK 040"/>
    <m/>
    <m/>
    <m/>
    <m/>
    <x v="0"/>
    <x v="0"/>
  </r>
  <r>
    <n v="27842283"/>
    <x v="0"/>
    <x v="2705"/>
    <s v="FZ 592_2022-07-29T21x05x00"/>
    <s v="B737/8"/>
    <x v="1"/>
    <x v="72"/>
    <x v="2"/>
    <s v="Operational"/>
    <s v="FZ 592"/>
    <m/>
    <m/>
    <m/>
    <m/>
    <x v="0"/>
    <x v="0"/>
  </r>
  <r>
    <n v="27842288"/>
    <x v="0"/>
    <x v="2706"/>
    <s v="5J 014_2022-07-29T20x45x00"/>
    <s v="A330/9"/>
    <x v="0"/>
    <x v="92"/>
    <x v="2"/>
    <s v="Operational"/>
    <s v="5J 014"/>
    <m/>
    <m/>
    <m/>
    <m/>
    <x v="0"/>
    <x v="0"/>
  </r>
  <r>
    <n v="27842301"/>
    <x v="0"/>
    <x v="2707"/>
    <s v="FZ 592_2022-07-29T21x05x00"/>
    <s v="B737/8"/>
    <x v="1"/>
    <x v="72"/>
    <x v="0"/>
    <s v="Operational"/>
    <s v="FZ 592"/>
    <m/>
    <m/>
    <m/>
    <m/>
    <x v="0"/>
    <x v="0"/>
  </r>
  <r>
    <n v="27842308"/>
    <x v="0"/>
    <x v="2708"/>
    <s v="EK 018_2022-07-29T20x20x00"/>
    <s v="A380/8"/>
    <x v="4"/>
    <x v="65"/>
    <x v="4"/>
    <s v="Operational"/>
    <s v="EK 018"/>
    <m/>
    <m/>
    <m/>
    <m/>
    <x v="0"/>
    <x v="0"/>
  </r>
  <r>
    <n v="27842318"/>
    <x v="0"/>
    <x v="2709"/>
    <s v="5J 014_2022-07-29T20x45x00"/>
    <s v="A330/9"/>
    <x v="0"/>
    <x v="92"/>
    <x v="0"/>
    <s v="Operational"/>
    <s v="5J 014"/>
    <m/>
    <m/>
    <m/>
    <m/>
    <x v="0"/>
    <x v="0"/>
  </r>
  <r>
    <n v="27842337"/>
    <x v="0"/>
    <x v="2710"/>
    <s v="EK 256_2022-07-29T20x15x00"/>
    <s v="B777/2-LR"/>
    <x v="3"/>
    <x v="94"/>
    <x v="4"/>
    <s v="Operational"/>
    <s v="EK 256"/>
    <m/>
    <m/>
    <m/>
    <m/>
    <x v="0"/>
    <x v="0"/>
  </r>
  <r>
    <n v="27842340"/>
    <x v="0"/>
    <x v="2711"/>
    <s v="FZ 204_2022-07-29T20x30x00"/>
    <s v="B737/8"/>
    <x v="1"/>
    <x v="34"/>
    <x v="2"/>
    <s v="Operational"/>
    <s v="FZ 204"/>
    <m/>
    <m/>
    <m/>
    <m/>
    <x v="0"/>
    <x v="0"/>
  </r>
  <r>
    <n v="27842349"/>
    <x v="0"/>
    <x v="2712"/>
    <s v="EK 818_2022-07-29T20x35x00"/>
    <s v="B777/3-ER"/>
    <x v="5"/>
    <x v="143"/>
    <x v="4"/>
    <s v="Operational"/>
    <s v="EK 818"/>
    <m/>
    <m/>
    <m/>
    <m/>
    <x v="0"/>
    <x v="0"/>
  </r>
  <r>
    <n v="27842358"/>
    <x v="0"/>
    <x v="2713"/>
    <s v="FZ 204_2022-07-29T20x30x00"/>
    <s v="B737/8"/>
    <x v="1"/>
    <x v="34"/>
    <x v="0"/>
    <s v="Operational"/>
    <s v="FZ 204"/>
    <m/>
    <m/>
    <m/>
    <m/>
    <x v="0"/>
    <x v="0"/>
  </r>
  <r>
    <n v="27842373"/>
    <x v="0"/>
    <x v="2714"/>
    <s v="TK 760_2022-07-29T20x25x00"/>
    <s v="B777/3-ER"/>
    <x v="0"/>
    <x v="113"/>
    <x v="3"/>
    <s v="Operational"/>
    <s v="TK 760"/>
    <m/>
    <m/>
    <m/>
    <m/>
    <x v="0"/>
    <x v="0"/>
  </r>
  <r>
    <n v="27842404"/>
    <x v="0"/>
    <x v="2715"/>
    <s v="EK 002_2022-07-29T20x20x00"/>
    <s v="A380/8"/>
    <x v="4"/>
    <x v="66"/>
    <x v="3"/>
    <s v="Operational"/>
    <s v="EK 002"/>
    <m/>
    <m/>
    <m/>
    <m/>
    <x v="0"/>
    <x v="0"/>
  </r>
  <r>
    <n v="27842407"/>
    <x v="0"/>
    <x v="2716"/>
    <s v="EK 160_2022-07-29T19x20x00"/>
    <s v="B777/3-ER"/>
    <x v="3"/>
    <x v="84"/>
    <x v="1"/>
    <s v="Operational"/>
    <m/>
    <m/>
    <m/>
    <m/>
    <m/>
    <x v="0"/>
    <x v="0"/>
  </r>
  <r>
    <n v="27842424"/>
    <x v="0"/>
    <x v="2717"/>
    <s v="EK 018_2022-07-29T20x20x00"/>
    <s v="A380/8"/>
    <x v="4"/>
    <x v="65"/>
    <x v="2"/>
    <s v="Operational"/>
    <s v="EK 018"/>
    <m/>
    <m/>
    <m/>
    <m/>
    <x v="0"/>
    <x v="0"/>
  </r>
  <r>
    <n v="27842437"/>
    <x v="0"/>
    <x v="2718"/>
    <s v="EK 148_2022-07-29T19x55x00"/>
    <s v="A380/8"/>
    <x v="3"/>
    <x v="45"/>
    <x v="3"/>
    <s v="Operational"/>
    <s v="EK 148"/>
    <m/>
    <m/>
    <m/>
    <m/>
    <x v="0"/>
    <x v="0"/>
  </r>
  <r>
    <n v="27842446"/>
    <x v="0"/>
    <x v="2719"/>
    <s v="EK 018_2022-07-29T20x20x00"/>
    <s v="A380/8"/>
    <x v="4"/>
    <x v="65"/>
    <x v="0"/>
    <s v="Operational"/>
    <s v="EK 018"/>
    <m/>
    <m/>
    <m/>
    <m/>
    <x v="0"/>
    <x v="0"/>
  </r>
  <r>
    <n v="27842463"/>
    <x v="0"/>
    <x v="2720"/>
    <s v="EK 256_2022-07-29T20x15x00"/>
    <s v="B777/2-LR"/>
    <x v="3"/>
    <x v="94"/>
    <x v="2"/>
    <s v="Operational"/>
    <s v="EK 256"/>
    <m/>
    <m/>
    <m/>
    <m/>
    <x v="0"/>
    <x v="0"/>
  </r>
  <r>
    <n v="27842469"/>
    <x v="0"/>
    <x v="2721"/>
    <s v="EK 002_2022-07-29T20x20x00"/>
    <s v="A380/8"/>
    <x v="4"/>
    <x v="66"/>
    <x v="4"/>
    <s v="Operational"/>
    <s v="EK 002"/>
    <m/>
    <m/>
    <m/>
    <m/>
    <x v="0"/>
    <x v="0"/>
  </r>
  <r>
    <n v="27842475"/>
    <x v="0"/>
    <x v="2722"/>
    <s v="EK 256_2022-07-29T20x15x00"/>
    <s v="B777/2-LR"/>
    <x v="3"/>
    <x v="94"/>
    <x v="0"/>
    <s v="Operational"/>
    <s v="EK 256"/>
    <m/>
    <m/>
    <m/>
    <m/>
    <x v="0"/>
    <x v="0"/>
  </r>
  <r>
    <n v="27842490"/>
    <x v="0"/>
    <x v="2723"/>
    <s v="EK 734_2022-07-29T20x15x00"/>
    <s v="B777/3-ER"/>
    <x v="2"/>
    <x v="105"/>
    <x v="2"/>
    <s v="Operational"/>
    <m/>
    <m/>
    <m/>
    <m/>
    <m/>
    <x v="0"/>
    <x v="0"/>
  </r>
  <r>
    <n v="27842497"/>
    <x v="0"/>
    <x v="2724"/>
    <s v="EK 016_2022-07-29T20x35x00"/>
    <s v="A380/8"/>
    <x v="4"/>
    <x v="70"/>
    <x v="3"/>
    <s v="Operational"/>
    <s v="EK 016"/>
    <m/>
    <m/>
    <m/>
    <m/>
    <x v="0"/>
    <x v="0"/>
  </r>
  <r>
    <n v="27842501"/>
    <x v="0"/>
    <x v="2725"/>
    <s v="EK 713_2022-07-30T05x25x00"/>
    <s v="B777/3-ER"/>
    <x v="6"/>
    <x v="163"/>
    <x v="2"/>
    <s v="Operational"/>
    <m/>
    <m/>
    <m/>
    <m/>
    <m/>
    <x v="0"/>
    <x v="0"/>
  </r>
  <r>
    <n v="27842508"/>
    <x v="0"/>
    <x v="2726"/>
    <s v="EK 734_2022-07-29T20x15x00"/>
    <s v="B777/3-ER"/>
    <x v="2"/>
    <x v="105"/>
    <x v="0"/>
    <s v="Operational"/>
    <m/>
    <m/>
    <m/>
    <m/>
    <m/>
    <x v="0"/>
    <x v="0"/>
  </r>
  <r>
    <n v="27842524"/>
    <x v="0"/>
    <x v="2727"/>
    <s v="EK 148_2022-07-29T19x55x00"/>
    <s v="A380/8"/>
    <x v="3"/>
    <x v="45"/>
    <x v="4"/>
    <s v="Operational"/>
    <s v="EK 148"/>
    <m/>
    <m/>
    <m/>
    <m/>
    <x v="0"/>
    <x v="0"/>
  </r>
  <r>
    <n v="27842526"/>
    <x v="0"/>
    <x v="2728"/>
    <s v="EK 713_2022-07-30T05x25x00"/>
    <s v="B777/3-ER"/>
    <x v="6"/>
    <x v="163"/>
    <x v="0"/>
    <s v="Operational"/>
    <m/>
    <m/>
    <m/>
    <m/>
    <m/>
    <x v="0"/>
    <x v="0"/>
  </r>
  <r>
    <n v="27842543"/>
    <x v="0"/>
    <x v="2729"/>
    <s v="CZ 8027_2022-07-29T21x20x00"/>
    <s v="A330/3"/>
    <x v="5"/>
    <x v="23"/>
    <x v="3"/>
    <s v="Operational"/>
    <s v="CZ 8027"/>
    <m/>
    <m/>
    <m/>
    <m/>
    <x v="0"/>
    <x v="0"/>
  </r>
  <r>
    <n v="27842551"/>
    <x v="0"/>
    <x v="2730"/>
    <s v="EK 801_2022-07-29T20x20x00"/>
    <s v="B777/3-ER"/>
    <x v="3"/>
    <x v="59"/>
    <x v="1"/>
    <s v="Operational"/>
    <s v="EK 801"/>
    <m/>
    <m/>
    <m/>
    <m/>
    <x v="0"/>
    <x v="0"/>
  </r>
  <r>
    <n v="27842572"/>
    <x v="0"/>
    <x v="2731"/>
    <s v="EK 818_2022-07-29T20x35x00"/>
    <s v="B777/3-ER"/>
    <x v="5"/>
    <x v="143"/>
    <x v="2"/>
    <s v="Operational"/>
    <s v="EK 818"/>
    <m/>
    <m/>
    <m/>
    <m/>
    <x v="0"/>
    <x v="0"/>
  </r>
  <r>
    <n v="27842578"/>
    <x v="0"/>
    <x v="2732"/>
    <s v="EK 818_2022-07-29T20x35x00"/>
    <s v="B777/3-ER"/>
    <x v="5"/>
    <x v="143"/>
    <x v="0"/>
    <s v="Operational"/>
    <s v="EK 818"/>
    <m/>
    <m/>
    <m/>
    <m/>
    <x v="0"/>
    <x v="0"/>
  </r>
  <r>
    <n v="27842604"/>
    <x v="0"/>
    <x v="2733"/>
    <s v="TK 760_2022-07-29T20x25x00"/>
    <s v="B777/3-ER"/>
    <x v="0"/>
    <x v="113"/>
    <x v="4"/>
    <s v="Operational"/>
    <s v="TK 760"/>
    <m/>
    <m/>
    <m/>
    <m/>
    <x v="0"/>
    <x v="0"/>
  </r>
  <r>
    <n v="27842615"/>
    <x v="0"/>
    <x v="2734"/>
    <s v="EK 122_2022-07-29T20x55x00"/>
    <s v="B777/3-ER"/>
    <x v="5"/>
    <x v="165"/>
    <x v="3"/>
    <s v="Operational"/>
    <s v="EK 122"/>
    <m/>
    <m/>
    <m/>
    <m/>
    <x v="0"/>
    <x v="0"/>
  </r>
  <r>
    <n v="27842621"/>
    <x v="0"/>
    <x v="2735"/>
    <s v="CZ 8027_2022-07-29T21x20x00"/>
    <s v="A330/3"/>
    <x v="5"/>
    <x v="23"/>
    <x v="4"/>
    <s v="Operational"/>
    <s v="CZ 8027"/>
    <m/>
    <m/>
    <m/>
    <m/>
    <x v="0"/>
    <x v="0"/>
  </r>
  <r>
    <n v="27842627"/>
    <x v="0"/>
    <x v="2736"/>
    <m/>
    <m/>
    <x v="4"/>
    <x v="86"/>
    <x v="6"/>
    <s v="Operational"/>
    <m/>
    <m/>
    <m/>
    <m/>
    <m/>
    <x v="0"/>
    <x v="0"/>
  </r>
  <r>
    <n v="27842634"/>
    <x v="0"/>
    <x v="2737"/>
    <s v="EK 203_2022-07-29T22x50x00"/>
    <s v="B777/2"/>
    <x v="4"/>
    <x v="86"/>
    <x v="23"/>
    <s v="Operational"/>
    <m/>
    <m/>
    <m/>
    <m/>
    <m/>
    <x v="0"/>
    <x v="0"/>
  </r>
  <r>
    <n v="27842641"/>
    <x v="0"/>
    <x v="2738"/>
    <m/>
    <m/>
    <x v="4"/>
    <x v="86"/>
    <x v="6"/>
    <s v="Operational"/>
    <m/>
    <m/>
    <m/>
    <m/>
    <m/>
    <x v="0"/>
    <x v="0"/>
  </r>
  <r>
    <n v="27842665"/>
    <x v="0"/>
    <x v="2739"/>
    <s v="EK 002_2022-07-29T20x20x00"/>
    <s v="A380/8"/>
    <x v="4"/>
    <x v="66"/>
    <x v="2"/>
    <s v="Operational"/>
    <s v="EK 002"/>
    <m/>
    <m/>
    <m/>
    <m/>
    <x v="0"/>
    <x v="0"/>
  </r>
  <r>
    <n v="27842673"/>
    <x v="0"/>
    <x v="2740"/>
    <s v="LH 630_2022-07-29T18x35x00"/>
    <s v="A330/3"/>
    <x v="0"/>
    <x v="91"/>
    <x v="3"/>
    <s v="Operational"/>
    <s v="LH 630"/>
    <m/>
    <m/>
    <m/>
    <m/>
    <x v="0"/>
    <x v="0"/>
  </r>
  <r>
    <n v="27842686"/>
    <x v="0"/>
    <x v="2741"/>
    <s v="TK 760_2022-07-29T20x25x00"/>
    <s v="B777/3-ER"/>
    <x v="0"/>
    <x v="113"/>
    <x v="2"/>
    <s v="Operational"/>
    <s v="TK 760"/>
    <m/>
    <m/>
    <m/>
    <m/>
    <x v="0"/>
    <x v="0"/>
  </r>
  <r>
    <n v="27842687"/>
    <x v="0"/>
    <x v="2742"/>
    <s v="EK 002_2022-07-29T20x20x00"/>
    <s v="A380/8"/>
    <x v="4"/>
    <x v="66"/>
    <x v="0"/>
    <s v="Operational"/>
    <s v="EK 002"/>
    <m/>
    <m/>
    <m/>
    <m/>
    <x v="0"/>
    <x v="0"/>
  </r>
  <r>
    <n v="27842696"/>
    <x v="0"/>
    <x v="2743"/>
    <m/>
    <m/>
    <x v="7"/>
    <x v="38"/>
    <x v="6"/>
    <s v="Operational"/>
    <m/>
    <m/>
    <m/>
    <m/>
    <m/>
    <x v="0"/>
    <x v="0"/>
  </r>
  <r>
    <n v="27842702"/>
    <x v="0"/>
    <x v="2744"/>
    <s v="FZ 337_2022-07-29T20x15x00"/>
    <s v="B737/8"/>
    <x v="1"/>
    <x v="43"/>
    <x v="1"/>
    <s v="Operational"/>
    <s v="FZ 337"/>
    <m/>
    <m/>
    <m/>
    <m/>
    <x v="0"/>
    <x v="0"/>
  </r>
  <r>
    <n v="27842711"/>
    <x v="0"/>
    <x v="2745"/>
    <s v="FZ 574_2022-07-29T20x10x00"/>
    <s v="B737/8"/>
    <x v="1"/>
    <x v="43"/>
    <x v="3"/>
    <s v="Operational"/>
    <s v="FZ 574"/>
    <m/>
    <m/>
    <m/>
    <m/>
    <x v="0"/>
    <x v="0"/>
  </r>
  <r>
    <n v="27842723"/>
    <x v="0"/>
    <x v="2746"/>
    <s v="XY 209_2022-07-29T18x00x00"/>
    <s v="A320-NEO"/>
    <x v="0"/>
    <x v="3"/>
    <x v="3"/>
    <s v="Operational"/>
    <s v="XY 209"/>
    <m/>
    <m/>
    <m/>
    <m/>
    <x v="0"/>
    <x v="0"/>
  </r>
  <r>
    <n v="27842729"/>
    <x v="0"/>
    <x v="2747"/>
    <s v="TK 760_2022-07-29T20x25x00"/>
    <s v="B777/3-ER"/>
    <x v="0"/>
    <x v="113"/>
    <x v="0"/>
    <s v="Operational"/>
    <s v="TK 760"/>
    <m/>
    <m/>
    <m/>
    <m/>
    <x v="0"/>
    <x v="0"/>
  </r>
  <r>
    <n v="27842742"/>
    <x v="0"/>
    <x v="2748"/>
    <s v="FZ 574_2022-07-29T20x10x00"/>
    <s v="B737/8"/>
    <x v="1"/>
    <x v="43"/>
    <x v="4"/>
    <s v="Operational"/>
    <s v="FZ 574"/>
    <m/>
    <m/>
    <m/>
    <m/>
    <x v="0"/>
    <x v="0"/>
  </r>
  <r>
    <n v="27842750"/>
    <x v="0"/>
    <x v="2749"/>
    <s v="EK 017_2022-07-30T03x25x00"/>
    <s v="A380"/>
    <x v="4"/>
    <x v="86"/>
    <x v="2"/>
    <s v="Operational"/>
    <m/>
    <m/>
    <m/>
    <m/>
    <m/>
    <x v="0"/>
    <x v="0"/>
  </r>
  <r>
    <n v="27842753"/>
    <x v="0"/>
    <x v="2750"/>
    <s v="EK 148_2022-07-29T19x55x00"/>
    <s v="A380/8"/>
    <x v="3"/>
    <x v="45"/>
    <x v="2"/>
    <s v="Operational"/>
    <s v="EK 148"/>
    <m/>
    <m/>
    <m/>
    <m/>
    <x v="0"/>
    <x v="0"/>
  </r>
  <r>
    <n v="27842762"/>
    <x v="0"/>
    <x v="2751"/>
    <s v="EK 017_2022-07-30T03x25x00"/>
    <s v="A380"/>
    <x v="4"/>
    <x v="86"/>
    <x v="0"/>
    <s v="Operational"/>
    <m/>
    <m/>
    <m/>
    <m/>
    <m/>
    <x v="0"/>
    <x v="0"/>
  </r>
  <r>
    <n v="27842777"/>
    <x v="0"/>
    <x v="2752"/>
    <s v="EK 148_2022-07-29T19x55x00"/>
    <s v="A380/8"/>
    <x v="3"/>
    <x v="45"/>
    <x v="0"/>
    <s v="Operational"/>
    <s v="EK 148"/>
    <m/>
    <m/>
    <m/>
    <m/>
    <x v="0"/>
    <x v="0"/>
  </r>
  <r>
    <n v="27842795"/>
    <x v="0"/>
    <x v="2753"/>
    <m/>
    <s v="B777/3-ER"/>
    <x v="7"/>
    <x v="38"/>
    <x v="2"/>
    <s v="Operational"/>
    <m/>
    <m/>
    <m/>
    <m/>
    <m/>
    <x v="0"/>
    <x v="0"/>
  </r>
  <r>
    <n v="27842800"/>
    <x v="0"/>
    <x v="2754"/>
    <s v="IX 195_2022-07-29T20x35x00"/>
    <s v="B737/8"/>
    <x v="1"/>
    <x v="96"/>
    <x v="3"/>
    <s v="Operational"/>
    <s v="IX 195"/>
    <m/>
    <m/>
    <m/>
    <m/>
    <x v="0"/>
    <x v="0"/>
  </r>
  <r>
    <n v="27842811"/>
    <x v="0"/>
    <x v="2755"/>
    <s v="EK 122_2022-07-29T20x55x00"/>
    <s v="B777/3-ER"/>
    <x v="5"/>
    <x v="165"/>
    <x v="4"/>
    <s v="Operational"/>
    <s v="EK 122"/>
    <m/>
    <m/>
    <m/>
    <m/>
    <x v="0"/>
    <x v="0"/>
  </r>
  <r>
    <n v="27842817"/>
    <x v="0"/>
    <x v="2756"/>
    <s v="LH 630_2022-07-29T18x35x00"/>
    <s v="A330/3"/>
    <x v="0"/>
    <x v="91"/>
    <x v="4"/>
    <s v="Operational"/>
    <s v="LH 630"/>
    <m/>
    <m/>
    <m/>
    <m/>
    <x v="0"/>
    <x v="0"/>
  </r>
  <r>
    <n v="27842824"/>
    <x v="0"/>
    <x v="2757"/>
    <m/>
    <s v="B777/3-ER"/>
    <x v="7"/>
    <x v="38"/>
    <x v="0"/>
    <s v="Operational"/>
    <m/>
    <m/>
    <m/>
    <m/>
    <m/>
    <x v="0"/>
    <x v="0"/>
  </r>
  <r>
    <n v="27842830"/>
    <x v="0"/>
    <x v="2758"/>
    <s v="IX 195_2022-07-29T20x35x00"/>
    <s v="B737/8"/>
    <x v="1"/>
    <x v="96"/>
    <x v="4"/>
    <s v="Operational"/>
    <s v="IX 195"/>
    <m/>
    <m/>
    <m/>
    <m/>
    <x v="0"/>
    <x v="0"/>
  </r>
  <r>
    <n v="27842845"/>
    <x v="0"/>
    <x v="2759"/>
    <s v="EK 078_2022-07-29T20x10x00"/>
    <s v="B777/3-ER"/>
    <x v="3"/>
    <x v="26"/>
    <x v="3"/>
    <s v="Operational"/>
    <s v="EK 078"/>
    <m/>
    <m/>
    <m/>
    <m/>
    <x v="0"/>
    <x v="0"/>
  </r>
  <r>
    <n v="27842861"/>
    <x v="0"/>
    <x v="2760"/>
    <s v="FZ 574_2022-07-29T20x10x00"/>
    <s v="B737/8"/>
    <x v="1"/>
    <x v="43"/>
    <x v="2"/>
    <s v="Operational"/>
    <s v="FZ 574"/>
    <m/>
    <m/>
    <m/>
    <m/>
    <x v="0"/>
    <x v="0"/>
  </r>
  <r>
    <n v="27842862"/>
    <x v="0"/>
    <x v="2761"/>
    <s v="EK 078_2022-07-29T20x10x00"/>
    <s v="B777/3-ER"/>
    <x v="3"/>
    <x v="26"/>
    <x v="4"/>
    <s v="Operational"/>
    <s v="EK 078"/>
    <m/>
    <m/>
    <m/>
    <m/>
    <x v="0"/>
    <x v="0"/>
  </r>
  <r>
    <n v="27842873"/>
    <x v="0"/>
    <x v="2762"/>
    <s v="EK 954_2022-07-29T20x35x00"/>
    <s v="B777/3-ER"/>
    <x v="4"/>
    <x v="136"/>
    <x v="3"/>
    <s v="Operational"/>
    <s v="EK 954"/>
    <m/>
    <m/>
    <m/>
    <m/>
    <x v="0"/>
    <x v="0"/>
  </r>
  <r>
    <n v="27842888"/>
    <x v="0"/>
    <x v="2763"/>
    <s v="EK 122_2022-07-29T20x55x00"/>
    <s v="B777/3-ER"/>
    <x v="5"/>
    <x v="165"/>
    <x v="2"/>
    <s v="Operational"/>
    <s v="EK 122"/>
    <m/>
    <m/>
    <m/>
    <m/>
    <x v="0"/>
    <x v="0"/>
  </r>
  <r>
    <n v="27842889"/>
    <x v="0"/>
    <x v="2764"/>
    <s v="FZ 574_2022-07-29T20x10x00"/>
    <s v="B737/8"/>
    <x v="1"/>
    <x v="43"/>
    <x v="0"/>
    <s v="Operational"/>
    <s v="FZ 574"/>
    <m/>
    <m/>
    <m/>
    <m/>
    <x v="0"/>
    <x v="0"/>
  </r>
  <r>
    <n v="27842908"/>
    <x v="0"/>
    <x v="2765"/>
    <s v="EK 122_2022-07-29T20x55x00"/>
    <s v="B777/3-ER"/>
    <x v="5"/>
    <x v="165"/>
    <x v="0"/>
    <s v="Operational"/>
    <s v="EK 122"/>
    <m/>
    <m/>
    <m/>
    <m/>
    <x v="0"/>
    <x v="0"/>
  </r>
  <r>
    <n v="27842922"/>
    <x v="0"/>
    <x v="2766"/>
    <s v="CZ 8027_2022-07-29T21x20x00"/>
    <s v="A330/3"/>
    <x v="5"/>
    <x v="23"/>
    <x v="2"/>
    <s v="Operational"/>
    <s v="CZ 8027"/>
    <m/>
    <m/>
    <m/>
    <m/>
    <x v="0"/>
    <x v="0"/>
  </r>
  <r>
    <n v="27842929"/>
    <x v="0"/>
    <x v="2767"/>
    <s v="EK 954_2022-07-29T20x35x00"/>
    <s v="B777/3-ER"/>
    <x v="4"/>
    <x v="136"/>
    <x v="4"/>
    <s v="Operational"/>
    <s v="EK 954"/>
    <m/>
    <m/>
    <m/>
    <m/>
    <x v="0"/>
    <x v="0"/>
  </r>
  <r>
    <n v="27842934"/>
    <x v="0"/>
    <x v="2768"/>
    <s v="CZ 8027_2022-07-29T21x20x00"/>
    <s v="A330/3"/>
    <x v="5"/>
    <x v="23"/>
    <x v="0"/>
    <s v="Operational"/>
    <s v="CZ 8027"/>
    <m/>
    <m/>
    <m/>
    <m/>
    <x v="0"/>
    <x v="0"/>
  </r>
  <r>
    <n v="27842946"/>
    <x v="0"/>
    <x v="2769"/>
    <s v="FZ 1685_2022-07-29T20x25x00"/>
    <s v="B737/8-MAX"/>
    <x v="5"/>
    <x v="158"/>
    <x v="1"/>
    <s v="Operational"/>
    <s v="FZ 1685"/>
    <m/>
    <m/>
    <m/>
    <m/>
    <x v="0"/>
    <x v="0"/>
  </r>
  <r>
    <n v="27842962"/>
    <x v="0"/>
    <x v="2770"/>
    <s v="XY 209_2022-07-29T18x00x00"/>
    <s v="A320-NEO"/>
    <x v="0"/>
    <x v="3"/>
    <x v="10"/>
    <s v="Operational"/>
    <s v="XY 209"/>
    <m/>
    <m/>
    <m/>
    <m/>
    <x v="0"/>
    <x v="0"/>
  </r>
  <r>
    <n v="27842963"/>
    <x v="0"/>
    <x v="2770"/>
    <s v="XY 209_2022-07-29T18x00x00"/>
    <s v="A320-NEO"/>
    <x v="0"/>
    <x v="3"/>
    <x v="11"/>
    <s v="Operational"/>
    <s v="XY 209"/>
    <m/>
    <m/>
    <m/>
    <m/>
    <x v="0"/>
    <x v="0"/>
  </r>
  <r>
    <n v="27842975"/>
    <x v="0"/>
    <x v="2771"/>
    <s v="EK 142_2022-07-29T20x45x00"/>
    <s v="A380/8"/>
    <x v="4"/>
    <x v="20"/>
    <x v="3"/>
    <s v="Operational"/>
    <s v="EK 142"/>
    <m/>
    <m/>
    <m/>
    <m/>
    <x v="0"/>
    <x v="0"/>
  </r>
  <r>
    <n v="27842994"/>
    <x v="0"/>
    <x v="2772"/>
    <s v="LH 630_2022-07-29T18x35x00"/>
    <s v="A330/3"/>
    <x v="0"/>
    <x v="91"/>
    <x v="2"/>
    <s v="Operational"/>
    <s v="LH 630"/>
    <m/>
    <m/>
    <m/>
    <m/>
    <x v="0"/>
    <x v="0"/>
  </r>
  <r>
    <n v="27843000"/>
    <x v="0"/>
    <x v="2773"/>
    <s v="IX 195_2022-07-29T20x35x00"/>
    <s v="B737/8"/>
    <x v="1"/>
    <x v="96"/>
    <x v="2"/>
    <s v="Operational"/>
    <s v="IX 195"/>
    <m/>
    <m/>
    <m/>
    <m/>
    <x v="0"/>
    <x v="0"/>
  </r>
  <r>
    <n v="27843001"/>
    <x v="0"/>
    <x v="2774"/>
    <s v="EK 142_2022-07-29T20x45x00"/>
    <s v="A380/8"/>
    <x v="4"/>
    <x v="20"/>
    <x v="4"/>
    <s v="Operational"/>
    <s v="EK 142"/>
    <m/>
    <m/>
    <m/>
    <m/>
    <x v="0"/>
    <x v="0"/>
  </r>
  <r>
    <n v="27843009"/>
    <x v="0"/>
    <x v="2775"/>
    <s v="EK 162_2022-07-29T20x45x00"/>
    <s v="B777/3-ER"/>
    <x v="4"/>
    <x v="64"/>
    <x v="3"/>
    <s v="Operational"/>
    <s v="EK 162"/>
    <m/>
    <m/>
    <m/>
    <m/>
    <x v="0"/>
    <x v="0"/>
  </r>
  <r>
    <n v="27843012"/>
    <x v="0"/>
    <x v="2776"/>
    <s v="XY 209_2022-07-29T18x00x00"/>
    <s v="A320-NEO"/>
    <x v="0"/>
    <x v="3"/>
    <x v="2"/>
    <s v="Operational"/>
    <s v="XY 209"/>
    <m/>
    <m/>
    <m/>
    <m/>
    <x v="0"/>
    <x v="0"/>
  </r>
  <r>
    <n v="27843014"/>
    <x v="0"/>
    <x v="2777"/>
    <s v="LH 630_2022-07-29T18x35x00"/>
    <s v="A330/3"/>
    <x v="0"/>
    <x v="91"/>
    <x v="0"/>
    <s v="Operational"/>
    <s v="LH 630"/>
    <m/>
    <m/>
    <m/>
    <m/>
    <x v="0"/>
    <x v="0"/>
  </r>
  <r>
    <n v="27843035"/>
    <x v="0"/>
    <x v="2778"/>
    <s v="IX 195_2022-07-29T20x35x00"/>
    <s v="B737/8"/>
    <x v="1"/>
    <x v="96"/>
    <x v="0"/>
    <s v="Operational"/>
    <s v="IX 195"/>
    <m/>
    <m/>
    <m/>
    <m/>
    <x v="0"/>
    <x v="0"/>
  </r>
  <r>
    <n v="27843050"/>
    <x v="0"/>
    <x v="2779"/>
    <s v="XY 209_2022-07-29T18x00x00"/>
    <s v="A320-NEO"/>
    <x v="0"/>
    <x v="3"/>
    <x v="0"/>
    <s v="Operational"/>
    <s v="XY 209"/>
    <m/>
    <m/>
    <m/>
    <m/>
    <x v="0"/>
    <x v="0"/>
  </r>
  <r>
    <n v="27843063"/>
    <x v="0"/>
    <x v="2780"/>
    <s v="EK 184_2022-07-29T19x55x00"/>
    <s v="B777/3-ER"/>
    <x v="2"/>
    <x v="27"/>
    <x v="3"/>
    <s v="Operational"/>
    <s v="EK 184"/>
    <m/>
    <m/>
    <m/>
    <m/>
    <x v="0"/>
    <x v="0"/>
  </r>
  <r>
    <n v="27843067"/>
    <x v="0"/>
    <x v="2781"/>
    <s v="EK 924_2022-07-29T20x40x00"/>
    <s v="A380/8"/>
    <x v="4"/>
    <x v="70"/>
    <x v="4"/>
    <s v="Operational"/>
    <s v="EK 924"/>
    <m/>
    <m/>
    <m/>
    <m/>
    <x v="0"/>
    <x v="0"/>
  </r>
  <r>
    <n v="27843069"/>
    <x v="0"/>
    <x v="2782"/>
    <s v="EK 162_2022-07-29T20x45x00"/>
    <s v="B777/3-ER"/>
    <x v="4"/>
    <x v="64"/>
    <x v="4"/>
    <s v="Operational"/>
    <s v="EK 162"/>
    <m/>
    <m/>
    <m/>
    <m/>
    <x v="0"/>
    <x v="0"/>
  </r>
  <r>
    <n v="27843085"/>
    <x v="0"/>
    <x v="2783"/>
    <s v="AF 655_2022-07-29T20x40x00"/>
    <s v="B777/3-ER"/>
    <x v="0"/>
    <x v="17"/>
    <x v="1"/>
    <s v="Operational"/>
    <s v="AF 655"/>
    <m/>
    <m/>
    <m/>
    <m/>
    <x v="0"/>
    <x v="0"/>
  </r>
  <r>
    <n v="27843099"/>
    <x v="0"/>
    <x v="2784"/>
    <s v="EK 027_2022-07-30T03x50x00"/>
    <s v="B777/3-ER"/>
    <x v="4"/>
    <x v="41"/>
    <x v="1"/>
    <s v="Operational"/>
    <m/>
    <m/>
    <m/>
    <m/>
    <m/>
    <x v="0"/>
    <x v="0"/>
  </r>
  <r>
    <n v="27843109"/>
    <x v="0"/>
    <x v="2785"/>
    <s v="EK 192_2022-07-29T20x50x00"/>
    <s v="B777/3-ER"/>
    <x v="3"/>
    <x v="59"/>
    <x v="3"/>
    <s v="Operational"/>
    <s v="EK 192"/>
    <m/>
    <m/>
    <m/>
    <m/>
    <x v="0"/>
    <x v="0"/>
  </r>
  <r>
    <n v="27843115"/>
    <x v="0"/>
    <x v="2786"/>
    <s v="EK 954_2022-07-29T20x35x00"/>
    <s v="B777/3-ER"/>
    <x v="4"/>
    <x v="136"/>
    <x v="2"/>
    <s v="Operational"/>
    <s v="EK 954"/>
    <m/>
    <m/>
    <m/>
    <m/>
    <x v="0"/>
    <x v="0"/>
  </r>
  <r>
    <n v="27843121"/>
    <x v="0"/>
    <x v="2787"/>
    <s v="EK 184_2022-07-29T19x55x00"/>
    <s v="B777/3-ER"/>
    <x v="2"/>
    <x v="27"/>
    <x v="4"/>
    <s v="Operational"/>
    <s v="EK 184"/>
    <m/>
    <m/>
    <m/>
    <m/>
    <x v="0"/>
    <x v="0"/>
  </r>
  <r>
    <n v="27843126"/>
    <x v="0"/>
    <x v="2788"/>
    <s v="EK 954_2022-07-29T20x35x00"/>
    <s v="B777/3-ER"/>
    <x v="4"/>
    <x v="136"/>
    <x v="0"/>
    <s v="Operational"/>
    <s v="EK 954"/>
    <m/>
    <m/>
    <m/>
    <m/>
    <x v="0"/>
    <x v="0"/>
  </r>
  <r>
    <n v="27843147"/>
    <x v="0"/>
    <x v="2789"/>
    <s v="EK 074_2022-07-29T20x20x00"/>
    <s v="A380/8"/>
    <x v="3"/>
    <x v="134"/>
    <x v="3"/>
    <s v="Operational"/>
    <s v="EK 074"/>
    <m/>
    <m/>
    <m/>
    <m/>
    <x v="0"/>
    <x v="0"/>
  </r>
  <r>
    <n v="27843152"/>
    <x v="0"/>
    <x v="2790"/>
    <s v="EK 192_2022-07-29T20x50x00"/>
    <s v="B777/3-ER"/>
    <x v="3"/>
    <x v="59"/>
    <x v="4"/>
    <s v="Operational"/>
    <s v="EK 192"/>
    <m/>
    <m/>
    <m/>
    <m/>
    <x v="0"/>
    <x v="0"/>
  </r>
  <r>
    <n v="27843173"/>
    <x v="0"/>
    <x v="2791"/>
    <s v="EK 822_2022-07-29T21x00x00"/>
    <s v="B777/3-ER"/>
    <x v="3"/>
    <x v="84"/>
    <x v="3"/>
    <s v="Operational"/>
    <s v="EK 822"/>
    <m/>
    <m/>
    <m/>
    <m/>
    <x v="0"/>
    <x v="0"/>
  </r>
  <r>
    <n v="27843177"/>
    <x v="0"/>
    <x v="2792"/>
    <s v="EK 074_2022-07-29T20x20x00"/>
    <s v="A380/8"/>
    <x v="3"/>
    <x v="134"/>
    <x v="4"/>
    <s v="Operational"/>
    <s v="EK 074"/>
    <m/>
    <m/>
    <m/>
    <m/>
    <x v="0"/>
    <x v="0"/>
  </r>
  <r>
    <n v="27843202"/>
    <x v="0"/>
    <x v="2793"/>
    <s v="EK 924_2022-07-29T20x40x00"/>
    <s v="A380/8"/>
    <x v="4"/>
    <x v="70"/>
    <x v="2"/>
    <s v="Operational"/>
    <s v="EK 924"/>
    <m/>
    <m/>
    <m/>
    <m/>
    <x v="0"/>
    <x v="0"/>
  </r>
  <r>
    <n v="27843204"/>
    <x v="0"/>
    <x v="2794"/>
    <s v="EK 822_2022-07-29T21x00x00"/>
    <s v="B777/3-ER"/>
    <x v="3"/>
    <x v="84"/>
    <x v="4"/>
    <s v="Operational"/>
    <s v="EK 822"/>
    <m/>
    <m/>
    <m/>
    <m/>
    <x v="0"/>
    <x v="0"/>
  </r>
  <r>
    <n v="27843211"/>
    <x v="0"/>
    <x v="2795"/>
    <s v="EK 142_2022-07-29T20x45x00"/>
    <s v="A380/8"/>
    <x v="4"/>
    <x v="20"/>
    <x v="2"/>
    <s v="Operational"/>
    <s v="EK 142"/>
    <m/>
    <m/>
    <m/>
    <m/>
    <x v="0"/>
    <x v="0"/>
  </r>
  <r>
    <n v="27843217"/>
    <x v="0"/>
    <x v="2796"/>
    <s v="EK 924_2022-07-29T20x40x00"/>
    <s v="A380/8"/>
    <x v="4"/>
    <x v="70"/>
    <x v="0"/>
    <s v="Operational"/>
    <s v="EK 924"/>
    <m/>
    <m/>
    <m/>
    <m/>
    <x v="0"/>
    <x v="0"/>
  </r>
  <r>
    <n v="27843237"/>
    <x v="0"/>
    <x v="2797"/>
    <s v="EK 028_2022-07-29T21x05x00"/>
    <s v="B777/3-ER"/>
    <x v="4"/>
    <x v="41"/>
    <x v="3"/>
    <s v="Operational"/>
    <s v="EK 028"/>
    <m/>
    <m/>
    <m/>
    <m/>
    <x v="0"/>
    <x v="0"/>
  </r>
  <r>
    <n v="27843244"/>
    <x v="0"/>
    <x v="2798"/>
    <s v="EK 162_2022-07-29T20x45x00"/>
    <s v="B777/3-ER"/>
    <x v="4"/>
    <x v="64"/>
    <x v="2"/>
    <s v="Operational"/>
    <s v="EK 162"/>
    <m/>
    <m/>
    <m/>
    <m/>
    <x v="0"/>
    <x v="0"/>
  </r>
  <r>
    <n v="27843245"/>
    <x v="0"/>
    <x v="2799"/>
    <s v="EK 142_2022-07-29T20x45x00"/>
    <s v="A380/8"/>
    <x v="4"/>
    <x v="20"/>
    <x v="0"/>
    <s v="Operational"/>
    <s v="EK 142"/>
    <m/>
    <m/>
    <m/>
    <m/>
    <x v="0"/>
    <x v="0"/>
  </r>
  <r>
    <n v="27843261"/>
    <x v="0"/>
    <x v="2800"/>
    <s v="EK 162_2022-07-29T20x45x00"/>
    <s v="B777/3-ER"/>
    <x v="4"/>
    <x v="64"/>
    <x v="0"/>
    <s v="Operational"/>
    <s v="EK 162"/>
    <m/>
    <m/>
    <m/>
    <m/>
    <x v="0"/>
    <x v="0"/>
  </r>
  <r>
    <n v="27843288"/>
    <x v="0"/>
    <x v="2801"/>
    <s v="EK 078_2022-07-29T20x10x00"/>
    <s v="B777/3-ER"/>
    <x v="3"/>
    <x v="26"/>
    <x v="2"/>
    <s v="Operational"/>
    <s v="EK 078"/>
    <m/>
    <m/>
    <m/>
    <m/>
    <x v="0"/>
    <x v="0"/>
  </r>
  <r>
    <n v="27843289"/>
    <x v="0"/>
    <x v="2802"/>
    <s v="EK 028_2022-07-29T21x05x00"/>
    <s v="B777/3-ER"/>
    <x v="4"/>
    <x v="41"/>
    <x v="4"/>
    <s v="Operational"/>
    <s v="EK 028"/>
    <m/>
    <m/>
    <m/>
    <m/>
    <x v="0"/>
    <x v="0"/>
  </r>
  <r>
    <n v="27843315"/>
    <x v="0"/>
    <x v="2803"/>
    <s v="FZ 026_2022-07-29T19x45x00"/>
    <s v="B737/8"/>
    <x v="1"/>
    <x v="52"/>
    <x v="3"/>
    <s v="Operational"/>
    <s v="FZ 026"/>
    <m/>
    <m/>
    <m/>
    <m/>
    <x v="0"/>
    <x v="0"/>
  </r>
  <r>
    <n v="27843319"/>
    <x v="0"/>
    <x v="2804"/>
    <s v="EK 078_2022-07-29T20x10x00"/>
    <s v="B777/3-ER"/>
    <x v="3"/>
    <x v="26"/>
    <x v="0"/>
    <s v="Operational"/>
    <s v="EK 078"/>
    <m/>
    <m/>
    <m/>
    <m/>
    <x v="0"/>
    <x v="0"/>
  </r>
  <r>
    <n v="27843340"/>
    <x v="0"/>
    <x v="2805"/>
    <s v="FZ 1707_2022-07-29T20x50x00"/>
    <s v="B737/8-MAX"/>
    <x v="5"/>
    <x v="111"/>
    <x v="1"/>
    <s v="Operational"/>
    <s v="FZ 1707"/>
    <m/>
    <m/>
    <m/>
    <m/>
    <x v="0"/>
    <x v="0"/>
  </r>
  <r>
    <n v="27843348"/>
    <x v="0"/>
    <x v="2806"/>
    <s v="EK 184_2022-07-29T19x55x00"/>
    <s v="B777/3-ER"/>
    <x v="2"/>
    <x v="27"/>
    <x v="2"/>
    <s v="Operational"/>
    <s v="EK 184"/>
    <m/>
    <m/>
    <m/>
    <m/>
    <x v="0"/>
    <x v="0"/>
  </r>
  <r>
    <n v="27843356"/>
    <x v="0"/>
    <x v="2807"/>
    <s v="EK 184_2022-07-29T19x55x00"/>
    <s v="B777/3-ER"/>
    <x v="2"/>
    <x v="27"/>
    <x v="0"/>
    <s v="Operational"/>
    <s v="EK 184"/>
    <m/>
    <m/>
    <m/>
    <m/>
    <x v="0"/>
    <x v="0"/>
  </r>
  <r>
    <n v="27843372"/>
    <x v="0"/>
    <x v="2808"/>
    <s v="FZ 029_2022-07-29T20x30x00"/>
    <s v="B737/8-MAX"/>
    <x v="1"/>
    <x v="116"/>
    <x v="1"/>
    <s v="Operational"/>
    <s v="FZ 029"/>
    <m/>
    <m/>
    <m/>
    <m/>
    <x v="0"/>
    <x v="0"/>
  </r>
  <r>
    <n v="27843379"/>
    <x v="0"/>
    <x v="2809"/>
    <s v="IX 355_2022-07-29T21x25x00"/>
    <s v="B737/8"/>
    <x v="1"/>
    <x v="116"/>
    <x v="3"/>
    <s v="Operational"/>
    <s v="IX 355"/>
    <m/>
    <m/>
    <m/>
    <m/>
    <x v="0"/>
    <x v="0"/>
  </r>
  <r>
    <n v="27843396"/>
    <x v="0"/>
    <x v="2810"/>
    <s v="EK 338_2022-07-29T21x15x00"/>
    <s v="B777/3-ER"/>
    <x v="6"/>
    <x v="47"/>
    <x v="3"/>
    <s v="Operational"/>
    <s v="EK 338"/>
    <m/>
    <m/>
    <m/>
    <m/>
    <x v="0"/>
    <x v="0"/>
  </r>
  <r>
    <n v="27843398"/>
    <x v="0"/>
    <x v="2810"/>
    <s v="EK 090_2022-07-29T21x13x00"/>
    <s v="B777/3-ER"/>
    <x v="7"/>
    <x v="76"/>
    <x v="3"/>
    <s v="Operational"/>
    <s v="EK 090"/>
    <m/>
    <m/>
    <m/>
    <m/>
    <x v="0"/>
    <x v="0"/>
  </r>
  <r>
    <n v="27843407"/>
    <x v="0"/>
    <x v="2811"/>
    <s v="SG 013_2022-07-29T21x10x00"/>
    <s v="B737/8"/>
    <x v="0"/>
    <x v="63"/>
    <x v="3"/>
    <s v="Operational"/>
    <s v="SG 013"/>
    <m/>
    <m/>
    <m/>
    <m/>
    <x v="0"/>
    <x v="0"/>
  </r>
  <r>
    <n v="27843410"/>
    <x v="0"/>
    <x v="2812"/>
    <s v="IX 355_2022-07-29T21x25x00"/>
    <s v="B737/8"/>
    <x v="1"/>
    <x v="116"/>
    <x v="4"/>
    <s v="Operational"/>
    <s v="IX 355"/>
    <m/>
    <m/>
    <m/>
    <m/>
    <x v="0"/>
    <x v="0"/>
  </r>
  <r>
    <n v="27843416"/>
    <x v="0"/>
    <x v="2813"/>
    <s v="FZ 026_2022-07-29T19x45x00"/>
    <s v="B737/8"/>
    <x v="1"/>
    <x v="52"/>
    <x v="4"/>
    <s v="Operational"/>
    <s v="FZ 026"/>
    <m/>
    <m/>
    <m/>
    <m/>
    <x v="0"/>
    <x v="0"/>
  </r>
  <r>
    <n v="27843424"/>
    <x v="0"/>
    <x v="2814"/>
    <s v="EK 620_2022-07-30T00x20x00"/>
    <s v="B777/3-ER"/>
    <x v="2"/>
    <x v="100"/>
    <x v="1"/>
    <s v="Operational"/>
    <m/>
    <m/>
    <m/>
    <m/>
    <m/>
    <x v="0"/>
    <x v="0"/>
  </r>
  <r>
    <n v="27843445"/>
    <x v="0"/>
    <x v="2815"/>
    <s v="EK 074_2022-07-29T20x20x00"/>
    <s v="A380/8"/>
    <x v="3"/>
    <x v="134"/>
    <x v="2"/>
    <s v="Operational"/>
    <s v="EK 074"/>
    <m/>
    <m/>
    <m/>
    <m/>
    <x v="0"/>
    <x v="0"/>
  </r>
  <r>
    <n v="27843447"/>
    <x v="0"/>
    <x v="2816"/>
    <s v="EK 192_2022-07-29T20x50x00"/>
    <s v="B777/3-ER"/>
    <x v="3"/>
    <x v="59"/>
    <x v="2"/>
    <s v="Operational"/>
    <s v="EK 192"/>
    <m/>
    <m/>
    <m/>
    <m/>
    <x v="0"/>
    <x v="0"/>
  </r>
  <r>
    <n v="27843448"/>
    <x v="0"/>
    <x v="2817"/>
    <s v="SG 013_2022-07-29T21x10x00"/>
    <s v="B737/8"/>
    <x v="0"/>
    <x v="63"/>
    <x v="10"/>
    <s v="Operational"/>
    <s v="SG 013"/>
    <m/>
    <m/>
    <m/>
    <m/>
    <x v="0"/>
    <x v="0"/>
  </r>
  <r>
    <n v="27843449"/>
    <x v="0"/>
    <x v="2818"/>
    <s v="SG 013_2022-07-29T21x10x00"/>
    <s v="B737/8"/>
    <x v="0"/>
    <x v="63"/>
    <x v="11"/>
    <s v="Operational"/>
    <s v="SG 013"/>
    <m/>
    <m/>
    <m/>
    <m/>
    <x v="0"/>
    <x v="0"/>
  </r>
  <r>
    <n v="27843452"/>
    <x v="0"/>
    <x v="2818"/>
    <s v="EK 822_2022-07-29T21x00x00"/>
    <s v="B777/3-ER"/>
    <x v="3"/>
    <x v="84"/>
    <x v="2"/>
    <s v="Operational"/>
    <s v="EK 822"/>
    <m/>
    <m/>
    <m/>
    <m/>
    <x v="0"/>
    <x v="0"/>
  </r>
  <r>
    <n v="27843458"/>
    <x v="0"/>
    <x v="2819"/>
    <s v="FZ 026_2022-07-29T19x45x00"/>
    <s v="B737/8"/>
    <x v="1"/>
    <x v="52"/>
    <x v="15"/>
    <s v="Technical"/>
    <s v="FZ 026"/>
    <m/>
    <m/>
    <m/>
    <m/>
    <x v="0"/>
    <x v="0"/>
  </r>
  <r>
    <n v="27843464"/>
    <x v="0"/>
    <x v="2820"/>
    <s v="EK 074_2022-07-29T20x20x00"/>
    <s v="A380/8"/>
    <x v="3"/>
    <x v="134"/>
    <x v="0"/>
    <s v="Operational"/>
    <s v="EK 074"/>
    <m/>
    <m/>
    <m/>
    <m/>
    <x v="0"/>
    <x v="0"/>
  </r>
  <r>
    <n v="27843467"/>
    <x v="0"/>
    <x v="2820"/>
    <s v="EK 192_2022-07-29T20x50x00"/>
    <s v="B777/3-ER"/>
    <x v="3"/>
    <x v="59"/>
    <x v="0"/>
    <s v="Operational"/>
    <s v="EK 192"/>
    <m/>
    <m/>
    <m/>
    <m/>
    <x v="0"/>
    <x v="0"/>
  </r>
  <r>
    <n v="27843486"/>
    <x v="0"/>
    <x v="2821"/>
    <s v="FZ 026_2022-07-29T19x45x00"/>
    <s v="B737/8"/>
    <x v="1"/>
    <x v="52"/>
    <x v="17"/>
    <s v="Technical"/>
    <s v="FZ 026"/>
    <m/>
    <m/>
    <m/>
    <m/>
    <x v="0"/>
    <x v="0"/>
  </r>
  <r>
    <n v="27843494"/>
    <x v="0"/>
    <x v="2822"/>
    <s v="EK 822_2022-07-29T21x00x00"/>
    <s v="B777/3-ER"/>
    <x v="3"/>
    <x v="84"/>
    <x v="0"/>
    <s v="Operational"/>
    <s v="EK 822"/>
    <m/>
    <m/>
    <m/>
    <m/>
    <x v="0"/>
    <x v="0"/>
  </r>
  <r>
    <n v="27843510"/>
    <x v="0"/>
    <x v="2823"/>
    <s v="EK 752_2022-07-29T21x15x00"/>
    <s v="B777/3-ER"/>
    <x v="2"/>
    <x v="100"/>
    <x v="3"/>
    <s v="Operational"/>
    <s v="EK 752"/>
    <m/>
    <m/>
    <m/>
    <m/>
    <x v="0"/>
    <x v="0"/>
  </r>
  <r>
    <n v="27843518"/>
    <x v="0"/>
    <x v="2824"/>
    <s v="EK 090_2022-07-29T21x13x00"/>
    <s v="B777/3-ER"/>
    <x v="7"/>
    <x v="76"/>
    <x v="4"/>
    <s v="Operational"/>
    <s v="EK 090"/>
    <m/>
    <m/>
    <m/>
    <m/>
    <x v="0"/>
    <x v="0"/>
  </r>
  <r>
    <n v="27843537"/>
    <x v="0"/>
    <x v="2825"/>
    <s v="IX 191_2022-07-29T18x15x00"/>
    <s v="B737/8"/>
    <x v="1"/>
    <x v="6"/>
    <x v="3"/>
    <s v="Operational"/>
    <s v="IX 191"/>
    <m/>
    <m/>
    <m/>
    <m/>
    <x v="0"/>
    <x v="0"/>
  </r>
  <r>
    <n v="27843540"/>
    <x v="0"/>
    <x v="2826"/>
    <s v="IX 191_2022-07-29T18x15x00"/>
    <s v="B737/8"/>
    <x v="1"/>
    <x v="6"/>
    <x v="4"/>
    <s v="Operational"/>
    <s v="IX 191"/>
    <m/>
    <m/>
    <m/>
    <m/>
    <x v="0"/>
    <x v="0"/>
  </r>
  <r>
    <n v="27843551"/>
    <x v="0"/>
    <x v="2827"/>
    <s v="EK 028_2022-07-29T21x05x00"/>
    <s v="B777/3-ER"/>
    <x v="4"/>
    <x v="41"/>
    <x v="2"/>
    <s v="Operational"/>
    <s v="EK 028"/>
    <m/>
    <m/>
    <m/>
    <m/>
    <x v="0"/>
    <x v="0"/>
  </r>
  <r>
    <n v="27843554"/>
    <x v="0"/>
    <x v="2828"/>
    <s v="FZ 026_2022-07-29T19x45x00"/>
    <s v="B737/8"/>
    <x v="1"/>
    <x v="52"/>
    <x v="2"/>
    <s v="Operational"/>
    <s v="FZ 026"/>
    <m/>
    <m/>
    <m/>
    <m/>
    <x v="0"/>
    <x v="0"/>
  </r>
  <r>
    <n v="27843556"/>
    <x v="0"/>
    <x v="2829"/>
    <s v="EK 338_2022-07-29T21x15x00"/>
    <s v="B777/3-ER"/>
    <x v="6"/>
    <x v="47"/>
    <x v="4"/>
    <s v="Operational"/>
    <s v="EK 338"/>
    <m/>
    <m/>
    <m/>
    <m/>
    <x v="0"/>
    <x v="0"/>
  </r>
  <r>
    <n v="27843560"/>
    <x v="0"/>
    <x v="2830"/>
    <s v="EK 028_2022-07-29T21x05x00"/>
    <s v="B777/3-ER"/>
    <x v="4"/>
    <x v="41"/>
    <x v="0"/>
    <s v="Operational"/>
    <s v="EK 028"/>
    <m/>
    <m/>
    <m/>
    <m/>
    <x v="0"/>
    <x v="0"/>
  </r>
  <r>
    <n v="27843572"/>
    <x v="0"/>
    <x v="2831"/>
    <s v="EK 752_2022-07-29T21x15x00"/>
    <s v="B777/3-ER"/>
    <x v="2"/>
    <x v="100"/>
    <x v="4"/>
    <s v="Operational"/>
    <s v="EK 752"/>
    <m/>
    <m/>
    <m/>
    <m/>
    <x v="0"/>
    <x v="0"/>
  </r>
  <r>
    <n v="27843577"/>
    <x v="0"/>
    <x v="2832"/>
    <s v="EK 564_2022-07-29T23x20x00"/>
    <s v="B777/3-ER"/>
    <x v="3"/>
    <x v="124"/>
    <x v="1"/>
    <s v="Operational"/>
    <m/>
    <m/>
    <m/>
    <m/>
    <m/>
    <x v="0"/>
    <x v="0"/>
  </r>
  <r>
    <n v="27843579"/>
    <x v="0"/>
    <x v="2833"/>
    <s v="FZ 026_2022-07-29T19x45x00"/>
    <s v="B737/8"/>
    <x v="1"/>
    <x v="52"/>
    <x v="0"/>
    <s v="Operational"/>
    <s v="FZ 026"/>
    <m/>
    <m/>
    <m/>
    <m/>
    <x v="0"/>
    <x v="0"/>
  </r>
  <r>
    <n v="27843598"/>
    <x v="0"/>
    <x v="2834"/>
    <s v="IX 355_2022-07-29T21x25x00"/>
    <s v="B737/8"/>
    <x v="1"/>
    <x v="116"/>
    <x v="2"/>
    <s v="Operational"/>
    <s v="IX 355"/>
    <m/>
    <m/>
    <m/>
    <m/>
    <x v="0"/>
    <x v="0"/>
  </r>
  <r>
    <n v="27843601"/>
    <x v="0"/>
    <x v="2835"/>
    <s v="EK 090_2022-07-29T21x13x00"/>
    <s v="B777/3-ER"/>
    <x v="7"/>
    <x v="76"/>
    <x v="2"/>
    <s v="Operational"/>
    <s v="EK 090"/>
    <m/>
    <m/>
    <m/>
    <m/>
    <x v="0"/>
    <x v="0"/>
  </r>
  <r>
    <n v="27843608"/>
    <x v="0"/>
    <x v="2836"/>
    <s v="FZ 330_2022-07-29T21x10x00"/>
    <s v="B737/8"/>
    <x v="8"/>
    <x v="149"/>
    <x v="3"/>
    <s v="Operational"/>
    <s v="FZ 330"/>
    <m/>
    <m/>
    <m/>
    <m/>
    <x v="0"/>
    <x v="0"/>
  </r>
  <r>
    <n v="27843616"/>
    <x v="0"/>
    <x v="2837"/>
    <s v="FZ 330_2022-07-29T21x10x00"/>
    <s v="B737/8"/>
    <x v="8"/>
    <x v="149"/>
    <x v="4"/>
    <s v="Operational"/>
    <s v="FZ 330"/>
    <m/>
    <m/>
    <m/>
    <m/>
    <x v="0"/>
    <x v="0"/>
  </r>
  <r>
    <n v="27843625"/>
    <x v="0"/>
    <x v="2838"/>
    <s v="IX 355_2022-07-29T21x25x00"/>
    <s v="B737/8"/>
    <x v="1"/>
    <x v="116"/>
    <x v="0"/>
    <s v="Operational"/>
    <s v="IX 355"/>
    <m/>
    <m/>
    <m/>
    <m/>
    <x v="0"/>
    <x v="0"/>
  </r>
  <r>
    <n v="27843637"/>
    <x v="0"/>
    <x v="2839"/>
    <s v="EK 090_2022-07-29T21x13x00"/>
    <s v="B777/3-ER"/>
    <x v="7"/>
    <x v="76"/>
    <x v="0"/>
    <s v="Operational"/>
    <s v="EK 090"/>
    <m/>
    <m/>
    <m/>
    <m/>
    <x v="0"/>
    <x v="0"/>
  </r>
  <r>
    <n v="27843647"/>
    <x v="0"/>
    <x v="2840"/>
    <s v="EK 338_2022-07-29T21x15x00"/>
    <s v="B777/3-ER"/>
    <x v="6"/>
    <x v="47"/>
    <x v="2"/>
    <s v="Operational"/>
    <s v="EK 338"/>
    <m/>
    <m/>
    <m/>
    <m/>
    <x v="0"/>
    <x v="0"/>
  </r>
  <r>
    <n v="27843661"/>
    <x v="0"/>
    <x v="2841"/>
    <s v="FZ 584_2022-07-29T21x25x00"/>
    <s v="B737/8"/>
    <x v="1"/>
    <x v="87"/>
    <x v="3"/>
    <s v="Operational"/>
    <s v="FZ 584"/>
    <m/>
    <m/>
    <m/>
    <m/>
    <x v="0"/>
    <x v="0"/>
  </r>
  <r>
    <n v="27843666"/>
    <x v="0"/>
    <x v="2842"/>
    <s v="FZ 584_2022-07-29T21x25x00"/>
    <s v="B737/8"/>
    <x v="1"/>
    <x v="87"/>
    <x v="4"/>
    <s v="Operational"/>
    <s v="FZ 584"/>
    <m/>
    <m/>
    <m/>
    <m/>
    <x v="0"/>
    <x v="0"/>
  </r>
  <r>
    <n v="27843672"/>
    <x v="0"/>
    <x v="2843"/>
    <s v="IX 540_2022-07-29T21x05x00"/>
    <s v="B737/8"/>
    <x v="1"/>
    <x v="135"/>
    <x v="1"/>
    <s v="Operational"/>
    <s v="IX 540"/>
    <m/>
    <m/>
    <m/>
    <m/>
    <x v="0"/>
    <x v="0"/>
  </r>
  <r>
    <n v="27843683"/>
    <x v="0"/>
    <x v="2844"/>
    <m/>
    <m/>
    <x v="6"/>
    <x v="60"/>
    <x v="6"/>
    <s v="Operational"/>
    <m/>
    <m/>
    <m/>
    <m/>
    <m/>
    <x v="0"/>
    <x v="0"/>
  </r>
  <r>
    <n v="27843686"/>
    <x v="0"/>
    <x v="2845"/>
    <s v="EK 338_2022-07-29T21x15x00"/>
    <s v="B777/3-ER"/>
    <x v="6"/>
    <x v="47"/>
    <x v="0"/>
    <s v="Operational"/>
    <s v="EK 338"/>
    <m/>
    <m/>
    <m/>
    <m/>
    <x v="0"/>
    <x v="0"/>
  </r>
  <r>
    <n v="27843705"/>
    <x v="0"/>
    <x v="2846"/>
    <s v="XY 812_2022-07-29T19x15x00"/>
    <s v="A320"/>
    <x v="0"/>
    <x v="29"/>
    <x v="1"/>
    <s v="Operational"/>
    <s v="XY 812"/>
    <m/>
    <m/>
    <m/>
    <m/>
    <x v="0"/>
    <x v="0"/>
  </r>
  <r>
    <n v="27843728"/>
    <x v="0"/>
    <x v="2847"/>
    <s v="SG 013_2022-07-29T21x10x00"/>
    <s v="B737/8"/>
    <x v="0"/>
    <x v="63"/>
    <x v="2"/>
    <s v="Operational"/>
    <s v="SG 013"/>
    <m/>
    <m/>
    <m/>
    <m/>
    <x v="0"/>
    <x v="0"/>
  </r>
  <r>
    <n v="27843765"/>
    <x v="0"/>
    <x v="2848"/>
    <s v="FZ 330_2022-07-29T21x10x00"/>
    <s v="B737/8"/>
    <x v="8"/>
    <x v="149"/>
    <x v="2"/>
    <s v="Operational"/>
    <s v="FZ 330"/>
    <m/>
    <m/>
    <m/>
    <m/>
    <x v="0"/>
    <x v="0"/>
  </r>
  <r>
    <n v="27843774"/>
    <x v="0"/>
    <x v="2849"/>
    <s v="SG 016_2022-07-29T20x10x00"/>
    <s v="B737/8"/>
    <x v="0"/>
    <x v="63"/>
    <x v="1"/>
    <s v="Operational"/>
    <s v="SG 016"/>
    <m/>
    <m/>
    <m/>
    <m/>
    <x v="0"/>
    <x v="0"/>
  </r>
  <r>
    <n v="27843784"/>
    <x v="0"/>
    <x v="2850"/>
    <s v="FZ 330_2022-07-29T21x10x00"/>
    <s v="B737/8"/>
    <x v="8"/>
    <x v="149"/>
    <x v="0"/>
    <s v="Operational"/>
    <s v="FZ 330"/>
    <m/>
    <m/>
    <m/>
    <m/>
    <x v="0"/>
    <x v="0"/>
  </r>
  <r>
    <n v="27843788"/>
    <x v="0"/>
    <x v="2851"/>
    <s v="SG 013_2022-07-29T21x10x00"/>
    <s v="B737/8"/>
    <x v="0"/>
    <x v="63"/>
    <x v="0"/>
    <s v="Operational"/>
    <s v="SG 013"/>
    <m/>
    <m/>
    <m/>
    <m/>
    <x v="0"/>
    <x v="0"/>
  </r>
  <r>
    <n v="27843830"/>
    <x v="0"/>
    <x v="2852"/>
    <m/>
    <s v="B777/3-ER"/>
    <x v="6"/>
    <x v="60"/>
    <x v="2"/>
    <s v="Operational"/>
    <m/>
    <m/>
    <m/>
    <m/>
    <m/>
    <x v="0"/>
    <x v="0"/>
  </r>
  <r>
    <n v="27843837"/>
    <x v="0"/>
    <x v="2853"/>
    <s v="IX 191_2022-07-29T18x15x00"/>
    <s v="B737/8"/>
    <x v="1"/>
    <x v="6"/>
    <x v="2"/>
    <s v="Operational"/>
    <s v="IX 191"/>
    <m/>
    <m/>
    <m/>
    <m/>
    <x v="0"/>
    <x v="0"/>
  </r>
  <r>
    <n v="27843839"/>
    <x v="0"/>
    <x v="2854"/>
    <s v="EK 752_2022-07-29T21x15x00"/>
    <s v="B777/3-ER"/>
    <x v="2"/>
    <x v="100"/>
    <x v="2"/>
    <s v="Operational"/>
    <s v="EK 752"/>
    <m/>
    <m/>
    <m/>
    <m/>
    <x v="0"/>
    <x v="0"/>
  </r>
  <r>
    <n v="27843844"/>
    <x v="0"/>
    <x v="2855"/>
    <m/>
    <s v="B777/3-ER"/>
    <x v="6"/>
    <x v="60"/>
    <x v="0"/>
    <s v="Operational"/>
    <m/>
    <m/>
    <m/>
    <m/>
    <m/>
    <x v="0"/>
    <x v="0"/>
  </r>
  <r>
    <n v="27843849"/>
    <x v="0"/>
    <x v="2856"/>
    <s v="IX 191_2022-07-29T18x15x00"/>
    <s v="B737/8"/>
    <x v="1"/>
    <x v="6"/>
    <x v="0"/>
    <s v="Operational"/>
    <s v="IX 191"/>
    <m/>
    <m/>
    <m/>
    <m/>
    <x v="0"/>
    <x v="0"/>
  </r>
  <r>
    <n v="27843860"/>
    <x v="0"/>
    <x v="2857"/>
    <s v="EK 752_2022-07-29T21x15x00"/>
    <s v="B777/3-ER"/>
    <x v="2"/>
    <x v="100"/>
    <x v="0"/>
    <s v="Operational"/>
    <s v="EK 752"/>
    <m/>
    <m/>
    <m/>
    <m/>
    <x v="0"/>
    <x v="0"/>
  </r>
  <r>
    <n v="27843867"/>
    <x v="0"/>
    <x v="2858"/>
    <s v="EK 2646_2022-07-30T14x00x00"/>
    <s v="A380/8"/>
    <x v="1"/>
    <x v="174"/>
    <x v="1"/>
    <s v="Operational"/>
    <m/>
    <m/>
    <m/>
    <m/>
    <m/>
    <x v="0"/>
    <x v="0"/>
  </r>
  <r>
    <n v="27843897"/>
    <x v="0"/>
    <x v="2859"/>
    <s v="EK 529_2022-07-29T21x30x00"/>
    <s v="B777/3-ER"/>
    <x v="6"/>
    <x v="162"/>
    <x v="3"/>
    <s v="Operational"/>
    <s v="EK 529"/>
    <m/>
    <m/>
    <m/>
    <m/>
    <x v="0"/>
    <x v="0"/>
  </r>
  <r>
    <n v="27843899"/>
    <x v="0"/>
    <x v="2859"/>
    <s v="SG 059_2022-07-29T21x30x00"/>
    <s v="B737/8"/>
    <x v="0"/>
    <x v="63"/>
    <x v="3"/>
    <s v="Operational"/>
    <s v="SG 059"/>
    <m/>
    <m/>
    <m/>
    <m/>
    <x v="0"/>
    <x v="0"/>
  </r>
  <r>
    <n v="27843901"/>
    <x v="0"/>
    <x v="2859"/>
    <s v="EK 184_2022-07-29T21x30x00"/>
    <s v="B777/3-ER"/>
    <x v="6"/>
    <x v="24"/>
    <x v="3"/>
    <s v="Operational"/>
    <s v="EK 184"/>
    <m/>
    <m/>
    <m/>
    <m/>
    <x v="0"/>
    <x v="0"/>
  </r>
  <r>
    <n v="27843907"/>
    <x v="0"/>
    <x v="2860"/>
    <s v="FZ 584_2022-07-29T21x25x00"/>
    <s v="B737/8"/>
    <x v="1"/>
    <x v="87"/>
    <x v="2"/>
    <s v="Operational"/>
    <s v="FZ 584"/>
    <m/>
    <m/>
    <m/>
    <m/>
    <x v="0"/>
    <x v="0"/>
  </r>
  <r>
    <n v="27843913"/>
    <x v="0"/>
    <x v="2861"/>
    <s v="EK 147_2022-07-30T04x05x00"/>
    <s v="A380/8"/>
    <x v="3"/>
    <x v="106"/>
    <x v="1"/>
    <s v="Operational"/>
    <m/>
    <m/>
    <m/>
    <m/>
    <m/>
    <x v="0"/>
    <x v="0"/>
  </r>
  <r>
    <n v="27843916"/>
    <x v="0"/>
    <x v="2862"/>
    <s v="FZ 584_2022-07-29T21x25x00"/>
    <s v="B737/8"/>
    <x v="1"/>
    <x v="87"/>
    <x v="0"/>
    <s v="Operational"/>
    <s v="FZ 584"/>
    <m/>
    <m/>
    <m/>
    <m/>
    <x v="0"/>
    <x v="0"/>
  </r>
  <r>
    <n v="27843925"/>
    <x v="0"/>
    <x v="2863"/>
    <m/>
    <m/>
    <x v="3"/>
    <x v="106"/>
    <x v="6"/>
    <s v="Operational"/>
    <m/>
    <m/>
    <m/>
    <m/>
    <m/>
    <x v="0"/>
    <x v="0"/>
  </r>
  <r>
    <n v="27843944"/>
    <x v="0"/>
    <x v="2864"/>
    <s v="SG 059_2022-07-29T21x30x00"/>
    <s v="B737/8"/>
    <x v="0"/>
    <x v="63"/>
    <x v="10"/>
    <s v="Operational"/>
    <s v="SG 059"/>
    <m/>
    <m/>
    <m/>
    <m/>
    <x v="0"/>
    <x v="0"/>
  </r>
  <r>
    <n v="27843945"/>
    <x v="0"/>
    <x v="2864"/>
    <s v="SG 059_2022-07-29T21x30x00"/>
    <s v="B737/8"/>
    <x v="0"/>
    <x v="63"/>
    <x v="11"/>
    <s v="Operational"/>
    <s v="SG 059"/>
    <m/>
    <m/>
    <m/>
    <m/>
    <x v="0"/>
    <x v="0"/>
  </r>
  <r>
    <n v="27843999"/>
    <x v="0"/>
    <x v="2865"/>
    <s v="FZ 750_2022-07-29T20x55x00"/>
    <s v="B737/8-MAX"/>
    <x v="8"/>
    <x v="130"/>
    <x v="3"/>
    <s v="Operational"/>
    <s v="FZ 750"/>
    <m/>
    <m/>
    <m/>
    <m/>
    <x v="0"/>
    <x v="0"/>
  </r>
  <r>
    <n v="27844007"/>
    <x v="0"/>
    <x v="2866"/>
    <s v="FZ 750_2022-07-29T20x55x00"/>
    <s v="B737/8-MAX"/>
    <x v="8"/>
    <x v="130"/>
    <x v="4"/>
    <s v="Operational"/>
    <s v="FZ 750"/>
    <m/>
    <m/>
    <m/>
    <m/>
    <x v="0"/>
    <x v="0"/>
  </r>
  <r>
    <n v="27844023"/>
    <x v="0"/>
    <x v="2867"/>
    <m/>
    <m/>
    <x v="7"/>
    <x v="67"/>
    <x v="6"/>
    <s v="Operational"/>
    <m/>
    <m/>
    <m/>
    <m/>
    <m/>
    <x v="0"/>
    <x v="0"/>
  </r>
  <r>
    <n v="27844038"/>
    <x v="0"/>
    <x v="2868"/>
    <s v="EK 860_2022-07-29T21x20x00"/>
    <s v="B777/3-ER"/>
    <x v="3"/>
    <x v="124"/>
    <x v="3"/>
    <s v="Operational"/>
    <s v="EK 860"/>
    <m/>
    <m/>
    <m/>
    <m/>
    <x v="0"/>
    <x v="0"/>
  </r>
  <r>
    <n v="27844059"/>
    <x v="0"/>
    <x v="2869"/>
    <s v="EK 860_2022-07-29T21x20x00"/>
    <s v="B777/3-ER"/>
    <x v="3"/>
    <x v="124"/>
    <x v="4"/>
    <s v="Operational"/>
    <s v="EK 860"/>
    <m/>
    <m/>
    <m/>
    <m/>
    <x v="0"/>
    <x v="0"/>
  </r>
  <r>
    <n v="27844071"/>
    <x v="0"/>
    <x v="2870"/>
    <s v="EK 179_2022-07-30T04x10x00"/>
    <s v="A380/8"/>
    <x v="4"/>
    <x v="141"/>
    <x v="30"/>
    <s v="Operational"/>
    <m/>
    <m/>
    <m/>
    <m/>
    <m/>
    <x v="0"/>
    <x v="0"/>
  </r>
  <r>
    <n v="27844085"/>
    <x v="0"/>
    <x v="2871"/>
    <s v="SG 059_2022-07-29T21x30x00"/>
    <s v="B737/8"/>
    <x v="0"/>
    <x v="63"/>
    <x v="2"/>
    <s v="Operational"/>
    <s v="SG 059"/>
    <m/>
    <m/>
    <m/>
    <m/>
    <x v="0"/>
    <x v="0"/>
  </r>
  <r>
    <n v="27844097"/>
    <x v="0"/>
    <x v="2872"/>
    <s v="EK 355_2022-07-29T20x50x00"/>
    <s v="A380"/>
    <x v="3"/>
    <x v="106"/>
    <x v="2"/>
    <s v="Operational"/>
    <m/>
    <m/>
    <m/>
    <m/>
    <m/>
    <x v="0"/>
    <x v="0"/>
  </r>
  <r>
    <n v="27844098"/>
    <x v="0"/>
    <x v="2873"/>
    <s v="SG 059_2022-07-29T21x30x00"/>
    <s v="B737/8"/>
    <x v="0"/>
    <x v="63"/>
    <x v="0"/>
    <s v="Operational"/>
    <s v="SG 059"/>
    <m/>
    <m/>
    <m/>
    <m/>
    <x v="0"/>
    <x v="0"/>
  </r>
  <r>
    <n v="27844119"/>
    <x v="0"/>
    <x v="2874"/>
    <s v="EK 355_2022-07-29T20x50x00"/>
    <s v="A380"/>
    <x v="3"/>
    <x v="106"/>
    <x v="0"/>
    <s v="Operational"/>
    <m/>
    <m/>
    <m/>
    <m/>
    <m/>
    <x v="0"/>
    <x v="0"/>
  </r>
  <r>
    <n v="27844126"/>
    <x v="0"/>
    <x v="2875"/>
    <s v="EK 977_2022-07-29T21x20x00"/>
    <s v="B777/3-ER"/>
    <x v="3"/>
    <x v="42"/>
    <x v="1"/>
    <s v="Operational"/>
    <s v="EK 977"/>
    <m/>
    <m/>
    <m/>
    <m/>
    <x v="0"/>
    <x v="0"/>
  </r>
  <r>
    <n v="27844138"/>
    <x v="0"/>
    <x v="2876"/>
    <s v="FZ 750_2022-07-29T20x55x00"/>
    <s v="B737/8-MAX"/>
    <x v="8"/>
    <x v="130"/>
    <x v="2"/>
    <s v="Operational"/>
    <s v="FZ 750"/>
    <m/>
    <m/>
    <m/>
    <m/>
    <x v="0"/>
    <x v="0"/>
  </r>
  <r>
    <n v="27844142"/>
    <x v="0"/>
    <x v="2877"/>
    <s v="FZ 750_2022-07-29T20x55x00"/>
    <s v="B737/8-MAX"/>
    <x v="8"/>
    <x v="130"/>
    <x v="0"/>
    <s v="Operational"/>
    <s v="FZ 750"/>
    <m/>
    <m/>
    <m/>
    <m/>
    <x v="0"/>
    <x v="0"/>
  </r>
  <r>
    <n v="27844156"/>
    <x v="0"/>
    <x v="2878"/>
    <s v="EK 529_2022-07-29T21x23x00"/>
    <s v="B777/3-ER"/>
    <x v="7"/>
    <x v="67"/>
    <x v="2"/>
    <s v="Operational"/>
    <m/>
    <m/>
    <m/>
    <m/>
    <m/>
    <x v="0"/>
    <x v="0"/>
  </r>
  <r>
    <n v="27844167"/>
    <x v="0"/>
    <x v="2879"/>
    <s v="KL 428_2022-07-29T20x55x00"/>
    <s v="B777/2"/>
    <x v="0"/>
    <x v="22"/>
    <x v="1"/>
    <s v="Operational"/>
    <s v="KL 428"/>
    <m/>
    <m/>
    <m/>
    <m/>
    <x v="0"/>
    <x v="0"/>
  </r>
  <r>
    <n v="27844182"/>
    <x v="0"/>
    <x v="2880"/>
    <s v="EK 529_2022-07-29T21x23x00"/>
    <s v="B777/3-ER"/>
    <x v="7"/>
    <x v="67"/>
    <x v="0"/>
    <s v="Operational"/>
    <m/>
    <m/>
    <m/>
    <m/>
    <m/>
    <x v="0"/>
    <x v="0"/>
  </r>
  <r>
    <n v="27844200"/>
    <x v="0"/>
    <x v="2881"/>
    <m/>
    <m/>
    <x v="4"/>
    <x v="141"/>
    <x v="5"/>
    <s v="Operational"/>
    <m/>
    <m/>
    <m/>
    <m/>
    <m/>
    <x v="0"/>
    <x v="0"/>
  </r>
  <r>
    <n v="27844205"/>
    <x v="0"/>
    <x v="2882"/>
    <s v="EK 110_2022-07-29T21x05x00"/>
    <s v="B777/3-ER"/>
    <x v="4"/>
    <x v="141"/>
    <x v="3"/>
    <s v="Operational"/>
    <s v="EK 110"/>
    <m/>
    <m/>
    <m/>
    <m/>
    <x v="0"/>
    <x v="0"/>
  </r>
  <r>
    <n v="27844207"/>
    <x v="0"/>
    <x v="2883"/>
    <s v="EK 110_2022-07-29T21x05x00"/>
    <s v="B777/3-ER"/>
    <x v="4"/>
    <x v="141"/>
    <x v="4"/>
    <s v="Operational"/>
    <s v="EK 110"/>
    <m/>
    <m/>
    <m/>
    <m/>
    <x v="0"/>
    <x v="0"/>
  </r>
  <r>
    <n v="27844212"/>
    <x v="0"/>
    <x v="2884"/>
    <s v="LX 243_2022-07-29T21x15x00"/>
    <s v="A330/3"/>
    <x v="0"/>
    <x v="61"/>
    <x v="1"/>
    <s v="Operational"/>
    <s v="LX 243"/>
    <m/>
    <m/>
    <m/>
    <m/>
    <x v="0"/>
    <x v="0"/>
  </r>
  <r>
    <n v="27844222"/>
    <x v="0"/>
    <x v="2885"/>
    <s v="EK 110_2022-07-29T21x05x00"/>
    <s v="B777/3-ER"/>
    <x v="4"/>
    <x v="141"/>
    <x v="2"/>
    <s v="Operational"/>
    <s v="EK 110"/>
    <m/>
    <m/>
    <m/>
    <m/>
    <x v="0"/>
    <x v="0"/>
  </r>
  <r>
    <n v="27844230"/>
    <x v="0"/>
    <x v="2886"/>
    <s v="EK 860_2022-07-29T21x20x00"/>
    <s v="B777/3-ER"/>
    <x v="3"/>
    <x v="124"/>
    <x v="2"/>
    <s v="Operational"/>
    <s v="EK 860"/>
    <m/>
    <m/>
    <m/>
    <m/>
    <x v="0"/>
    <x v="0"/>
  </r>
  <r>
    <n v="27844233"/>
    <x v="0"/>
    <x v="2887"/>
    <s v="EK 110_2022-07-29T21x05x00"/>
    <s v="B777/3-ER"/>
    <x v="4"/>
    <x v="141"/>
    <x v="0"/>
    <s v="Operational"/>
    <s v="EK 110"/>
    <m/>
    <m/>
    <m/>
    <m/>
    <x v="0"/>
    <x v="0"/>
  </r>
  <r>
    <n v="27844249"/>
    <x v="0"/>
    <x v="2888"/>
    <s v="EK 860_2022-07-29T21x20x00"/>
    <s v="B777/3-ER"/>
    <x v="3"/>
    <x v="124"/>
    <x v="0"/>
    <s v="Operational"/>
    <s v="EK 860"/>
    <m/>
    <m/>
    <m/>
    <m/>
    <x v="0"/>
    <x v="0"/>
  </r>
  <r>
    <n v="27844270"/>
    <x v="0"/>
    <x v="2889"/>
    <s v="FZ 977_2022-07-29T21x20x00"/>
    <s v="B737/8"/>
    <x v="1"/>
    <x v="35"/>
    <x v="1"/>
    <s v="Operational"/>
    <s v="FZ 977"/>
    <m/>
    <m/>
    <m/>
    <m/>
    <x v="0"/>
    <x v="0"/>
  </r>
  <r>
    <n v="27844280"/>
    <x v="0"/>
    <x v="2890"/>
    <s v="EK 385_2022-07-29T21x20x00"/>
    <s v="B777/3-ER"/>
    <x v="6"/>
    <x v="125"/>
    <x v="1"/>
    <s v="Operational"/>
    <s v="EK 385"/>
    <m/>
    <m/>
    <m/>
    <m/>
    <x v="0"/>
    <x v="0"/>
  </r>
  <r>
    <n v="27844307"/>
    <x v="0"/>
    <x v="2891"/>
    <s v="FZ 713_2022-07-29T21x20x00"/>
    <s v="B737/8"/>
    <x v="1"/>
    <x v="1"/>
    <x v="1"/>
    <s v="Operational"/>
    <s v="FZ 713"/>
    <m/>
    <m/>
    <m/>
    <m/>
    <x v="0"/>
    <x v="0"/>
  </r>
  <r>
    <n v="27844327"/>
    <x v="0"/>
    <x v="2892"/>
    <s v="FZ 1353_2022-07-29T21x10x00"/>
    <s v="B737/8-MAX"/>
    <x v="5"/>
    <x v="33"/>
    <x v="1"/>
    <s v="Operational"/>
    <s v="FZ 1353"/>
    <m/>
    <m/>
    <m/>
    <m/>
    <x v="0"/>
    <x v="0"/>
  </r>
  <r>
    <n v="27844342"/>
    <x v="0"/>
    <x v="2893"/>
    <m/>
    <m/>
    <x v="3"/>
    <x v="42"/>
    <x v="6"/>
    <s v="Operational"/>
    <m/>
    <m/>
    <m/>
    <m/>
    <m/>
    <x v="0"/>
    <x v="0"/>
  </r>
  <r>
    <n v="27844348"/>
    <x v="0"/>
    <x v="2894"/>
    <m/>
    <m/>
    <x v="0"/>
    <x v="29"/>
    <x v="6"/>
    <s v="Operational"/>
    <m/>
    <m/>
    <m/>
    <m/>
    <m/>
    <x v="0"/>
    <x v="0"/>
  </r>
  <r>
    <n v="27844359"/>
    <x v="0"/>
    <x v="2895"/>
    <s v="EK 762_2022-07-30T03x55x00"/>
    <s v="A380/8"/>
    <x v="0"/>
    <x v="29"/>
    <x v="15"/>
    <s v="Technical"/>
    <s v="EK 762"/>
    <m/>
    <m/>
    <m/>
    <m/>
    <x v="0"/>
    <x v="0"/>
  </r>
  <r>
    <n v="27844374"/>
    <x v="0"/>
    <x v="2896"/>
    <s v="PK 223_2022-07-29T22x00x00"/>
    <s v="A320"/>
    <x v="0"/>
    <x v="3"/>
    <x v="3"/>
    <s v="Operational"/>
    <s v="PK 223"/>
    <m/>
    <m/>
    <m/>
    <m/>
    <x v="0"/>
    <x v="0"/>
  </r>
  <r>
    <n v="27844382"/>
    <x v="0"/>
    <x v="2897"/>
    <s v="EK 762_2022-07-30T03x55x00"/>
    <s v="A380/8"/>
    <x v="0"/>
    <x v="29"/>
    <x v="16"/>
    <s v="Technical"/>
    <s v="EK 762"/>
    <m/>
    <m/>
    <m/>
    <m/>
    <x v="0"/>
    <x v="0"/>
  </r>
  <r>
    <n v="27844404"/>
    <x v="0"/>
    <x v="2898"/>
    <s v="EK 853_2022-07-29T21x20x00"/>
    <s v="B777/3-ER"/>
    <x v="3"/>
    <x v="104"/>
    <x v="1"/>
    <s v="Operational"/>
    <s v="EK 853"/>
    <m/>
    <m/>
    <m/>
    <m/>
    <x v="0"/>
    <x v="0"/>
  </r>
  <r>
    <n v="27844411"/>
    <x v="0"/>
    <x v="2899"/>
    <s v="EK 367_2022-07-29T22x10x00"/>
    <s v="B777/3-ER"/>
    <x v="3"/>
    <x v="104"/>
    <x v="3"/>
    <s v="Operational"/>
    <s v="EK 367"/>
    <m/>
    <m/>
    <m/>
    <m/>
    <x v="0"/>
    <x v="0"/>
  </r>
  <r>
    <n v="27844421"/>
    <x v="0"/>
    <x v="2900"/>
    <s v="PK 223_2022-07-29T22x00x00"/>
    <s v="A320"/>
    <x v="0"/>
    <x v="3"/>
    <x v="10"/>
    <s v="Operational"/>
    <s v="PK 223"/>
    <m/>
    <m/>
    <m/>
    <m/>
    <x v="0"/>
    <x v="0"/>
  </r>
  <r>
    <n v="27844422"/>
    <x v="0"/>
    <x v="2900"/>
    <s v="PK 223_2022-07-29T22x00x00"/>
    <s v="A320"/>
    <x v="0"/>
    <x v="3"/>
    <x v="11"/>
    <s v="Operational"/>
    <s v="PK 223"/>
    <m/>
    <m/>
    <m/>
    <m/>
    <x v="0"/>
    <x v="0"/>
  </r>
  <r>
    <n v="27844440"/>
    <x v="0"/>
    <x v="2901"/>
    <s v="EK 367_2022-07-29T22x10x00"/>
    <s v="B777/3-ER"/>
    <x v="3"/>
    <x v="104"/>
    <x v="4"/>
    <s v="Operational"/>
    <s v="EK 367"/>
    <m/>
    <m/>
    <m/>
    <m/>
    <x v="0"/>
    <x v="0"/>
  </r>
  <r>
    <n v="27844474"/>
    <x v="0"/>
    <x v="2902"/>
    <s v="EK 367_2022-07-29T22x10x00"/>
    <s v="B777/3-ER"/>
    <x v="3"/>
    <x v="104"/>
    <x v="2"/>
    <s v="Operational"/>
    <s v="EK 367"/>
    <m/>
    <m/>
    <m/>
    <m/>
    <x v="0"/>
    <x v="0"/>
  </r>
  <r>
    <n v="27844480"/>
    <x v="0"/>
    <x v="2903"/>
    <s v="TK 7686_2022-07-29T22x00x00"/>
    <s v="B737/8"/>
    <x v="0"/>
    <x v="40"/>
    <x v="3"/>
    <s v="Operational"/>
    <s v="TK 7686"/>
    <m/>
    <m/>
    <m/>
    <m/>
    <x v="0"/>
    <x v="0"/>
  </r>
  <r>
    <n v="27844485"/>
    <x v="0"/>
    <x v="2904"/>
    <s v="EK 367_2022-07-29T22x10x00"/>
    <s v="B777/3-ER"/>
    <x v="3"/>
    <x v="104"/>
    <x v="0"/>
    <s v="Operational"/>
    <s v="EK 367"/>
    <m/>
    <m/>
    <m/>
    <m/>
    <x v="0"/>
    <x v="0"/>
  </r>
  <r>
    <n v="27844503"/>
    <x v="0"/>
    <x v="2905"/>
    <m/>
    <m/>
    <x v="0"/>
    <x v="29"/>
    <x v="7"/>
    <s v="Operational"/>
    <m/>
    <m/>
    <m/>
    <m/>
    <m/>
    <x v="0"/>
    <x v="0"/>
  </r>
  <r>
    <n v="27844521"/>
    <x v="0"/>
    <x v="2906"/>
    <s v="TK 7686_2022-07-29T22x00x00"/>
    <s v="B737/8"/>
    <x v="0"/>
    <x v="40"/>
    <x v="4"/>
    <s v="Operational"/>
    <s v="TK 7686"/>
    <m/>
    <m/>
    <m/>
    <m/>
    <x v="0"/>
    <x v="0"/>
  </r>
  <r>
    <n v="27844526"/>
    <x v="0"/>
    <x v="2907"/>
    <s v="PK 223_2022-07-29T22x00x00"/>
    <s v="A320"/>
    <x v="0"/>
    <x v="3"/>
    <x v="2"/>
    <s v="Operational"/>
    <s v="PK 223"/>
    <m/>
    <m/>
    <m/>
    <m/>
    <x v="0"/>
    <x v="0"/>
  </r>
  <r>
    <n v="27844549"/>
    <x v="0"/>
    <x v="2908"/>
    <s v="PK 223_2022-07-29T22x00x00"/>
    <s v="A320"/>
    <x v="0"/>
    <x v="3"/>
    <x v="0"/>
    <s v="Operational"/>
    <s v="PK 223"/>
    <m/>
    <m/>
    <m/>
    <m/>
    <x v="0"/>
    <x v="0"/>
  </r>
  <r>
    <n v="27844564"/>
    <x v="0"/>
    <x v="2909"/>
    <s v="XY 210_2022-07-29T19x00x00"/>
    <s v="A320-NEO"/>
    <x v="0"/>
    <x v="3"/>
    <x v="1"/>
    <s v="Operational"/>
    <s v="XY 210"/>
    <m/>
    <m/>
    <m/>
    <m/>
    <x v="0"/>
    <x v="0"/>
  </r>
  <r>
    <n v="27844579"/>
    <x v="0"/>
    <x v="2910"/>
    <s v="EK 772_2022-07-29T23x50x00"/>
    <s v="B777/3-ER"/>
    <x v="3"/>
    <x v="42"/>
    <x v="2"/>
    <s v="Operational"/>
    <s v="EK 772"/>
    <m/>
    <m/>
    <m/>
    <m/>
    <x v="0"/>
    <x v="0"/>
  </r>
  <r>
    <n v="27844588"/>
    <x v="0"/>
    <x v="2911"/>
    <s v="EK 787_2022-07-30T03x30x00"/>
    <s v="A380/8"/>
    <x v="4"/>
    <x v="66"/>
    <x v="1"/>
    <s v="Operational"/>
    <m/>
    <m/>
    <m/>
    <m/>
    <m/>
    <x v="0"/>
    <x v="0"/>
  </r>
  <r>
    <n v="27844594"/>
    <x v="0"/>
    <x v="2912"/>
    <s v="EK 653_2022-07-29T22x00x00"/>
    <s v="B777/3-ER"/>
    <x v="4"/>
    <x v="66"/>
    <x v="3"/>
    <s v="Operational"/>
    <s v="EK 653"/>
    <m/>
    <m/>
    <m/>
    <m/>
    <x v="0"/>
    <x v="0"/>
  </r>
  <r>
    <n v="27844598"/>
    <x v="0"/>
    <x v="2913"/>
    <s v="EK 772_2022-07-29T23x50x00"/>
    <s v="B777/3-ER"/>
    <x v="3"/>
    <x v="42"/>
    <x v="0"/>
    <s v="Operational"/>
    <s v="EK 772"/>
    <m/>
    <m/>
    <m/>
    <m/>
    <x v="0"/>
    <x v="0"/>
  </r>
  <r>
    <n v="27844602"/>
    <x v="0"/>
    <x v="2914"/>
    <s v="EK 653_2022-07-29T22x00x00"/>
    <s v="B777/3-ER"/>
    <x v="4"/>
    <x v="66"/>
    <x v="28"/>
    <s v="Operational"/>
    <s v="EK 653"/>
    <m/>
    <m/>
    <m/>
    <m/>
    <x v="0"/>
    <x v="0"/>
  </r>
  <r>
    <n v="27844639"/>
    <x v="0"/>
    <x v="2915"/>
    <s v="TK 7686_2022-07-29T22x00x00"/>
    <s v="B737/8"/>
    <x v="0"/>
    <x v="40"/>
    <x v="2"/>
    <s v="Operational"/>
    <s v="TK 7686"/>
    <m/>
    <m/>
    <m/>
    <m/>
    <x v="0"/>
    <x v="0"/>
  </r>
  <r>
    <n v="27844643"/>
    <x v="0"/>
    <x v="2916"/>
    <s v="EK 815_2022-07-29T21x25x00"/>
    <s v="B777/3-ER"/>
    <x v="3"/>
    <x v="5"/>
    <x v="1"/>
    <s v="Operational"/>
    <s v="EK 815"/>
    <m/>
    <m/>
    <m/>
    <m/>
    <x v="0"/>
    <x v="0"/>
  </r>
  <r>
    <n v="27844653"/>
    <x v="0"/>
    <x v="2917"/>
    <s v="TK 7686_2022-07-29T22x00x00"/>
    <s v="B737/8"/>
    <x v="0"/>
    <x v="40"/>
    <x v="0"/>
    <s v="Operational"/>
    <s v="TK 7686"/>
    <m/>
    <m/>
    <m/>
    <m/>
    <x v="0"/>
    <x v="0"/>
  </r>
  <r>
    <n v="27844668"/>
    <x v="0"/>
    <x v="2918"/>
    <s v="EK 653_2022-07-29T22x00x00"/>
    <s v="B777/3-ER"/>
    <x v="4"/>
    <x v="66"/>
    <x v="5"/>
    <s v="Operational"/>
    <s v="EK 653"/>
    <m/>
    <m/>
    <m/>
    <m/>
    <x v="0"/>
    <x v="0"/>
  </r>
  <r>
    <n v="27844674"/>
    <x v="0"/>
    <x v="2919"/>
    <s v="EK 653_2022-07-29T22x00x00"/>
    <s v="B777/3-ER"/>
    <x v="4"/>
    <x v="66"/>
    <x v="3"/>
    <s v="Operational"/>
    <s v="EK 653"/>
    <m/>
    <m/>
    <m/>
    <m/>
    <x v="0"/>
    <x v="0"/>
  </r>
  <r>
    <n v="27844676"/>
    <x v="0"/>
    <x v="2920"/>
    <s v="EK 653_2022-07-29T22x00x00"/>
    <s v="B777/3-ER"/>
    <x v="4"/>
    <x v="66"/>
    <x v="27"/>
    <s v="Operational"/>
    <s v="EK 653"/>
    <m/>
    <m/>
    <m/>
    <m/>
    <x v="0"/>
    <x v="0"/>
  </r>
  <r>
    <n v="27844679"/>
    <x v="0"/>
    <x v="2921"/>
    <m/>
    <m/>
    <x v="4"/>
    <x v="66"/>
    <x v="6"/>
    <s v="Operational"/>
    <m/>
    <m/>
    <m/>
    <m/>
    <m/>
    <x v="0"/>
    <x v="0"/>
  </r>
  <r>
    <n v="27844684"/>
    <x v="0"/>
    <x v="2922"/>
    <s v="EK 729_2022-07-30T05x55x00"/>
    <s v="B777/3-ER"/>
    <x v="6"/>
    <x v="146"/>
    <x v="1"/>
    <s v="Operational"/>
    <m/>
    <m/>
    <m/>
    <m/>
    <m/>
    <x v="0"/>
    <x v="0"/>
  </r>
  <r>
    <n v="27844709"/>
    <x v="0"/>
    <x v="2923"/>
    <s v="EK 653_2022-07-29T22x00x00"/>
    <s v="B777/3-ER"/>
    <x v="4"/>
    <x v="66"/>
    <x v="2"/>
    <s v="Operational"/>
    <m/>
    <m/>
    <m/>
    <m/>
    <m/>
    <x v="0"/>
    <x v="0"/>
  </r>
  <r>
    <n v="27844720"/>
    <x v="0"/>
    <x v="2924"/>
    <s v="IX 616_2022-07-29T21x55x00"/>
    <s v="B737/8"/>
    <x v="1"/>
    <x v="96"/>
    <x v="1"/>
    <s v="Operational"/>
    <s v="IX 616"/>
    <m/>
    <m/>
    <m/>
    <m/>
    <x v="0"/>
    <x v="0"/>
  </r>
  <r>
    <n v="27844730"/>
    <x v="0"/>
    <x v="2925"/>
    <s v="EK 653_2022-07-29T22x00x00"/>
    <s v="B777/3-ER"/>
    <x v="4"/>
    <x v="66"/>
    <x v="0"/>
    <s v="Operational"/>
    <m/>
    <m/>
    <m/>
    <m/>
    <m/>
    <x v="0"/>
    <x v="0"/>
  </r>
  <r>
    <n v="27844760"/>
    <x v="0"/>
    <x v="2926"/>
    <s v="AI 911_2022-07-29T22x40x00"/>
    <s v="B787/8"/>
    <x v="0"/>
    <x v="17"/>
    <x v="3"/>
    <s v="Operational"/>
    <s v="AI 911"/>
    <m/>
    <m/>
    <m/>
    <m/>
    <x v="0"/>
    <x v="0"/>
  </r>
  <r>
    <n v="27844766"/>
    <x v="0"/>
    <x v="2927"/>
    <s v="AI 911_2022-07-29T22x40x00"/>
    <s v="B787/8"/>
    <x v="0"/>
    <x v="17"/>
    <x v="4"/>
    <s v="Operational"/>
    <s v="AI 911"/>
    <m/>
    <m/>
    <m/>
    <m/>
    <x v="0"/>
    <x v="0"/>
  </r>
  <r>
    <n v="27844799"/>
    <x v="0"/>
    <x v="2928"/>
    <s v="EK 362_2022-07-29T22x05x00"/>
    <s v="A380/8"/>
    <x v="2"/>
    <x v="8"/>
    <x v="1"/>
    <s v="Operational"/>
    <s v="EK 362"/>
    <m/>
    <m/>
    <m/>
    <m/>
    <x v="0"/>
    <x v="0"/>
  </r>
  <r>
    <n v="27844813"/>
    <x v="0"/>
    <x v="2929"/>
    <s v="AI 911_2022-07-29T22x40x00"/>
    <s v="B787/8"/>
    <x v="0"/>
    <x v="17"/>
    <x v="15"/>
    <s v="Technical"/>
    <s v="AI 911"/>
    <m/>
    <m/>
    <m/>
    <m/>
    <x v="0"/>
    <x v="0"/>
  </r>
  <r>
    <n v="27844823"/>
    <x v="0"/>
    <x v="2930"/>
    <s v="AT 245_2022-07-29T22x00x00"/>
    <s v="B787/8"/>
    <x v="0"/>
    <x v="88"/>
    <x v="1"/>
    <s v="Operational"/>
    <s v="AT 245"/>
    <m/>
    <m/>
    <m/>
    <m/>
    <x v="0"/>
    <x v="0"/>
  </r>
  <r>
    <n v="27844830"/>
    <x v="0"/>
    <x v="2931"/>
    <s v="AI 911_2022-07-29T22x40x00"/>
    <s v="B787/8"/>
    <x v="0"/>
    <x v="17"/>
    <x v="17"/>
    <s v="Technical"/>
    <s v="AI 911"/>
    <m/>
    <m/>
    <m/>
    <m/>
    <x v="0"/>
    <x v="0"/>
  </r>
  <r>
    <n v="27844890"/>
    <x v="0"/>
    <x v="2932"/>
    <s v="WB 305_2022-07-29T21x50x00"/>
    <s v="B737/8"/>
    <x v="1"/>
    <x v="80"/>
    <x v="1"/>
    <s v="Operational"/>
    <s v="WB 305"/>
    <m/>
    <m/>
    <m/>
    <m/>
    <x v="0"/>
    <x v="0"/>
  </r>
  <r>
    <n v="27844899"/>
    <x v="0"/>
    <x v="2933"/>
    <s v="EK 582_2022-07-29T22x00x00"/>
    <s v="B777/3-ER"/>
    <x v="4"/>
    <x v="13"/>
    <x v="1"/>
    <s v="Operational"/>
    <s v="EK 582"/>
    <m/>
    <m/>
    <m/>
    <m/>
    <x v="0"/>
    <x v="0"/>
  </r>
  <r>
    <n v="27844942"/>
    <x v="0"/>
    <x v="2934"/>
    <s v="FZ 8606_2022-07-29T22x20x00"/>
    <s v="B737/8-MAX"/>
    <x v="1"/>
    <x v="11"/>
    <x v="3"/>
    <s v="Operational"/>
    <s v="FZ 8606"/>
    <m/>
    <m/>
    <m/>
    <m/>
    <x v="0"/>
    <x v="0"/>
  </r>
  <r>
    <n v="27844956"/>
    <x v="0"/>
    <x v="2935"/>
    <s v="LH 630_2022-07-29T18x35x00"/>
    <s v="A330/3"/>
    <x v="0"/>
    <x v="91"/>
    <x v="1"/>
    <s v="Operational"/>
    <m/>
    <m/>
    <m/>
    <m/>
    <m/>
    <x v="0"/>
    <x v="0"/>
  </r>
  <r>
    <n v="27844968"/>
    <x v="0"/>
    <x v="2936"/>
    <s v="AI 911_2022-07-29T22x40x00"/>
    <s v="B787/8"/>
    <x v="0"/>
    <x v="17"/>
    <x v="2"/>
    <s v="Operational"/>
    <s v="AI 911"/>
    <m/>
    <m/>
    <m/>
    <m/>
    <x v="0"/>
    <x v="0"/>
  </r>
  <r>
    <n v="27844982"/>
    <x v="0"/>
    <x v="2937"/>
    <s v="AI 911_2022-07-29T22x40x00"/>
    <s v="B787/8"/>
    <x v="0"/>
    <x v="17"/>
    <x v="0"/>
    <s v="Operational"/>
    <s v="AI 911"/>
    <m/>
    <m/>
    <m/>
    <m/>
    <x v="0"/>
    <x v="0"/>
  </r>
  <r>
    <n v="27844996"/>
    <x v="0"/>
    <x v="2938"/>
    <s v="EK 184_2022-07-29T21x30x00"/>
    <s v="B777/3-ER"/>
    <x v="6"/>
    <x v="24"/>
    <x v="27"/>
    <s v="Operational"/>
    <s v="EK 184"/>
    <m/>
    <m/>
    <m/>
    <m/>
    <x v="0"/>
    <x v="0"/>
  </r>
  <r>
    <n v="27844998"/>
    <x v="0"/>
    <x v="2938"/>
    <s v="EK 529_2022-07-29T21x30x00"/>
    <s v="B777/3-ER"/>
    <x v="6"/>
    <x v="162"/>
    <x v="27"/>
    <s v="Operational"/>
    <s v="EK 529"/>
    <m/>
    <m/>
    <m/>
    <m/>
    <x v="0"/>
    <x v="0"/>
  </r>
  <r>
    <n v="27845005"/>
    <x v="0"/>
    <x v="2939"/>
    <s v="EK 835_2022-07-29T22x00x00"/>
    <s v="B777/3-ER"/>
    <x v="6"/>
    <x v="156"/>
    <x v="1"/>
    <s v="Operational"/>
    <s v="EK 835"/>
    <m/>
    <m/>
    <m/>
    <m/>
    <x v="0"/>
    <x v="0"/>
  </r>
  <r>
    <n v="27845021"/>
    <x v="0"/>
    <x v="2940"/>
    <m/>
    <m/>
    <x v="3"/>
    <x v="5"/>
    <x v="6"/>
    <s v="Operational"/>
    <m/>
    <m/>
    <m/>
    <m/>
    <m/>
    <x v="0"/>
    <x v="0"/>
  </r>
  <r>
    <n v="27845040"/>
    <x v="0"/>
    <x v="2941"/>
    <s v="FZ 8606_2022-07-29T22x20x00"/>
    <s v="B737/8-MAX"/>
    <x v="1"/>
    <x v="11"/>
    <x v="4"/>
    <s v="Operational"/>
    <s v="FZ 8606"/>
    <m/>
    <m/>
    <m/>
    <m/>
    <x v="0"/>
    <x v="0"/>
  </r>
  <r>
    <n v="27845044"/>
    <x v="0"/>
    <x v="2942"/>
    <s v="KQ 311_2022-07-29T21x45x00"/>
    <s v="B787/8"/>
    <x v="5"/>
    <x v="114"/>
    <x v="1"/>
    <s v="Operational"/>
    <s v="KQ 311"/>
    <m/>
    <m/>
    <m/>
    <m/>
    <x v="0"/>
    <x v="0"/>
  </r>
  <r>
    <n v="27845064"/>
    <x v="0"/>
    <x v="2943"/>
    <s v="EK 071_2022-07-30T00x05x00"/>
    <s v="B777/3-ER"/>
    <x v="3"/>
    <x v="5"/>
    <x v="2"/>
    <s v="Operational"/>
    <s v="EK 071"/>
    <m/>
    <m/>
    <m/>
    <m/>
    <x v="0"/>
    <x v="0"/>
  </r>
  <r>
    <n v="27845070"/>
    <x v="0"/>
    <x v="2944"/>
    <s v="EK 721_2022-07-29T22x15x00"/>
    <s v="B777/3-ER"/>
    <x v="4"/>
    <x v="97"/>
    <x v="1"/>
    <s v="Operational"/>
    <s v="EK 721"/>
    <m/>
    <m/>
    <m/>
    <m/>
    <x v="0"/>
    <x v="0"/>
  </r>
  <r>
    <n v="27845077"/>
    <x v="0"/>
    <x v="2945"/>
    <s v="FZ 8606_2022-07-29T22x20x00"/>
    <s v="B737/8-MAX"/>
    <x v="1"/>
    <x v="11"/>
    <x v="2"/>
    <s v="Operational"/>
    <s v="FZ 8606"/>
    <m/>
    <m/>
    <m/>
    <m/>
    <x v="0"/>
    <x v="0"/>
  </r>
  <r>
    <n v="27845081"/>
    <x v="0"/>
    <x v="2946"/>
    <s v="EK 071_2022-07-30T00x05x00"/>
    <s v="B777/3-ER"/>
    <x v="3"/>
    <x v="5"/>
    <x v="0"/>
    <s v="Operational"/>
    <s v="EK 071"/>
    <m/>
    <m/>
    <m/>
    <m/>
    <x v="0"/>
    <x v="0"/>
  </r>
  <r>
    <n v="27845090"/>
    <x v="0"/>
    <x v="2947"/>
    <s v="EK 414_2022-07-29T22x15x00"/>
    <s v="A380/8"/>
    <x v="4"/>
    <x v="103"/>
    <x v="1"/>
    <s v="Operational"/>
    <s v="EK 414"/>
    <m/>
    <m/>
    <m/>
    <m/>
    <x v="0"/>
    <x v="0"/>
  </r>
  <r>
    <n v="27845092"/>
    <x v="0"/>
    <x v="2947"/>
    <s v="FZ 8606_2022-07-29T22x20x00"/>
    <s v="B737/8-MAX"/>
    <x v="1"/>
    <x v="11"/>
    <x v="0"/>
    <s v="Operational"/>
    <s v="FZ 8606"/>
    <m/>
    <m/>
    <m/>
    <m/>
    <x v="0"/>
    <x v="0"/>
  </r>
  <r>
    <n v="27845128"/>
    <x v="0"/>
    <x v="2948"/>
    <s v="EK 705_2022-07-29T22x15x00"/>
    <s v="B777/3-ER"/>
    <x v="3"/>
    <x v="19"/>
    <x v="1"/>
    <s v="Operational"/>
    <s v="EK 705"/>
    <m/>
    <m/>
    <m/>
    <m/>
    <x v="0"/>
    <x v="0"/>
  </r>
  <r>
    <n v="27845144"/>
    <x v="0"/>
    <x v="2949"/>
    <s v="IX 384_2022-07-29T19x30x00"/>
    <s v="B737/8"/>
    <x v="1"/>
    <x v="6"/>
    <x v="1"/>
    <s v="Operational"/>
    <s v="IX 384"/>
    <m/>
    <m/>
    <m/>
    <m/>
    <x v="0"/>
    <x v="0"/>
  </r>
  <r>
    <n v="27845166"/>
    <x v="0"/>
    <x v="2950"/>
    <s v="SG 014_2022-07-29T22x10x00"/>
    <s v="B737/8"/>
    <x v="0"/>
    <x v="63"/>
    <x v="1"/>
    <s v="Operational"/>
    <s v="SG 014"/>
    <m/>
    <m/>
    <m/>
    <m/>
    <x v="0"/>
    <x v="0"/>
  </r>
  <r>
    <n v="27845192"/>
    <x v="0"/>
    <x v="2951"/>
    <s v="EK 184_2022-07-29T19x55x00"/>
    <s v="B777/3-ER"/>
    <x v="2"/>
    <x v="27"/>
    <x v="1"/>
    <s v="Operational"/>
    <m/>
    <m/>
    <m/>
    <m/>
    <m/>
    <x v="0"/>
    <x v="0"/>
  </r>
  <r>
    <n v="27845196"/>
    <x v="0"/>
    <x v="2952"/>
    <s v="EK 729_2022-07-30T05x55x00"/>
    <s v="B777/3-ER"/>
    <x v="6"/>
    <x v="160"/>
    <x v="1"/>
    <s v="Operational"/>
    <m/>
    <m/>
    <m/>
    <m/>
    <m/>
    <x v="0"/>
    <x v="0"/>
  </r>
  <r>
    <n v="27845204"/>
    <x v="0"/>
    <x v="2953"/>
    <s v="FZ 1570_2022-07-29T23x10x00"/>
    <s v="B737/9-MAX"/>
    <x v="5"/>
    <x v="147"/>
    <x v="3"/>
    <s v="Operational"/>
    <s v="FZ 1570"/>
    <m/>
    <m/>
    <m/>
    <m/>
    <x v="0"/>
    <x v="0"/>
  </r>
  <r>
    <n v="27845211"/>
    <x v="0"/>
    <x v="2954"/>
    <s v="FZ 571_2022-07-29T22x15x00"/>
    <s v="B737/8"/>
    <x v="1"/>
    <x v="72"/>
    <x v="1"/>
    <s v="Operational"/>
    <s v="FZ 571"/>
    <m/>
    <m/>
    <m/>
    <m/>
    <x v="0"/>
    <x v="0"/>
  </r>
  <r>
    <n v="27845226"/>
    <x v="0"/>
    <x v="2955"/>
    <m/>
    <m/>
    <x v="4"/>
    <x v="13"/>
    <x v="6"/>
    <s v="Operational"/>
    <m/>
    <m/>
    <m/>
    <m/>
    <m/>
    <x v="0"/>
    <x v="0"/>
  </r>
  <r>
    <n v="27845237"/>
    <x v="0"/>
    <x v="2956"/>
    <s v="EK 2551_2022-07-29T22x05x00"/>
    <s v="A380/8"/>
    <x v="5"/>
    <x v="95"/>
    <x v="1"/>
    <s v="Operational"/>
    <s v="EK 2551"/>
    <m/>
    <m/>
    <m/>
    <m/>
    <x v="0"/>
    <x v="0"/>
  </r>
  <r>
    <n v="27845245"/>
    <x v="0"/>
    <x v="2957"/>
    <s v="EK 2568_2022-07-29T21x10x00"/>
    <s v="A380/8"/>
    <x v="5"/>
    <x v="95"/>
    <x v="3"/>
    <s v="Operational"/>
    <s v="EK 2568"/>
    <m/>
    <m/>
    <m/>
    <m/>
    <x v="0"/>
    <x v="0"/>
  </r>
  <r>
    <n v="27845252"/>
    <x v="0"/>
    <x v="2958"/>
    <s v="6E 071_2022-07-29T22x55x00"/>
    <s v="A320-NEO"/>
    <x v="0"/>
    <x v="3"/>
    <x v="3"/>
    <s v="Operational"/>
    <s v="6E 071"/>
    <m/>
    <m/>
    <m/>
    <m/>
    <x v="0"/>
    <x v="0"/>
  </r>
  <r>
    <n v="27845276"/>
    <x v="0"/>
    <x v="2959"/>
    <s v="EK 231_2022-07-29T22x25x00"/>
    <s v="A380/8"/>
    <x v="3"/>
    <x v="51"/>
    <x v="1"/>
    <s v="Operational"/>
    <s v="EK 231"/>
    <m/>
    <m/>
    <m/>
    <m/>
    <x v="0"/>
    <x v="0"/>
  </r>
  <r>
    <n v="27845291"/>
    <x v="0"/>
    <x v="2960"/>
    <s v="IX 356_2022-07-29T22x25x00"/>
    <s v="B737/8"/>
    <x v="1"/>
    <x v="116"/>
    <x v="1"/>
    <s v="Operational"/>
    <s v="IX 356"/>
    <m/>
    <m/>
    <m/>
    <m/>
    <x v="0"/>
    <x v="0"/>
  </r>
  <r>
    <n v="27845308"/>
    <x v="0"/>
    <x v="2961"/>
    <s v="EK 656_2022-07-29T22x30x00"/>
    <s v="B777/3-ER"/>
    <x v="2"/>
    <x v="112"/>
    <x v="1"/>
    <s v="Operational"/>
    <s v="EK 656"/>
    <m/>
    <m/>
    <m/>
    <m/>
    <x v="0"/>
    <x v="0"/>
  </r>
  <r>
    <n v="27845314"/>
    <x v="0"/>
    <x v="2962"/>
    <s v="EK 823_2022-07-29T22x25x00"/>
    <s v="B777/3-ER"/>
    <x v="6"/>
    <x v="148"/>
    <x v="1"/>
    <s v="Operational"/>
    <s v="EK 823"/>
    <m/>
    <m/>
    <m/>
    <m/>
    <x v="0"/>
    <x v="0"/>
  </r>
  <r>
    <n v="27845326"/>
    <x v="0"/>
    <x v="2963"/>
    <s v="BI 007_2022-07-29T22x55x00"/>
    <s v="B787/8"/>
    <x v="0"/>
    <x v="22"/>
    <x v="3"/>
    <s v="Operational"/>
    <s v="BI 007"/>
    <m/>
    <m/>
    <m/>
    <m/>
    <x v="0"/>
    <x v="0"/>
  </r>
  <r>
    <n v="27845337"/>
    <x v="0"/>
    <x v="2964"/>
    <s v="FZ 1570_2022-07-29T23x10x00"/>
    <s v="B737/9-MAX"/>
    <x v="5"/>
    <x v="147"/>
    <x v="4"/>
    <s v="Operational"/>
    <s v="FZ 1570"/>
    <m/>
    <m/>
    <m/>
    <m/>
    <x v="0"/>
    <x v="0"/>
  </r>
  <r>
    <n v="27845343"/>
    <x v="0"/>
    <x v="2965"/>
    <s v="EK 398_2022-07-29T22x20x00"/>
    <s v="B777/3-ER"/>
    <x v="4"/>
    <x v="123"/>
    <x v="1"/>
    <s v="Operational"/>
    <s v="EK 398"/>
    <m/>
    <m/>
    <m/>
    <m/>
    <x v="0"/>
    <x v="0"/>
  </r>
  <r>
    <n v="27845361"/>
    <x v="0"/>
    <x v="2966"/>
    <s v="FZ 1207_2022-07-29T22x10x00"/>
    <s v="B737/9-MAX"/>
    <x v="5"/>
    <x v="71"/>
    <x v="1"/>
    <s v="Operational"/>
    <s v="FZ 1207"/>
    <m/>
    <m/>
    <m/>
    <m/>
    <x v="0"/>
    <x v="0"/>
  </r>
  <r>
    <n v="27845378"/>
    <x v="0"/>
    <x v="2967"/>
    <s v="EK 2568_2022-07-29T21x10x00"/>
    <s v="A380/8"/>
    <x v="5"/>
    <x v="95"/>
    <x v="4"/>
    <s v="Operational"/>
    <s v="EK 2568"/>
    <m/>
    <m/>
    <m/>
    <m/>
    <x v="0"/>
    <x v="0"/>
  </r>
  <r>
    <n v="27845392"/>
    <x v="0"/>
    <x v="2968"/>
    <s v="BI 007_2022-07-29T22x55x00"/>
    <s v="B787/8"/>
    <x v="0"/>
    <x v="22"/>
    <x v="4"/>
    <s v="Operational"/>
    <s v="BI 007"/>
    <m/>
    <m/>
    <m/>
    <m/>
    <x v="0"/>
    <x v="0"/>
  </r>
  <r>
    <n v="27845399"/>
    <x v="0"/>
    <x v="2969"/>
    <s v="FZ 058_2022-07-29T22x25x00"/>
    <s v="B737/8"/>
    <x v="1"/>
    <x v="83"/>
    <x v="3"/>
    <s v="Operational"/>
    <s v="FZ 058"/>
    <m/>
    <m/>
    <m/>
    <m/>
    <x v="0"/>
    <x v="0"/>
  </r>
  <r>
    <n v="27845402"/>
    <x v="0"/>
    <x v="2970"/>
    <s v="TK 761_2022-07-29T22x05x00"/>
    <s v="B777/3-ER"/>
    <x v="0"/>
    <x v="113"/>
    <x v="1"/>
    <s v="Operational"/>
    <s v="TK 761"/>
    <m/>
    <m/>
    <m/>
    <m/>
    <x v="0"/>
    <x v="0"/>
  </r>
  <r>
    <n v="27845412"/>
    <x v="0"/>
    <x v="2971"/>
    <s v="FZ 058_2022-07-29T22x25x00"/>
    <s v="B737/8"/>
    <x v="1"/>
    <x v="83"/>
    <x v="4"/>
    <s v="Operational"/>
    <s v="FZ 058"/>
    <m/>
    <m/>
    <m/>
    <m/>
    <x v="0"/>
    <x v="0"/>
  </r>
  <r>
    <n v="27845445"/>
    <x v="0"/>
    <x v="2972"/>
    <s v="5J 017_2022-07-29T22x25x00"/>
    <s v="A330/9"/>
    <x v="0"/>
    <x v="92"/>
    <x v="1"/>
    <s v="Operational"/>
    <s v="5J 017"/>
    <m/>
    <m/>
    <m/>
    <m/>
    <x v="0"/>
    <x v="0"/>
  </r>
  <r>
    <n v="27845468"/>
    <x v="0"/>
    <x v="2973"/>
    <s v="FZ 433_2022-07-29T22x00x00"/>
    <s v="B737/8"/>
    <x v="1"/>
    <x v="87"/>
    <x v="1"/>
    <s v="Operational"/>
    <s v="FZ 433"/>
    <m/>
    <m/>
    <m/>
    <m/>
    <x v="0"/>
    <x v="0"/>
  </r>
  <r>
    <n v="27845482"/>
    <x v="0"/>
    <x v="2974"/>
    <m/>
    <m/>
    <x v="6"/>
    <x v="24"/>
    <x v="6"/>
    <s v="Operational"/>
    <m/>
    <m/>
    <m/>
    <m/>
    <m/>
    <x v="0"/>
    <x v="0"/>
  </r>
  <r>
    <n v="27845492"/>
    <x v="0"/>
    <x v="2975"/>
    <m/>
    <m/>
    <x v="2"/>
    <x v="8"/>
    <x v="6"/>
    <s v="Operational"/>
    <m/>
    <m/>
    <m/>
    <m/>
    <m/>
    <x v="0"/>
    <x v="0"/>
  </r>
  <r>
    <n v="27845497"/>
    <x v="0"/>
    <x v="2976"/>
    <s v="6E 071_2022-07-29T22x55x00"/>
    <s v="A320-NEO"/>
    <x v="0"/>
    <x v="3"/>
    <x v="10"/>
    <s v="Operational"/>
    <s v="6E 071"/>
    <m/>
    <m/>
    <m/>
    <m/>
    <x v="0"/>
    <x v="0"/>
  </r>
  <r>
    <n v="27845498"/>
    <x v="0"/>
    <x v="2977"/>
    <s v="6E 071_2022-07-29T22x55x00"/>
    <s v="A320-NEO"/>
    <x v="0"/>
    <x v="3"/>
    <x v="11"/>
    <s v="Operational"/>
    <s v="6E 071"/>
    <m/>
    <m/>
    <m/>
    <m/>
    <x v="0"/>
    <x v="0"/>
  </r>
  <r>
    <n v="27845526"/>
    <x v="0"/>
    <x v="2978"/>
    <s v="EK 2568_2022-07-29T21x10x00"/>
    <s v="A380/8"/>
    <x v="5"/>
    <x v="95"/>
    <x v="2"/>
    <s v="Operational"/>
    <s v="EK 2568"/>
    <m/>
    <m/>
    <m/>
    <m/>
    <x v="0"/>
    <x v="0"/>
  </r>
  <r>
    <n v="27845528"/>
    <x v="0"/>
    <x v="2979"/>
    <s v="FZ 1570_2022-07-29T23x10x00"/>
    <s v="B737/9-MAX"/>
    <x v="5"/>
    <x v="147"/>
    <x v="2"/>
    <s v="Operational"/>
    <s v="FZ 1570"/>
    <m/>
    <m/>
    <m/>
    <m/>
    <x v="0"/>
    <x v="0"/>
  </r>
  <r>
    <n v="27845529"/>
    <x v="0"/>
    <x v="2980"/>
    <s v="EK 570_2022-07-29T22x05x00"/>
    <s v="B777/3-ER"/>
    <x v="3"/>
    <x v="37"/>
    <x v="1"/>
    <s v="Operational"/>
    <s v="EK 570"/>
    <m/>
    <m/>
    <m/>
    <m/>
    <x v="0"/>
    <x v="0"/>
  </r>
  <r>
    <n v="27845536"/>
    <x v="0"/>
    <x v="2981"/>
    <s v="EK 030_2022-07-29T22x45x00"/>
    <s v="A380/8"/>
    <x v="3"/>
    <x v="37"/>
    <x v="3"/>
    <s v="Operational"/>
    <s v="EK 030"/>
    <m/>
    <m/>
    <m/>
    <m/>
    <x v="0"/>
    <x v="0"/>
  </r>
  <r>
    <n v="27845547"/>
    <x v="0"/>
    <x v="2982"/>
    <s v="FZ 144_2022-07-29T22x20x00"/>
    <s v="B737/8"/>
    <x v="1"/>
    <x v="1"/>
    <x v="3"/>
    <s v="Operational"/>
    <s v="FZ 144"/>
    <m/>
    <m/>
    <m/>
    <m/>
    <x v="0"/>
    <x v="0"/>
  </r>
  <r>
    <n v="27845552"/>
    <x v="0"/>
    <x v="2983"/>
    <s v="FZ 144_2022-07-29T22x20x00"/>
    <s v="B737/8"/>
    <x v="1"/>
    <x v="1"/>
    <x v="4"/>
    <s v="Operational"/>
    <s v="FZ 144"/>
    <m/>
    <m/>
    <m/>
    <m/>
    <x v="0"/>
    <x v="0"/>
  </r>
  <r>
    <n v="27845570"/>
    <x v="0"/>
    <x v="2984"/>
    <s v="FZ 1570_2022-07-29T23x10x00"/>
    <s v="B737/9-MAX"/>
    <x v="5"/>
    <x v="147"/>
    <x v="0"/>
    <s v="Operational"/>
    <s v="FZ 1570"/>
    <m/>
    <m/>
    <m/>
    <m/>
    <x v="0"/>
    <x v="0"/>
  </r>
  <r>
    <n v="27845578"/>
    <x v="0"/>
    <x v="2985"/>
    <s v="EK 2568_2022-07-29T21x10x00"/>
    <s v="A380/8"/>
    <x v="5"/>
    <x v="95"/>
    <x v="0"/>
    <s v="Operational"/>
    <s v="EK 2568"/>
    <m/>
    <m/>
    <m/>
    <m/>
    <x v="0"/>
    <x v="0"/>
  </r>
  <r>
    <n v="27845607"/>
    <x v="0"/>
    <x v="2986"/>
    <s v="6E 071_2022-07-29T22x55x00"/>
    <s v="A320-NEO"/>
    <x v="0"/>
    <x v="3"/>
    <x v="2"/>
    <s v="Operational"/>
    <s v="6E 071"/>
    <m/>
    <m/>
    <m/>
    <m/>
    <x v="0"/>
    <x v="0"/>
  </r>
  <r>
    <n v="27845614"/>
    <x v="0"/>
    <x v="2987"/>
    <s v="EK 030_2022-07-29T22x45x00"/>
    <s v="A380/8"/>
    <x v="3"/>
    <x v="37"/>
    <x v="4"/>
    <s v="Operational"/>
    <s v="EK 030"/>
    <m/>
    <m/>
    <m/>
    <m/>
    <x v="0"/>
    <x v="0"/>
  </r>
  <r>
    <n v="27845626"/>
    <x v="0"/>
    <x v="2988"/>
    <s v="6E 071_2022-07-29T22x55x00"/>
    <s v="A320-NEO"/>
    <x v="0"/>
    <x v="3"/>
    <x v="0"/>
    <s v="Operational"/>
    <s v="6E 071"/>
    <m/>
    <m/>
    <m/>
    <m/>
    <x v="0"/>
    <x v="0"/>
  </r>
  <r>
    <n v="27845641"/>
    <x v="0"/>
    <x v="2989"/>
    <s v="FZ 429_2022-07-29T21x35x00"/>
    <s v="B737/8"/>
    <x v="1"/>
    <x v="34"/>
    <x v="1"/>
    <s v="Operational"/>
    <s v="FZ 429"/>
    <m/>
    <m/>
    <m/>
    <m/>
    <x v="0"/>
    <x v="0"/>
  </r>
  <r>
    <n v="27845664"/>
    <x v="0"/>
    <x v="2990"/>
    <s v="FZ 058_2022-07-29T22x25x00"/>
    <s v="B737/8"/>
    <x v="1"/>
    <x v="83"/>
    <x v="2"/>
    <s v="Operational"/>
    <s v="FZ 058"/>
    <m/>
    <m/>
    <m/>
    <m/>
    <x v="0"/>
    <x v="0"/>
  </r>
  <r>
    <n v="27845668"/>
    <x v="0"/>
    <x v="2991"/>
    <s v="FZ 058_2022-07-29T22x25x00"/>
    <s v="B737/8"/>
    <x v="1"/>
    <x v="83"/>
    <x v="0"/>
    <s v="Operational"/>
    <s v="FZ 058"/>
    <m/>
    <m/>
    <m/>
    <m/>
    <x v="0"/>
    <x v="0"/>
  </r>
  <r>
    <n v="27845692"/>
    <x v="0"/>
    <x v="2992"/>
    <s v="FZ 1679_2022-07-29T22x30x00"/>
    <s v="B737/8-MAX"/>
    <x v="5"/>
    <x v="120"/>
    <x v="1"/>
    <s v="Operational"/>
    <s v="FZ 1679"/>
    <m/>
    <m/>
    <m/>
    <m/>
    <x v="0"/>
    <x v="0"/>
  </r>
  <r>
    <n v="27845702"/>
    <x v="0"/>
    <x v="2993"/>
    <s v="BI 007_2022-07-29T22x55x00"/>
    <s v="B787/8"/>
    <x v="0"/>
    <x v="22"/>
    <x v="2"/>
    <s v="Operational"/>
    <s v="BI 007"/>
    <m/>
    <m/>
    <m/>
    <m/>
    <x v="0"/>
    <x v="0"/>
  </r>
  <r>
    <n v="27845720"/>
    <x v="0"/>
    <x v="2994"/>
    <s v="EK 356_2022-07-30T00x10x00"/>
    <s v="B777/3-ER"/>
    <x v="4"/>
    <x v="13"/>
    <x v="2"/>
    <s v="Operational"/>
    <s v="EK 356"/>
    <m/>
    <m/>
    <m/>
    <m/>
    <x v="0"/>
    <x v="0"/>
  </r>
  <r>
    <n v="27845722"/>
    <x v="0"/>
    <x v="2995"/>
    <s v="BI 007_2022-07-29T22x55x00"/>
    <s v="B787/8"/>
    <x v="0"/>
    <x v="22"/>
    <x v="0"/>
    <s v="Operational"/>
    <s v="BI 007"/>
    <m/>
    <m/>
    <m/>
    <m/>
    <x v="0"/>
    <x v="0"/>
  </r>
  <r>
    <n v="27845736"/>
    <x v="0"/>
    <x v="2996"/>
    <s v="EK 318_2022-07-29T22x40x00"/>
    <s v="B777/3-ER"/>
    <x v="3"/>
    <x v="26"/>
    <x v="1"/>
    <s v="Operational"/>
    <s v="EK 318"/>
    <m/>
    <m/>
    <m/>
    <m/>
    <x v="0"/>
    <x v="0"/>
  </r>
  <r>
    <n v="27845748"/>
    <x v="0"/>
    <x v="2997"/>
    <m/>
    <s v="B777/3-ER"/>
    <x v="6"/>
    <x v="24"/>
    <x v="2"/>
    <s v="Operational"/>
    <m/>
    <m/>
    <m/>
    <m/>
    <m/>
    <x v="0"/>
    <x v="0"/>
  </r>
  <r>
    <n v="27845749"/>
    <x v="0"/>
    <x v="2998"/>
    <s v="EK 356_2022-07-30T00x10x00"/>
    <s v="B777/3-ER"/>
    <x v="4"/>
    <x v="13"/>
    <x v="0"/>
    <s v="Operational"/>
    <s v="EK 356"/>
    <m/>
    <m/>
    <m/>
    <m/>
    <x v="0"/>
    <x v="0"/>
  </r>
  <r>
    <n v="27845758"/>
    <x v="0"/>
    <x v="2999"/>
    <s v="EK 701_2022-07-29T22x35x00"/>
    <s v="A380/8"/>
    <x v="4"/>
    <x v="55"/>
    <x v="1"/>
    <s v="Operational"/>
    <s v="EK 701"/>
    <m/>
    <m/>
    <m/>
    <m/>
    <x v="0"/>
    <x v="0"/>
  </r>
  <r>
    <n v="27845771"/>
    <x v="0"/>
    <x v="3000"/>
    <m/>
    <s v="B777/3-ER"/>
    <x v="6"/>
    <x v="24"/>
    <x v="0"/>
    <s v="Operational"/>
    <m/>
    <m/>
    <m/>
    <m/>
    <m/>
    <x v="0"/>
    <x v="0"/>
  </r>
  <r>
    <n v="27845785"/>
    <x v="0"/>
    <x v="3001"/>
    <s v="EK 030_2022-07-29T22x45x00"/>
    <s v="A380/8"/>
    <x v="3"/>
    <x v="37"/>
    <x v="2"/>
    <s v="Operational"/>
    <s v="EK 030"/>
    <m/>
    <m/>
    <m/>
    <m/>
    <x v="0"/>
    <x v="0"/>
  </r>
  <r>
    <n v="27845791"/>
    <x v="0"/>
    <x v="3002"/>
    <s v="EK 030_2022-07-29T22x45x00"/>
    <s v="A380/8"/>
    <x v="3"/>
    <x v="37"/>
    <x v="0"/>
    <s v="Operational"/>
    <s v="EK 030"/>
    <m/>
    <m/>
    <m/>
    <m/>
    <x v="0"/>
    <x v="0"/>
  </r>
  <r>
    <n v="27845802"/>
    <x v="0"/>
    <x v="3003"/>
    <s v="FZ 144_2022-07-29T22x20x00"/>
    <s v="B737/8"/>
    <x v="1"/>
    <x v="1"/>
    <x v="2"/>
    <s v="Operational"/>
    <s v="FZ 144"/>
    <m/>
    <m/>
    <m/>
    <m/>
    <x v="0"/>
    <x v="0"/>
  </r>
  <r>
    <n v="27845808"/>
    <x v="0"/>
    <x v="3004"/>
    <s v="SG 024_2022-07-29T22x15x00"/>
    <s v="B737/8"/>
    <x v="0"/>
    <x v="63"/>
    <x v="1"/>
    <s v="Operational"/>
    <s v="SG 024"/>
    <m/>
    <m/>
    <m/>
    <m/>
    <x v="0"/>
    <x v="0"/>
  </r>
  <r>
    <n v="27845848"/>
    <x v="0"/>
    <x v="3005"/>
    <s v="EK 007_2022-07-29T22x30x00"/>
    <s v="A380/8"/>
    <x v="3"/>
    <x v="46"/>
    <x v="1"/>
    <s v="Operational"/>
    <s v="EK 007"/>
    <m/>
    <m/>
    <m/>
    <m/>
    <x v="0"/>
    <x v="0"/>
  </r>
  <r>
    <n v="27845854"/>
    <x v="0"/>
    <x v="3006"/>
    <s v="FZ 144_2022-07-29T22x20x00"/>
    <s v="B737/8"/>
    <x v="1"/>
    <x v="1"/>
    <x v="0"/>
    <s v="Operational"/>
    <s v="FZ 144"/>
    <m/>
    <m/>
    <m/>
    <m/>
    <x v="0"/>
    <x v="0"/>
  </r>
  <r>
    <n v="27845903"/>
    <x v="0"/>
    <x v="3007"/>
    <s v="EK 430_2022-07-29T22x30x00"/>
    <s v="A380/8"/>
    <x v="4"/>
    <x v="126"/>
    <x v="1"/>
    <s v="Operational"/>
    <s v="EK 430"/>
    <m/>
    <m/>
    <m/>
    <m/>
    <x v="0"/>
    <x v="0"/>
  </r>
  <r>
    <n v="27845918"/>
    <x v="0"/>
    <x v="3008"/>
    <s v="EK 097_2022-07-30T05x10x00"/>
    <s v="A380/8"/>
    <x v="2"/>
    <x v="8"/>
    <x v="2"/>
    <s v="Operational"/>
    <s v="EK 097"/>
    <m/>
    <m/>
    <m/>
    <m/>
    <x v="0"/>
    <x v="0"/>
  </r>
  <r>
    <n v="27845932"/>
    <x v="0"/>
    <x v="3009"/>
    <s v="EK 097_2022-07-30T05x10x00"/>
    <s v="A380/8"/>
    <x v="2"/>
    <x v="8"/>
    <x v="0"/>
    <s v="Operational"/>
    <s v="EK 097"/>
    <m/>
    <m/>
    <m/>
    <m/>
    <x v="0"/>
    <x v="0"/>
  </r>
  <r>
    <n v="27845948"/>
    <x v="0"/>
    <x v="3010"/>
    <s v="EK 650_2022-07-29T22x40x00"/>
    <s v="B777/3-ER"/>
    <x v="2"/>
    <x v="105"/>
    <x v="1"/>
    <s v="Operational"/>
    <s v="EK 650"/>
    <m/>
    <m/>
    <m/>
    <m/>
    <x v="0"/>
    <x v="0"/>
  </r>
  <r>
    <n v="27845972"/>
    <x v="0"/>
    <x v="3011"/>
    <s v="EK 420_2022-07-29T22x45x00"/>
    <s v="B777/3-ER"/>
    <x v="2"/>
    <x v="10"/>
    <x v="1"/>
    <s v="Operational"/>
    <s v="EK 420"/>
    <m/>
    <m/>
    <m/>
    <m/>
    <x v="0"/>
    <x v="0"/>
  </r>
  <r>
    <n v="27845979"/>
    <x v="0"/>
    <x v="3012"/>
    <s v="EK 379_2022-07-29T23x05x00"/>
    <s v="B777/3-ER"/>
    <x v="2"/>
    <x v="10"/>
    <x v="3"/>
    <s v="Operational"/>
    <s v="EK 379"/>
    <m/>
    <m/>
    <m/>
    <m/>
    <x v="0"/>
    <x v="0"/>
  </r>
  <r>
    <n v="27845993"/>
    <x v="0"/>
    <x v="3013"/>
    <s v="WY 601_2022-07-29T23x10x00"/>
    <s v="B737/8-MAX"/>
    <x v="0"/>
    <x v="63"/>
    <x v="3"/>
    <s v="Operational"/>
    <s v="WY 601"/>
    <m/>
    <m/>
    <m/>
    <m/>
    <x v="0"/>
    <x v="0"/>
  </r>
  <r>
    <n v="27846006"/>
    <x v="0"/>
    <x v="3014"/>
    <s v="EK 544_2022-07-29T22x45x00"/>
    <s v="B777/3-ER"/>
    <x v="3"/>
    <x v="59"/>
    <x v="1"/>
    <s v="Operational"/>
    <s v="EK 544"/>
    <m/>
    <m/>
    <m/>
    <m/>
    <x v="0"/>
    <x v="0"/>
  </r>
  <r>
    <n v="27846041"/>
    <x v="0"/>
    <x v="3015"/>
    <s v="EK 011_2022-07-29T22x30x00"/>
    <s v="B777/3-ER"/>
    <x v="2"/>
    <x v="109"/>
    <x v="1"/>
    <s v="Operational"/>
    <s v="EK 011"/>
    <m/>
    <m/>
    <m/>
    <m/>
    <x v="0"/>
    <x v="0"/>
  </r>
  <r>
    <n v="27846050"/>
    <x v="0"/>
    <x v="3016"/>
    <m/>
    <m/>
    <x v="3"/>
    <x v="46"/>
    <x v="7"/>
    <s v="Operational"/>
    <m/>
    <m/>
    <m/>
    <m/>
    <m/>
    <x v="0"/>
    <x v="0"/>
  </r>
  <r>
    <n v="27846067"/>
    <x v="0"/>
    <x v="3017"/>
    <s v="EK 256_2022-07-29T20x15x00"/>
    <s v="B777/2-LR"/>
    <x v="3"/>
    <x v="94"/>
    <x v="1"/>
    <s v="Operational"/>
    <m/>
    <m/>
    <m/>
    <m/>
    <m/>
    <x v="0"/>
    <x v="0"/>
  </r>
  <r>
    <n v="27846079"/>
    <x v="0"/>
    <x v="3018"/>
    <s v="EK 379_2022-07-29T23x05x00"/>
    <s v="B777/3-ER"/>
    <x v="2"/>
    <x v="10"/>
    <x v="4"/>
    <s v="Operational"/>
    <s v="EK 379"/>
    <m/>
    <m/>
    <m/>
    <m/>
    <x v="0"/>
    <x v="0"/>
  </r>
  <r>
    <n v="27846087"/>
    <x v="0"/>
    <x v="3019"/>
    <s v="WY 601_2022-07-29T23x10x00"/>
    <s v="B737/8-MAX"/>
    <x v="0"/>
    <x v="63"/>
    <x v="10"/>
    <s v="Operational"/>
    <s v="WY 601"/>
    <m/>
    <m/>
    <m/>
    <m/>
    <x v="0"/>
    <x v="0"/>
  </r>
  <r>
    <n v="27846088"/>
    <x v="0"/>
    <x v="3019"/>
    <s v="WY 601_2022-07-29T23x10x00"/>
    <s v="B737/8-MAX"/>
    <x v="0"/>
    <x v="63"/>
    <x v="11"/>
    <s v="Operational"/>
    <s v="WY 601"/>
    <m/>
    <m/>
    <m/>
    <m/>
    <x v="0"/>
    <x v="0"/>
  </r>
  <r>
    <n v="27846095"/>
    <x v="0"/>
    <x v="3020"/>
    <s v="EK 379_2022-07-29T23x05x00"/>
    <s v="B777/3-ER"/>
    <x v="2"/>
    <x v="10"/>
    <x v="2"/>
    <s v="Operational"/>
    <s v="EK 379"/>
    <m/>
    <m/>
    <m/>
    <m/>
    <x v="0"/>
    <x v="0"/>
  </r>
  <r>
    <n v="27846102"/>
    <x v="0"/>
    <x v="3021"/>
    <s v="EK 379_2022-07-29T23x05x00"/>
    <s v="B777/3-ER"/>
    <x v="2"/>
    <x v="10"/>
    <x v="0"/>
    <s v="Operational"/>
    <s v="EK 379"/>
    <m/>
    <m/>
    <m/>
    <m/>
    <x v="0"/>
    <x v="0"/>
  </r>
  <r>
    <n v="27846147"/>
    <x v="0"/>
    <x v="3022"/>
    <s v="EK 378_2022-07-29T23x00x00"/>
    <s v="B777/3"/>
    <x v="2"/>
    <x v="115"/>
    <x v="1"/>
    <s v="Operational"/>
    <s v="EK 378"/>
    <m/>
    <m/>
    <m/>
    <m/>
    <x v="0"/>
    <x v="0"/>
  </r>
  <r>
    <n v="27846174"/>
    <x v="0"/>
    <x v="3023"/>
    <s v="EK 316_2022-07-29T23x00x00"/>
    <s v="B777/3-ER"/>
    <x v="6"/>
    <x v="127"/>
    <x v="1"/>
    <s v="Operational"/>
    <s v="EK 316"/>
    <m/>
    <m/>
    <m/>
    <m/>
    <x v="0"/>
    <x v="0"/>
  </r>
  <r>
    <n v="27846197"/>
    <x v="0"/>
    <x v="3024"/>
    <s v="FX 008_2022-07-29T23x15x00"/>
    <s v="B777/2"/>
    <x v="1"/>
    <x v="93"/>
    <x v="3"/>
    <s v="Operational"/>
    <s v="FX 008"/>
    <m/>
    <m/>
    <m/>
    <m/>
    <x v="0"/>
    <x v="0"/>
  </r>
  <r>
    <n v="27846200"/>
    <x v="0"/>
    <x v="3025"/>
    <s v="FX 008_2022-07-29T23x15x00"/>
    <s v="B777/2"/>
    <x v="1"/>
    <x v="93"/>
    <x v="4"/>
    <s v="Operational"/>
    <s v="FX 008"/>
    <m/>
    <m/>
    <m/>
    <m/>
    <x v="0"/>
    <x v="0"/>
  </r>
  <r>
    <n v="27846214"/>
    <x v="0"/>
    <x v="3026"/>
    <s v="EK 338_2022-07-29T22x55x00"/>
    <s v="B777/3-ER"/>
    <x v="2"/>
    <x v="90"/>
    <x v="1"/>
    <s v="Operational"/>
    <s v="EK 338"/>
    <m/>
    <m/>
    <m/>
    <m/>
    <x v="0"/>
    <x v="0"/>
  </r>
  <r>
    <n v="27846234"/>
    <x v="0"/>
    <x v="3027"/>
    <s v="EK 384_2022-07-29T22x50x00"/>
    <s v="B777/3-ER"/>
    <x v="3"/>
    <x v="78"/>
    <x v="1"/>
    <s v="Operational"/>
    <s v="EK 384"/>
    <m/>
    <m/>
    <m/>
    <m/>
    <x v="0"/>
    <x v="0"/>
  </r>
  <r>
    <n v="27846249"/>
    <x v="0"/>
    <x v="3028"/>
    <s v="ET 600_2022-07-29T22x55x00"/>
    <s v="B777/3-ER"/>
    <x v="0"/>
    <x v="12"/>
    <x v="3"/>
    <s v="Operational"/>
    <s v="ET 600"/>
    <m/>
    <m/>
    <m/>
    <m/>
    <x v="0"/>
    <x v="0"/>
  </r>
  <r>
    <n v="27846253"/>
    <x v="0"/>
    <x v="3029"/>
    <s v="EK 203_2022-07-29T22x50x00"/>
    <s v="A380/8"/>
    <x v="4"/>
    <x v="70"/>
    <x v="1"/>
    <s v="Operational"/>
    <s v="EK 203"/>
    <m/>
    <m/>
    <m/>
    <m/>
    <x v="0"/>
    <x v="0"/>
  </r>
  <r>
    <n v="27846300"/>
    <x v="0"/>
    <x v="3030"/>
    <s v="PC 886_2022-07-29T23x15x00"/>
    <s v="A320-NEO"/>
    <x v="0"/>
    <x v="50"/>
    <x v="3"/>
    <s v="Operational"/>
    <s v="PC 886"/>
    <m/>
    <m/>
    <m/>
    <m/>
    <x v="0"/>
    <x v="0"/>
  </r>
  <r>
    <n v="27846303"/>
    <x v="0"/>
    <x v="3031"/>
    <s v="WY 601_2022-07-29T23x10x00"/>
    <s v="B737/8-MAX"/>
    <x v="0"/>
    <x v="63"/>
    <x v="2"/>
    <s v="Operational"/>
    <s v="WY 601"/>
    <m/>
    <m/>
    <m/>
    <m/>
    <x v="0"/>
    <x v="0"/>
  </r>
  <r>
    <n v="27846311"/>
    <x v="0"/>
    <x v="3032"/>
    <s v="WY 601_2022-07-29T23x10x00"/>
    <s v="B737/8-MAX"/>
    <x v="0"/>
    <x v="63"/>
    <x v="0"/>
    <s v="Operational"/>
    <s v="WY 601"/>
    <m/>
    <m/>
    <m/>
    <m/>
    <x v="0"/>
    <x v="0"/>
  </r>
  <r>
    <n v="27846348"/>
    <x v="0"/>
    <x v="3033"/>
    <s v="FX 008_2022-07-29T23x15x00"/>
    <s v="B777/2"/>
    <x v="1"/>
    <x v="93"/>
    <x v="2"/>
    <s v="Operational"/>
    <s v="FX 008"/>
    <m/>
    <m/>
    <m/>
    <m/>
    <x v="0"/>
    <x v="0"/>
  </r>
  <r>
    <n v="27846359"/>
    <x v="0"/>
    <x v="3034"/>
    <s v="FX 008_2022-07-29T23x15x00"/>
    <s v="B777/2"/>
    <x v="1"/>
    <x v="93"/>
    <x v="0"/>
    <s v="Operational"/>
    <s v="FX 008"/>
    <m/>
    <m/>
    <m/>
    <m/>
    <x v="0"/>
    <x v="0"/>
  </r>
  <r>
    <n v="27846363"/>
    <x v="0"/>
    <x v="3034"/>
    <s v="PC 886_2022-07-29T23x15x00"/>
    <s v="A320-NEO"/>
    <x v="0"/>
    <x v="50"/>
    <x v="4"/>
    <s v="Operational"/>
    <s v="PC 886"/>
    <m/>
    <m/>
    <m/>
    <m/>
    <x v="0"/>
    <x v="0"/>
  </r>
  <r>
    <n v="27846380"/>
    <x v="0"/>
    <x v="3035"/>
    <s v="EK 332_2022-07-29T23x10x00"/>
    <s v="B777/3-ER"/>
    <x v="4"/>
    <x v="136"/>
    <x v="1"/>
    <s v="Operational"/>
    <s v="EK 332"/>
    <m/>
    <m/>
    <m/>
    <m/>
    <x v="0"/>
    <x v="0"/>
  </r>
  <r>
    <n v="27846400"/>
    <x v="0"/>
    <x v="3036"/>
    <s v="BA 106_2022-07-29T21x25x00"/>
    <s v="B777/3-ER"/>
    <x v="0"/>
    <x v="9"/>
    <x v="1"/>
    <s v="Operational"/>
    <s v="BA 106"/>
    <m/>
    <m/>
    <m/>
    <m/>
    <x v="0"/>
    <x v="0"/>
  </r>
  <r>
    <n v="27846415"/>
    <x v="0"/>
    <x v="3037"/>
    <s v="FZ 616_2022-07-29T22x15x00"/>
    <s v="B737/8-MAX"/>
    <x v="5"/>
    <x v="175"/>
    <x v="3"/>
    <s v="Operational"/>
    <s v="FZ 616"/>
    <m/>
    <m/>
    <m/>
    <m/>
    <x v="0"/>
    <x v="0"/>
  </r>
  <r>
    <n v="27846442"/>
    <x v="0"/>
    <x v="3038"/>
    <s v="QR 1002_2022-07-29T23x20x00"/>
    <s v="B777/2-LR"/>
    <x v="0"/>
    <x v="61"/>
    <x v="3"/>
    <s v="Operational"/>
    <s v="QR 1002"/>
    <m/>
    <m/>
    <m/>
    <m/>
    <x v="0"/>
    <x v="0"/>
  </r>
  <r>
    <n v="27846451"/>
    <x v="0"/>
    <x v="3039"/>
    <m/>
    <m/>
    <x v="5"/>
    <x v="77"/>
    <x v="7"/>
    <s v="Operational"/>
    <m/>
    <m/>
    <m/>
    <m/>
    <m/>
    <x v="0"/>
    <x v="0"/>
  </r>
  <r>
    <n v="27846459"/>
    <x v="0"/>
    <x v="3040"/>
    <s v="ET 600_2022-07-29T22x55x00"/>
    <s v="B777/3-ER"/>
    <x v="0"/>
    <x v="12"/>
    <x v="4"/>
    <s v="Operational"/>
    <s v="ET 600"/>
    <m/>
    <m/>
    <m/>
    <m/>
    <x v="0"/>
    <x v="0"/>
  </r>
  <r>
    <n v="27846467"/>
    <x v="0"/>
    <x v="3041"/>
    <s v="FZ 616_2022-07-29T22x15x00"/>
    <s v="B737/8-MAX"/>
    <x v="5"/>
    <x v="175"/>
    <x v="4"/>
    <s v="Operational"/>
    <s v="FZ 616"/>
    <m/>
    <m/>
    <m/>
    <m/>
    <x v="0"/>
    <x v="0"/>
  </r>
  <r>
    <n v="27846489"/>
    <x v="0"/>
    <x v="3042"/>
    <s v="SV 598_2022-07-29T23x00x00"/>
    <s v="A320"/>
    <x v="0"/>
    <x v="0"/>
    <x v="3"/>
    <s v="Operational"/>
    <s v="SV 598"/>
    <m/>
    <m/>
    <m/>
    <m/>
    <x v="0"/>
    <x v="0"/>
  </r>
  <r>
    <n v="27846492"/>
    <x v="0"/>
    <x v="3043"/>
    <s v="EK 346_2022-07-29T23x10x00"/>
    <s v="B777/3-ER"/>
    <x v="2"/>
    <x v="79"/>
    <x v="1"/>
    <s v="Operational"/>
    <s v="EK 346"/>
    <m/>
    <m/>
    <m/>
    <m/>
    <x v="0"/>
    <x v="0"/>
  </r>
  <r>
    <n v="27846502"/>
    <x v="0"/>
    <x v="3044"/>
    <m/>
    <s v="B777/3-ER"/>
    <x v="6"/>
    <x v="60"/>
    <x v="1"/>
    <s v="Operational"/>
    <m/>
    <m/>
    <m/>
    <m/>
    <m/>
    <x v="0"/>
    <x v="0"/>
  </r>
  <r>
    <n v="27846509"/>
    <x v="0"/>
    <x v="3045"/>
    <m/>
    <m/>
    <x v="3"/>
    <x v="19"/>
    <x v="6"/>
    <s v="Operational"/>
    <m/>
    <m/>
    <m/>
    <m/>
    <m/>
    <x v="0"/>
    <x v="0"/>
  </r>
  <r>
    <n v="27846512"/>
    <x v="0"/>
    <x v="3046"/>
    <s v="TK 7687_2022-07-29T23x15x00"/>
    <s v="B737/8"/>
    <x v="0"/>
    <x v="40"/>
    <x v="1"/>
    <s v="Operational"/>
    <s v="TK 7687"/>
    <m/>
    <m/>
    <m/>
    <m/>
    <x v="0"/>
    <x v="0"/>
  </r>
  <r>
    <n v="27846520"/>
    <x v="0"/>
    <x v="3047"/>
    <s v="EK 636_2022-07-29T23x20x00"/>
    <s v="B777/3-ER"/>
    <x v="2"/>
    <x v="81"/>
    <x v="1"/>
    <s v="Operational"/>
    <s v="EK 636"/>
    <m/>
    <m/>
    <m/>
    <m/>
    <x v="0"/>
    <x v="0"/>
  </r>
  <r>
    <n v="27846542"/>
    <x v="0"/>
    <x v="3048"/>
    <s v="ET 600_2022-07-29T22x55x00"/>
    <s v="B777/3-ER"/>
    <x v="0"/>
    <x v="12"/>
    <x v="2"/>
    <s v="Operational"/>
    <s v="ET 600"/>
    <m/>
    <m/>
    <m/>
    <m/>
    <x v="0"/>
    <x v="0"/>
  </r>
  <r>
    <n v="27846544"/>
    <x v="0"/>
    <x v="3048"/>
    <s v="EK 393_2022-07-30T00x00x00"/>
    <s v="B777/3-ER"/>
    <x v="3"/>
    <x v="78"/>
    <x v="3"/>
    <s v="Operational"/>
    <s v="EK 393"/>
    <m/>
    <m/>
    <m/>
    <m/>
    <x v="0"/>
    <x v="0"/>
  </r>
  <r>
    <n v="27846547"/>
    <x v="0"/>
    <x v="3049"/>
    <s v="PC 886_2022-07-29T23x15x00"/>
    <s v="A320-NEO"/>
    <x v="0"/>
    <x v="50"/>
    <x v="2"/>
    <s v="Operational"/>
    <s v="PC 886"/>
    <m/>
    <m/>
    <m/>
    <m/>
    <x v="0"/>
    <x v="0"/>
  </r>
  <r>
    <n v="27846554"/>
    <x v="0"/>
    <x v="3050"/>
    <s v="EK 530_2022-07-29T23x20x00"/>
    <s v="B777/3-ER"/>
    <x v="3"/>
    <x v="131"/>
    <x v="1"/>
    <s v="Operational"/>
    <s v="EK 530"/>
    <m/>
    <m/>
    <m/>
    <m/>
    <x v="0"/>
    <x v="0"/>
  </r>
  <r>
    <n v="27846570"/>
    <x v="0"/>
    <x v="3051"/>
    <s v="PC 886_2022-07-29T23x15x00"/>
    <s v="A320-NEO"/>
    <x v="0"/>
    <x v="50"/>
    <x v="0"/>
    <s v="Operational"/>
    <s v="PC 886"/>
    <m/>
    <m/>
    <m/>
    <m/>
    <x v="0"/>
    <x v="0"/>
  </r>
  <r>
    <n v="27846583"/>
    <x v="0"/>
    <x v="3052"/>
    <s v="ET 600_2022-07-29T22x55x00"/>
    <s v="B777/3-ER"/>
    <x v="0"/>
    <x v="12"/>
    <x v="0"/>
    <s v="Operational"/>
    <s v="ET 600"/>
    <m/>
    <m/>
    <m/>
    <m/>
    <x v="0"/>
    <x v="0"/>
  </r>
  <r>
    <n v="27846598"/>
    <x v="0"/>
    <x v="3053"/>
    <s v="EK 393_2022-07-30T00x00x00"/>
    <s v="B777/3-ER"/>
    <x v="3"/>
    <x v="78"/>
    <x v="4"/>
    <s v="Operational"/>
    <s v="EK 393"/>
    <m/>
    <m/>
    <m/>
    <m/>
    <x v="0"/>
    <x v="0"/>
  </r>
  <r>
    <n v="27846602"/>
    <x v="0"/>
    <x v="3054"/>
    <s v="QR 1002_2022-07-29T23x20x00"/>
    <s v="B777/2-LR"/>
    <x v="0"/>
    <x v="61"/>
    <x v="4"/>
    <s v="Operational"/>
    <s v="QR 1002"/>
    <m/>
    <m/>
    <m/>
    <m/>
    <x v="0"/>
    <x v="0"/>
  </r>
  <r>
    <n v="27846610"/>
    <x v="0"/>
    <x v="3055"/>
    <s v="EK 354_2022-07-29T23x05x00"/>
    <s v="A380/8"/>
    <x v="3"/>
    <x v="45"/>
    <x v="1"/>
    <s v="Operational"/>
    <s v="EK 354"/>
    <m/>
    <m/>
    <m/>
    <m/>
    <x v="0"/>
    <x v="0"/>
  </r>
  <r>
    <n v="27846648"/>
    <x v="0"/>
    <x v="3056"/>
    <s v="FZ 1930_2022-07-29T23x25x00"/>
    <s v="B737/8"/>
    <x v="5"/>
    <x v="120"/>
    <x v="3"/>
    <s v="Operational"/>
    <s v="FZ 1930"/>
    <m/>
    <m/>
    <m/>
    <m/>
    <x v="0"/>
    <x v="0"/>
  </r>
  <r>
    <n v="27846651"/>
    <x v="0"/>
    <x v="3057"/>
    <s v="SV 598_2022-07-29T23x00x00"/>
    <s v="A320"/>
    <x v="0"/>
    <x v="0"/>
    <x v="4"/>
    <s v="Operational"/>
    <s v="SV 598"/>
    <m/>
    <m/>
    <m/>
    <m/>
    <x v="0"/>
    <x v="0"/>
  </r>
  <r>
    <n v="27846666"/>
    <x v="0"/>
    <x v="3058"/>
    <s v="FZ 616_2022-07-29T22x15x00"/>
    <s v="B737/8-MAX"/>
    <x v="5"/>
    <x v="175"/>
    <x v="2"/>
    <s v="Operational"/>
    <s v="FZ 616"/>
    <m/>
    <m/>
    <m/>
    <m/>
    <x v="0"/>
    <x v="0"/>
  </r>
  <r>
    <n v="27846674"/>
    <x v="0"/>
    <x v="3059"/>
    <s v="FZ 616_2022-07-29T22x15x00"/>
    <s v="B737/8-MAX"/>
    <x v="5"/>
    <x v="175"/>
    <x v="0"/>
    <s v="Operational"/>
    <s v="FZ 616"/>
    <m/>
    <m/>
    <m/>
    <m/>
    <x v="0"/>
    <x v="0"/>
  </r>
  <r>
    <n v="27846702"/>
    <x v="0"/>
    <x v="3060"/>
    <m/>
    <m/>
    <x v="1"/>
    <x v="117"/>
    <x v="3"/>
    <s v="Operational"/>
    <m/>
    <m/>
    <m/>
    <m/>
    <m/>
    <x v="0"/>
    <x v="0"/>
  </r>
  <r>
    <n v="27846704"/>
    <x v="0"/>
    <x v="3061"/>
    <s v="ES 265_2022-07-29T23x50x00"/>
    <s v="B767/3"/>
    <x v="1"/>
    <x v="117"/>
    <x v="4"/>
    <s v="Operational"/>
    <s v="ES 265"/>
    <m/>
    <m/>
    <m/>
    <m/>
    <x v="0"/>
    <x v="0"/>
  </r>
  <r>
    <n v="27846733"/>
    <x v="0"/>
    <x v="3062"/>
    <s v="QR 1002_2022-07-29T23x20x00"/>
    <s v="B777/2-LR"/>
    <x v="0"/>
    <x v="61"/>
    <x v="2"/>
    <s v="Operational"/>
    <s v="QR 1002"/>
    <m/>
    <m/>
    <m/>
    <m/>
    <x v="0"/>
    <x v="0"/>
  </r>
  <r>
    <n v="27846738"/>
    <x v="0"/>
    <x v="3063"/>
    <s v="EK 612_2022-07-29T23x20x00"/>
    <s v="B777/3-ER"/>
    <x v="3"/>
    <x v="102"/>
    <x v="1"/>
    <s v="Operational"/>
    <s v="EK 612"/>
    <m/>
    <m/>
    <m/>
    <m/>
    <x v="0"/>
    <x v="0"/>
  </r>
  <r>
    <n v="27846748"/>
    <x v="0"/>
    <x v="3064"/>
    <s v="QR 1002_2022-07-29T23x20x00"/>
    <s v="B777/2-LR"/>
    <x v="0"/>
    <x v="61"/>
    <x v="0"/>
    <s v="Operational"/>
    <s v="QR 1002"/>
    <m/>
    <m/>
    <m/>
    <m/>
    <x v="0"/>
    <x v="0"/>
  </r>
  <r>
    <n v="27846763"/>
    <x v="0"/>
    <x v="3065"/>
    <s v="J4 200_2022-07-29T23x10x00"/>
    <s v="B737/8"/>
    <x v="1"/>
    <x v="116"/>
    <x v="3"/>
    <s v="Operational"/>
    <s v="J4 200"/>
    <m/>
    <m/>
    <m/>
    <m/>
    <x v="0"/>
    <x v="0"/>
  </r>
  <r>
    <n v="27846769"/>
    <x v="0"/>
    <x v="3066"/>
    <s v="J4 200_2022-07-29T23x10x00"/>
    <s v="B737/8"/>
    <x v="1"/>
    <x v="116"/>
    <x v="4"/>
    <s v="Operational"/>
    <s v="J4 200"/>
    <m/>
    <m/>
    <m/>
    <m/>
    <x v="0"/>
    <x v="0"/>
  </r>
  <r>
    <n v="27846791"/>
    <x v="0"/>
    <x v="3067"/>
    <s v="EK 237_2022-07-30T04x15x00"/>
    <s v="B777/3-ER"/>
    <x v="3"/>
    <x v="19"/>
    <x v="2"/>
    <s v="Operational"/>
    <s v="EK 237"/>
    <m/>
    <m/>
    <m/>
    <m/>
    <x v="0"/>
    <x v="0"/>
  </r>
  <r>
    <n v="27846792"/>
    <x v="0"/>
    <x v="3068"/>
    <s v="FZ 1930_2022-07-29T23x25x00"/>
    <s v="B737/8"/>
    <x v="5"/>
    <x v="120"/>
    <x v="4"/>
    <s v="Operational"/>
    <s v="FZ 1930"/>
    <m/>
    <m/>
    <m/>
    <m/>
    <x v="0"/>
    <x v="0"/>
  </r>
  <r>
    <n v="27846798"/>
    <x v="0"/>
    <x v="3069"/>
    <s v="EK 564_2022-07-29T23x20x00"/>
    <s v="B777/3-ER"/>
    <x v="3"/>
    <x v="124"/>
    <x v="1"/>
    <s v="Operational"/>
    <s v="EK 564"/>
    <m/>
    <m/>
    <m/>
    <m/>
    <x v="0"/>
    <x v="0"/>
  </r>
  <r>
    <n v="27846815"/>
    <x v="0"/>
    <x v="3070"/>
    <s v="SG 053_2022-07-29T23x55x00"/>
    <s v="B737/8-MAX"/>
    <x v="0"/>
    <x v="63"/>
    <x v="3"/>
    <s v="Operational"/>
    <s v="SG 053"/>
    <m/>
    <m/>
    <m/>
    <m/>
    <x v="0"/>
    <x v="0"/>
  </r>
  <r>
    <n v="27846821"/>
    <x v="0"/>
    <x v="3071"/>
    <s v="EK 237_2022-07-30T04x15x00"/>
    <s v="B777/3-ER"/>
    <x v="3"/>
    <x v="19"/>
    <x v="0"/>
    <s v="Operational"/>
    <s v="EK 237"/>
    <m/>
    <m/>
    <m/>
    <m/>
    <x v="0"/>
    <x v="0"/>
  </r>
  <r>
    <n v="27846841"/>
    <x v="0"/>
    <x v="3072"/>
    <s v="SV 598_2022-07-29T23x00x00"/>
    <s v="A320"/>
    <x v="0"/>
    <x v="0"/>
    <x v="2"/>
    <s v="Operational"/>
    <s v="SV 598"/>
    <m/>
    <m/>
    <m/>
    <m/>
    <x v="0"/>
    <x v="0"/>
  </r>
  <r>
    <n v="27846862"/>
    <x v="0"/>
    <x v="3073"/>
    <s v="SG 053_2022-07-29T23x55x00"/>
    <s v="B737/8-MAX"/>
    <x v="0"/>
    <x v="63"/>
    <x v="10"/>
    <s v="Operational"/>
    <s v="SG 053"/>
    <m/>
    <m/>
    <m/>
    <m/>
    <x v="0"/>
    <x v="0"/>
  </r>
  <r>
    <n v="27846863"/>
    <x v="0"/>
    <x v="3074"/>
    <s v="SG 053_2022-07-29T23x55x00"/>
    <s v="B737/8-MAX"/>
    <x v="0"/>
    <x v="63"/>
    <x v="11"/>
    <s v="Operational"/>
    <s v="SG 053"/>
    <m/>
    <m/>
    <m/>
    <m/>
    <x v="0"/>
    <x v="0"/>
  </r>
  <r>
    <n v="27846872"/>
    <x v="0"/>
    <x v="3075"/>
    <s v="SV 598_2022-07-29T23x00x00"/>
    <s v="A320"/>
    <x v="0"/>
    <x v="0"/>
    <x v="0"/>
    <s v="Operational"/>
    <s v="SV 598"/>
    <m/>
    <m/>
    <m/>
    <m/>
    <x v="0"/>
    <x v="0"/>
  </r>
  <r>
    <n v="27846887"/>
    <x v="0"/>
    <x v="3076"/>
    <s v="EK 607_2022-07-29T23x45x00"/>
    <s v="B777/3-ER"/>
    <x v="4"/>
    <x v="97"/>
    <x v="3"/>
    <s v="Operational"/>
    <s v="EK 607"/>
    <m/>
    <m/>
    <m/>
    <m/>
    <x v="0"/>
    <x v="0"/>
  </r>
  <r>
    <n v="27846917"/>
    <x v="0"/>
    <x v="3077"/>
    <s v="EK 607_2022-07-29T23x45x00"/>
    <s v="B777/3-ER"/>
    <x v="4"/>
    <x v="97"/>
    <x v="4"/>
    <s v="Operational"/>
    <s v="EK 607"/>
    <m/>
    <m/>
    <m/>
    <m/>
    <x v="0"/>
    <x v="0"/>
  </r>
  <r>
    <n v="27846931"/>
    <x v="0"/>
    <x v="3078"/>
    <s v="ES 265_2022-07-29T23x50x00"/>
    <s v="B767/3"/>
    <x v="1"/>
    <x v="117"/>
    <x v="2"/>
    <s v="Operational"/>
    <s v="ES 265"/>
    <m/>
    <m/>
    <m/>
    <m/>
    <x v="0"/>
    <x v="0"/>
  </r>
  <r>
    <n v="27846932"/>
    <x v="0"/>
    <x v="3079"/>
    <s v="EK 504_2022-07-29T23x30x00"/>
    <s v="B777/3-ER"/>
    <x v="2"/>
    <x v="4"/>
    <x v="1"/>
    <s v="Operational"/>
    <s v="EK 504"/>
    <m/>
    <m/>
    <m/>
    <m/>
    <x v="0"/>
    <x v="0"/>
  </r>
  <r>
    <n v="27846946"/>
    <x v="0"/>
    <x v="3080"/>
    <s v="EK 319_2022-07-30T00x10x00"/>
    <s v="B777/3-ER"/>
    <x v="3"/>
    <x v="94"/>
    <x v="3"/>
    <s v="Operational"/>
    <s v="EK 319"/>
    <m/>
    <m/>
    <m/>
    <m/>
    <x v="0"/>
    <x v="0"/>
  </r>
  <r>
    <n v="27846954"/>
    <x v="0"/>
    <x v="3081"/>
    <s v="ES 265_2022-07-29T23x50x00"/>
    <s v="B767/3"/>
    <x v="1"/>
    <x v="117"/>
    <x v="0"/>
    <s v="Operational"/>
    <s v="ES 265"/>
    <m/>
    <m/>
    <m/>
    <m/>
    <x v="0"/>
    <x v="0"/>
  </r>
  <r>
    <n v="27846968"/>
    <x v="0"/>
    <x v="3082"/>
    <s v="PK 284_2022-07-29T23x00x00"/>
    <s v="A320"/>
    <x v="0"/>
    <x v="3"/>
    <x v="1"/>
    <s v="Operational"/>
    <s v="PK 284"/>
    <m/>
    <m/>
    <m/>
    <m/>
    <x v="0"/>
    <x v="0"/>
  </r>
  <r>
    <n v="27846979"/>
    <x v="0"/>
    <x v="3083"/>
    <s v="FZ 1930_2022-07-29T23x25x00"/>
    <s v="B737/8"/>
    <x v="5"/>
    <x v="120"/>
    <x v="2"/>
    <s v="Operational"/>
    <s v="FZ 1930"/>
    <m/>
    <m/>
    <m/>
    <m/>
    <x v="0"/>
    <x v="0"/>
  </r>
  <r>
    <n v="27846981"/>
    <x v="0"/>
    <x v="3084"/>
    <s v="FZ 1930_2022-07-29T23x25x00"/>
    <s v="B737/8"/>
    <x v="5"/>
    <x v="120"/>
    <x v="0"/>
    <s v="Operational"/>
    <s v="FZ 1930"/>
    <m/>
    <m/>
    <m/>
    <m/>
    <x v="0"/>
    <x v="0"/>
  </r>
  <r>
    <n v="27847007"/>
    <x v="0"/>
    <x v="3085"/>
    <s v="6E 1087_2022-07-30T00x15x00"/>
    <s v="A320-NEO"/>
    <x v="0"/>
    <x v="9"/>
    <x v="3"/>
    <s v="Operational"/>
    <s v="6E 1087"/>
    <m/>
    <m/>
    <m/>
    <m/>
    <x v="0"/>
    <x v="0"/>
  </r>
  <r>
    <n v="27847014"/>
    <x v="0"/>
    <x v="3086"/>
    <s v="EK 319_2022-07-30T00x10x00"/>
    <s v="B777/3-ER"/>
    <x v="3"/>
    <x v="94"/>
    <x v="4"/>
    <s v="Operational"/>
    <s v="EK 319"/>
    <m/>
    <m/>
    <m/>
    <m/>
    <x v="0"/>
    <x v="0"/>
  </r>
  <r>
    <n v="27847021"/>
    <x v="0"/>
    <x v="3087"/>
    <s v="EK 526_2022-07-29T23x10x00"/>
    <s v="B777/3-ER"/>
    <x v="2"/>
    <x v="7"/>
    <x v="1"/>
    <s v="Operational"/>
    <s v="EK 526"/>
    <m/>
    <m/>
    <m/>
    <m/>
    <x v="0"/>
    <x v="0"/>
  </r>
  <r>
    <n v="27847031"/>
    <x v="0"/>
    <x v="3088"/>
    <s v="J4 200_2022-07-29T23x10x00"/>
    <s v="B737/8"/>
    <x v="1"/>
    <x v="116"/>
    <x v="2"/>
    <s v="Operational"/>
    <s v="J4 200"/>
    <m/>
    <m/>
    <m/>
    <m/>
    <x v="0"/>
    <x v="0"/>
  </r>
  <r>
    <n v="27847037"/>
    <x v="0"/>
    <x v="3089"/>
    <s v="J4 200_2022-07-29T23x10x00"/>
    <s v="B737/8"/>
    <x v="1"/>
    <x v="116"/>
    <x v="0"/>
    <s v="Operational"/>
    <s v="J4 200"/>
    <m/>
    <m/>
    <m/>
    <m/>
    <x v="0"/>
    <x v="0"/>
  </r>
  <r>
    <n v="27847049"/>
    <x v="0"/>
    <x v="3090"/>
    <s v="EK 393_2022-07-30T00x00x00"/>
    <s v="B777/3-ER"/>
    <x v="3"/>
    <x v="78"/>
    <x v="2"/>
    <s v="Operational"/>
    <s v="EK 393"/>
    <m/>
    <m/>
    <m/>
    <m/>
    <x v="0"/>
    <x v="0"/>
  </r>
  <r>
    <n v="27847066"/>
    <x v="0"/>
    <x v="3091"/>
    <s v="SG 053_2022-07-29T23x55x00"/>
    <s v="B737/8-MAX"/>
    <x v="0"/>
    <x v="63"/>
    <x v="2"/>
    <s v="Operational"/>
    <s v="SG 053"/>
    <m/>
    <m/>
    <m/>
    <m/>
    <x v="0"/>
    <x v="0"/>
  </r>
  <r>
    <n v="27847070"/>
    <x v="0"/>
    <x v="3092"/>
    <s v="EK 393_2022-07-30T00x00x00"/>
    <s v="B777/3-ER"/>
    <x v="3"/>
    <x v="78"/>
    <x v="0"/>
    <s v="Operational"/>
    <s v="EK 393"/>
    <m/>
    <m/>
    <m/>
    <m/>
    <x v="0"/>
    <x v="0"/>
  </r>
  <r>
    <n v="27847088"/>
    <x v="0"/>
    <x v="3093"/>
    <s v="SG 053_2022-07-29T23x55x00"/>
    <s v="B737/8-MAX"/>
    <x v="0"/>
    <x v="63"/>
    <x v="0"/>
    <s v="Operational"/>
    <s v="SG 053"/>
    <m/>
    <m/>
    <m/>
    <m/>
    <x v="0"/>
    <x v="0"/>
  </r>
  <r>
    <n v="27847112"/>
    <x v="0"/>
    <x v="3094"/>
    <s v="EK 213_2022-07-29T23x10x00"/>
    <s v="B777/3-ER"/>
    <x v="3"/>
    <x v="118"/>
    <x v="1"/>
    <s v="Operational"/>
    <s v="EK 213"/>
    <m/>
    <m/>
    <m/>
    <m/>
    <x v="0"/>
    <x v="0"/>
  </r>
  <r>
    <n v="27847139"/>
    <x v="0"/>
    <x v="3095"/>
    <s v="EK 607_2022-07-29T23x45x00"/>
    <s v="B777/3-ER"/>
    <x v="4"/>
    <x v="97"/>
    <x v="2"/>
    <s v="Operational"/>
    <s v="EK 607"/>
    <m/>
    <m/>
    <m/>
    <m/>
    <x v="0"/>
    <x v="0"/>
  </r>
  <r>
    <n v="27847143"/>
    <x v="0"/>
    <x v="3096"/>
    <m/>
    <m/>
    <x v="3"/>
    <x v="26"/>
    <x v="6"/>
    <s v="Operational"/>
    <m/>
    <m/>
    <m/>
    <m/>
    <m/>
    <x v="0"/>
    <x v="0"/>
  </r>
  <r>
    <n v="27847151"/>
    <x v="0"/>
    <x v="3097"/>
    <s v="EK 607_2022-07-29T23x45x00"/>
    <s v="B777/3-ER"/>
    <x v="4"/>
    <x v="97"/>
    <x v="0"/>
    <s v="Operational"/>
    <s v="EK 607"/>
    <m/>
    <m/>
    <m/>
    <m/>
    <x v="0"/>
    <x v="0"/>
  </r>
  <r>
    <n v="27847171"/>
    <x v="0"/>
    <x v="3098"/>
    <s v="CZ 8027_2022-07-29T21x20x00"/>
    <s v="A330/3"/>
    <x v="5"/>
    <x v="23"/>
    <x v="1"/>
    <s v="Operational"/>
    <m/>
    <m/>
    <m/>
    <m/>
    <m/>
    <x v="0"/>
    <x v="0"/>
  </r>
  <r>
    <n v="27847188"/>
    <x v="0"/>
    <x v="3099"/>
    <s v="6E 1087_2022-07-30T00x15x00"/>
    <s v="A320-NEO"/>
    <x v="0"/>
    <x v="9"/>
    <x v="10"/>
    <s v="Operational"/>
    <s v="6E 1087"/>
    <m/>
    <m/>
    <m/>
    <m/>
    <x v="0"/>
    <x v="0"/>
  </r>
  <r>
    <n v="27847189"/>
    <x v="0"/>
    <x v="3099"/>
    <s v="6E 1087_2022-07-30T00x15x00"/>
    <s v="A320-NEO"/>
    <x v="0"/>
    <x v="9"/>
    <x v="11"/>
    <s v="Operational"/>
    <s v="6E 1087"/>
    <m/>
    <m/>
    <m/>
    <m/>
    <x v="0"/>
    <x v="0"/>
  </r>
  <r>
    <n v="27847200"/>
    <x v="0"/>
    <x v="3100"/>
    <s v="EK 043_2022-07-29T23x45x00"/>
    <s v="B777/3-ER"/>
    <x v="2"/>
    <x v="56"/>
    <x v="1"/>
    <s v="Operational"/>
    <s v="EK 043"/>
    <m/>
    <m/>
    <m/>
    <m/>
    <x v="0"/>
    <x v="0"/>
  </r>
  <r>
    <n v="27847213"/>
    <x v="0"/>
    <x v="3101"/>
    <s v="FZ 8503_2022-07-29T23x20x00"/>
    <s v="B737/8-MAX"/>
    <x v="1"/>
    <x v="11"/>
    <x v="1"/>
    <s v="Operational"/>
    <s v="FZ 8503"/>
    <m/>
    <m/>
    <m/>
    <m/>
    <x v="0"/>
    <x v="0"/>
  </r>
  <r>
    <n v="27847247"/>
    <x v="0"/>
    <x v="3102"/>
    <s v="6E 1087_2022-07-30T00x15x00"/>
    <s v="A320-NEO"/>
    <x v="0"/>
    <x v="9"/>
    <x v="2"/>
    <s v="Operational"/>
    <s v="6E 1087"/>
    <m/>
    <m/>
    <m/>
    <m/>
    <x v="0"/>
    <x v="0"/>
  </r>
  <r>
    <n v="27847251"/>
    <x v="0"/>
    <x v="3103"/>
    <s v="EK 319_2022-07-30T00x10x00"/>
    <s v="B777/3-ER"/>
    <x v="3"/>
    <x v="94"/>
    <x v="2"/>
    <s v="Operational"/>
    <s v="EK 319"/>
    <m/>
    <m/>
    <m/>
    <m/>
    <x v="0"/>
    <x v="0"/>
  </r>
  <r>
    <n v="27847257"/>
    <x v="0"/>
    <x v="3104"/>
    <s v="6E 1087_2022-07-30T00x15x00"/>
    <s v="A320-NEO"/>
    <x v="0"/>
    <x v="9"/>
    <x v="0"/>
    <s v="Operational"/>
    <s v="6E 1087"/>
    <m/>
    <m/>
    <m/>
    <m/>
    <x v="0"/>
    <x v="0"/>
  </r>
  <r>
    <n v="27847275"/>
    <x v="0"/>
    <x v="3105"/>
    <s v="EK 319_2022-07-30T00x10x00"/>
    <s v="B777/3-ER"/>
    <x v="3"/>
    <x v="94"/>
    <x v="0"/>
    <s v="Operational"/>
    <s v="EK 319"/>
    <m/>
    <m/>
    <m/>
    <m/>
    <x v="0"/>
    <x v="0"/>
  </r>
  <r>
    <n v="27847302"/>
    <x v="0"/>
    <x v="3106"/>
    <s v="EK 540_2022-07-29T23x50x00"/>
    <s v="B777/3-ER"/>
    <x v="3"/>
    <x v="44"/>
    <x v="1"/>
    <s v="Operational"/>
    <s v="EK 540"/>
    <m/>
    <m/>
    <m/>
    <m/>
    <x v="0"/>
    <x v="0"/>
  </r>
  <r>
    <n v="27847322"/>
    <x v="0"/>
    <x v="3107"/>
    <m/>
    <s v="B777/3-ER"/>
    <x v="3"/>
    <x v="46"/>
    <x v="1"/>
    <s v="Operational"/>
    <m/>
    <m/>
    <m/>
    <m/>
    <m/>
    <x v="0"/>
    <x v="0"/>
  </r>
  <r>
    <n v="27847334"/>
    <x v="0"/>
    <x v="3108"/>
    <s v="EK 322_2022-07-29T23x40x00"/>
    <s v="A380/8"/>
    <x v="4"/>
    <x v="20"/>
    <x v="1"/>
    <s v="Operational"/>
    <s v="EK 322"/>
    <m/>
    <m/>
    <m/>
    <m/>
    <x v="0"/>
    <x v="0"/>
  </r>
  <r>
    <n v="27847356"/>
    <x v="0"/>
    <x v="3109"/>
    <s v="RQ 902_2022-07-29T23x30x00"/>
    <s v="A340/3"/>
    <x v="5"/>
    <x v="18"/>
    <x v="1"/>
    <s v="Operational"/>
    <s v="RQ 902"/>
    <m/>
    <m/>
    <m/>
    <m/>
    <x v="0"/>
    <x v="0"/>
  </r>
  <r>
    <n v="27847385"/>
    <x v="0"/>
    <x v="3110"/>
    <m/>
    <m/>
    <x v="5"/>
    <x v="16"/>
    <x v="6"/>
    <s v="Operational"/>
    <m/>
    <m/>
    <m/>
    <m/>
    <m/>
    <x v="0"/>
    <x v="0"/>
  </r>
  <r>
    <n v="27847398"/>
    <x v="0"/>
    <x v="3111"/>
    <s v="GF 500_2022-07-30T00x15x00"/>
    <s v="A320-NEO"/>
    <x v="0"/>
    <x v="3"/>
    <x v="3"/>
    <s v="Operational"/>
    <s v="GF 500"/>
    <m/>
    <m/>
    <m/>
    <m/>
    <x v="0"/>
    <x v="0"/>
  </r>
  <r>
    <n v="27847412"/>
    <x v="0"/>
    <x v="3112"/>
    <s v="EK 772_2022-07-29T23x50x00"/>
    <s v="B777/3-ER"/>
    <x v="3"/>
    <x v="42"/>
    <x v="1"/>
    <s v="Operational"/>
    <s v="EK 772"/>
    <m/>
    <m/>
    <m/>
    <m/>
    <x v="0"/>
    <x v="0"/>
  </r>
  <r>
    <n v="27847428"/>
    <x v="0"/>
    <x v="3113"/>
    <s v="GF 500_2022-07-30T00x15x00"/>
    <s v="A320-NEO"/>
    <x v="0"/>
    <x v="3"/>
    <x v="10"/>
    <s v="Operational"/>
    <s v="GF 500"/>
    <m/>
    <m/>
    <m/>
    <m/>
    <x v="0"/>
    <x v="0"/>
  </r>
  <r>
    <n v="27847429"/>
    <x v="0"/>
    <x v="3114"/>
    <s v="GF 500_2022-07-30T00x15x00"/>
    <s v="A320-NEO"/>
    <x v="0"/>
    <x v="3"/>
    <x v="11"/>
    <s v="Operational"/>
    <s v="GF 500"/>
    <m/>
    <m/>
    <m/>
    <m/>
    <x v="0"/>
    <x v="0"/>
  </r>
  <r>
    <n v="27847449"/>
    <x v="0"/>
    <x v="3115"/>
    <m/>
    <m/>
    <x v="0"/>
    <x v="57"/>
    <x v="6"/>
    <s v="Operational"/>
    <m/>
    <m/>
    <m/>
    <m/>
    <m/>
    <x v="0"/>
    <x v="0"/>
  </r>
  <r>
    <n v="27847458"/>
    <x v="0"/>
    <x v="3116"/>
    <s v="EK 822_2022-07-29T21x00x00"/>
    <s v="B777/3-ER"/>
    <x v="3"/>
    <x v="84"/>
    <x v="1"/>
    <s v="Operational"/>
    <m/>
    <m/>
    <m/>
    <m/>
    <m/>
    <x v="0"/>
    <x v="0"/>
  </r>
  <r>
    <n v="27847461"/>
    <x v="0"/>
    <x v="3117"/>
    <s v="EK 323_2022-07-30T00x25x00"/>
    <s v="A380/8"/>
    <x v="4"/>
    <x v="126"/>
    <x v="3"/>
    <s v="Operational"/>
    <s v="EK 323"/>
    <m/>
    <m/>
    <m/>
    <m/>
    <x v="0"/>
    <x v="0"/>
  </r>
  <r>
    <n v="27847486"/>
    <x v="0"/>
    <x v="3118"/>
    <s v="KU 677_2022-07-30T00x35x00"/>
    <s v="A320-NEO"/>
    <x v="0"/>
    <x v="92"/>
    <x v="3"/>
    <s v="Operational"/>
    <s v="KU 677"/>
    <m/>
    <m/>
    <m/>
    <m/>
    <x v="0"/>
    <x v="0"/>
  </r>
  <r>
    <n v="27847492"/>
    <x v="0"/>
    <x v="3119"/>
    <s v="EK 159_2022-07-30T03x25x00"/>
    <s v="B777/3-ER"/>
    <x v="3"/>
    <x v="26"/>
    <x v="2"/>
    <s v="Operational"/>
    <m/>
    <m/>
    <m/>
    <m/>
    <m/>
    <x v="0"/>
    <x v="0"/>
  </r>
  <r>
    <n v="27847495"/>
    <x v="0"/>
    <x v="3120"/>
    <s v="EK 517_2022-07-30T04x15x00"/>
    <s v="B777/3-ER"/>
    <x v="7"/>
    <x v="176"/>
    <x v="1"/>
    <s v="Operational"/>
    <m/>
    <m/>
    <m/>
    <m/>
    <m/>
    <x v="0"/>
    <x v="0"/>
  </r>
  <r>
    <n v="27805703"/>
    <x v="1"/>
    <x v="3121"/>
    <m/>
    <m/>
    <x v="9"/>
    <x v="177"/>
    <x v="36"/>
    <m/>
    <m/>
    <s v="DXB"/>
    <s v="Technical"/>
    <n v="390181"/>
    <s v="SAM-2"/>
    <x v="1"/>
    <x v="0"/>
  </r>
  <r>
    <n v="27817669"/>
    <x v="1"/>
    <x v="48"/>
    <m/>
    <m/>
    <x v="1"/>
    <x v="31"/>
    <x v="36"/>
    <m/>
    <m/>
    <s v="DXB"/>
    <s v="Technical"/>
    <n v="-1"/>
    <s v="SAM-1"/>
    <x v="2"/>
    <x v="0"/>
  </r>
  <r>
    <n v="27814447"/>
    <x v="1"/>
    <x v="65"/>
    <m/>
    <m/>
    <x v="1"/>
    <x v="6"/>
    <x v="36"/>
    <m/>
    <s v="IX 142"/>
    <s v="DXB"/>
    <s v="Technical"/>
    <n v="390203"/>
    <s v="SAM-1"/>
    <x v="2"/>
    <x v="0"/>
  </r>
  <r>
    <n v="27814467"/>
    <x v="1"/>
    <x v="67"/>
    <m/>
    <m/>
    <x v="7"/>
    <x v="38"/>
    <x v="36"/>
    <m/>
    <m/>
    <s v="DXB"/>
    <s v="Technical"/>
    <n v="390204"/>
    <s v="SAM-1"/>
    <x v="2"/>
    <x v="0"/>
  </r>
  <r>
    <n v="27815346"/>
    <x v="1"/>
    <x v="141"/>
    <m/>
    <s v="B777/3-ER"/>
    <x v="4"/>
    <x v="64"/>
    <x v="36"/>
    <m/>
    <s v="EK 181"/>
    <s v="DXB"/>
    <s v="Operational"/>
    <n v="390210"/>
    <s v="SDK-24"/>
    <x v="3"/>
    <x v="1"/>
  </r>
  <r>
    <n v="27815432"/>
    <x v="1"/>
    <x v="3122"/>
    <m/>
    <m/>
    <x v="1"/>
    <x v="31"/>
    <x v="36"/>
    <m/>
    <m/>
    <s v="DXB"/>
    <s v="Technical"/>
    <n v="-1"/>
    <s v="SAM-1"/>
    <x v="2"/>
    <x v="0"/>
  </r>
  <r>
    <n v="27815519"/>
    <x v="1"/>
    <x v="162"/>
    <m/>
    <s v="B737/8-MAX"/>
    <x v="1"/>
    <x v="69"/>
    <x v="36"/>
    <m/>
    <s v="FZ 024"/>
    <s v="DXB"/>
    <s v="Operational"/>
    <n v="390211"/>
    <s v="SDK-24"/>
    <x v="3"/>
    <x v="1"/>
  </r>
  <r>
    <n v="27815651"/>
    <x v="1"/>
    <x v="177"/>
    <m/>
    <m/>
    <x v="6"/>
    <x v="75"/>
    <x v="36"/>
    <m/>
    <m/>
    <s v="DXB"/>
    <s v="Technical"/>
    <n v="390212"/>
    <s v="SAM-1"/>
    <x v="2"/>
    <x v="0"/>
  </r>
  <r>
    <n v="27815672"/>
    <x v="1"/>
    <x v="178"/>
    <m/>
    <m/>
    <x v="3"/>
    <x v="44"/>
    <x v="36"/>
    <m/>
    <s v="EK 051"/>
    <s v="DXB"/>
    <s v="Technical"/>
    <n v="390213"/>
    <s v="SAM-1"/>
    <x v="2"/>
    <x v="0"/>
  </r>
  <r>
    <n v="27815675"/>
    <x v="1"/>
    <x v="178"/>
    <m/>
    <s v="A380/8"/>
    <x v="4"/>
    <x v="49"/>
    <x v="36"/>
    <m/>
    <s v="EK 018"/>
    <s v="DXB"/>
    <s v="Technical"/>
    <n v="390214"/>
    <s v="SAM-1"/>
    <x v="2"/>
    <x v="0"/>
  </r>
  <r>
    <n v="27815681"/>
    <x v="1"/>
    <x v="178"/>
    <m/>
    <s v="A380/8"/>
    <x v="5"/>
    <x v="32"/>
    <x v="36"/>
    <m/>
    <s v="EK 132"/>
    <s v="DXB"/>
    <s v="Technical"/>
    <n v="390215"/>
    <s v="SAM-1"/>
    <x v="2"/>
    <x v="0"/>
  </r>
  <r>
    <n v="27815701"/>
    <x v="1"/>
    <x v="179"/>
    <m/>
    <s v="B777/3-ER"/>
    <x v="7"/>
    <x v="76"/>
    <x v="36"/>
    <m/>
    <m/>
    <s v="DXB"/>
    <s v="Technical"/>
    <n v="390216"/>
    <s v="SAM-1"/>
    <x v="2"/>
    <x v="0"/>
  </r>
  <r>
    <n v="27815733"/>
    <x v="1"/>
    <x v="183"/>
    <m/>
    <m/>
    <x v="3"/>
    <x v="78"/>
    <x v="36"/>
    <m/>
    <s v="EK 085"/>
    <s v="DXB"/>
    <s v="Technical"/>
    <n v="390217"/>
    <s v="SAM-1"/>
    <x v="2"/>
    <x v="0"/>
  </r>
  <r>
    <n v="27816365"/>
    <x v="1"/>
    <x v="241"/>
    <m/>
    <s v="MD11"/>
    <x v="1"/>
    <x v="93"/>
    <x v="36"/>
    <m/>
    <s v="FX 5033"/>
    <s v="DXB"/>
    <s v="Operational"/>
    <n v="390218"/>
    <s v="SDK-24"/>
    <x v="3"/>
    <x v="1"/>
  </r>
  <r>
    <n v="27816622"/>
    <x v="1"/>
    <x v="288"/>
    <m/>
    <s v="MD11"/>
    <x v="1"/>
    <x v="93"/>
    <x v="36"/>
    <m/>
    <s v="FX 5033"/>
    <s v="DXB"/>
    <s v="Operational"/>
    <n v="390219"/>
    <s v="SDK-24"/>
    <x v="3"/>
    <x v="1"/>
  </r>
  <r>
    <n v="27802717"/>
    <x v="1"/>
    <x v="298"/>
    <m/>
    <s v="MD83"/>
    <x v="1"/>
    <x v="96"/>
    <x v="36"/>
    <m/>
    <s v="FZ 831"/>
    <s v="DXB"/>
    <s v="Operational"/>
    <n v="390178"/>
    <s v="SDK-24"/>
    <x v="3"/>
    <x v="1"/>
  </r>
  <r>
    <n v="27802728"/>
    <x v="1"/>
    <x v="301"/>
    <m/>
    <s v="MD83"/>
    <x v="1"/>
    <x v="96"/>
    <x v="36"/>
    <m/>
    <s v="FZ 831"/>
    <s v="DXB"/>
    <s v="Operational"/>
    <n v="390179"/>
    <s v="SAM-105"/>
    <x v="4"/>
    <x v="0"/>
  </r>
  <r>
    <n v="27802992"/>
    <x v="1"/>
    <x v="325"/>
    <m/>
    <s v="A380/8"/>
    <x v="3"/>
    <x v="106"/>
    <x v="36"/>
    <m/>
    <s v="EK 704"/>
    <s v="DXB"/>
    <s v="Operational"/>
    <n v="390180"/>
    <s v="SDK-21"/>
    <x v="5"/>
    <x v="1"/>
  </r>
  <r>
    <n v="27816690"/>
    <x v="1"/>
    <x v="479"/>
    <m/>
    <s v="MD11"/>
    <x v="1"/>
    <x v="93"/>
    <x v="36"/>
    <m/>
    <s v="FX 5033"/>
    <s v="DXB"/>
    <s v="Operational"/>
    <n v="390220"/>
    <s v="SDK-24"/>
    <x v="3"/>
    <x v="1"/>
  </r>
  <r>
    <n v="27807312"/>
    <x v="1"/>
    <x v="586"/>
    <m/>
    <s v="B737/8"/>
    <x v="8"/>
    <x v="130"/>
    <x v="36"/>
    <m/>
    <s v="FZ 344"/>
    <s v="DXB"/>
    <s v="Operational"/>
    <n v="390182"/>
    <s v="SDK-24"/>
    <x v="3"/>
    <x v="1"/>
  </r>
  <r>
    <n v="27816760"/>
    <x v="1"/>
    <x v="597"/>
    <m/>
    <s v="MD11"/>
    <x v="1"/>
    <x v="93"/>
    <x v="36"/>
    <m/>
    <s v="FX 5033"/>
    <s v="DXB"/>
    <s v="Operational"/>
    <n v="390221"/>
    <s v="SDK-24"/>
    <x v="3"/>
    <x v="1"/>
  </r>
  <r>
    <n v="27807792"/>
    <x v="1"/>
    <x v="615"/>
    <m/>
    <s v="A320-NEO"/>
    <x v="0"/>
    <x v="9"/>
    <x v="36"/>
    <m/>
    <s v="XY 215"/>
    <s v="DXB"/>
    <s v="Operational"/>
    <n v="390183"/>
    <s v="SDK-24"/>
    <x v="3"/>
    <x v="1"/>
  </r>
  <r>
    <n v="27808477"/>
    <x v="1"/>
    <x v="656"/>
    <m/>
    <s v="A380/8"/>
    <x v="4"/>
    <x v="103"/>
    <x v="36"/>
    <m/>
    <s v="EK 020"/>
    <s v="DXB"/>
    <s v="Operational"/>
    <n v="390184"/>
    <s v="SAM-105"/>
    <x v="4"/>
    <x v="0"/>
  </r>
  <r>
    <n v="27808480"/>
    <x v="1"/>
    <x v="657"/>
    <m/>
    <m/>
    <x v="4"/>
    <x v="103"/>
    <x v="36"/>
    <m/>
    <s v="EK 020"/>
    <s v="DXB"/>
    <s v="Operational"/>
    <n v="390185"/>
    <s v="SAM-105"/>
    <x v="4"/>
    <x v="0"/>
  </r>
  <r>
    <n v="27809241"/>
    <x v="1"/>
    <x v="698"/>
    <m/>
    <s v="A380/8"/>
    <x v="3"/>
    <x v="30"/>
    <x v="36"/>
    <m/>
    <s v="EK 232"/>
    <s v="DXB"/>
    <s v="Operational"/>
    <n v="390186"/>
    <s v="SAM-105"/>
    <x v="4"/>
    <x v="0"/>
  </r>
  <r>
    <n v="27809279"/>
    <x v="1"/>
    <x v="703"/>
    <m/>
    <s v="B737/8-MAX"/>
    <x v="1"/>
    <x v="1"/>
    <x v="36"/>
    <m/>
    <s v="FZ 756"/>
    <s v="DXB"/>
    <s v="Operational"/>
    <n v="390187"/>
    <s v="SDK-24"/>
    <x v="3"/>
    <x v="1"/>
  </r>
  <r>
    <n v="27809312"/>
    <x v="1"/>
    <x v="707"/>
    <m/>
    <s v="B737/8-MAX"/>
    <x v="1"/>
    <x v="1"/>
    <x v="36"/>
    <m/>
    <s v="FZ 756"/>
    <s v="DXB"/>
    <s v="Operational"/>
    <n v="390188"/>
    <s v="SDK-24"/>
    <x v="3"/>
    <x v="1"/>
  </r>
  <r>
    <n v="27809333"/>
    <x v="1"/>
    <x v="710"/>
    <m/>
    <s v="B737/8-MAX"/>
    <x v="1"/>
    <x v="1"/>
    <x v="36"/>
    <m/>
    <s v="FZ 756"/>
    <s v="DXB"/>
    <s v="Operational"/>
    <n v="390189"/>
    <s v="SDK-24"/>
    <x v="3"/>
    <x v="1"/>
  </r>
  <r>
    <n v="27809368"/>
    <x v="1"/>
    <x v="716"/>
    <m/>
    <s v="B767/2"/>
    <x v="1"/>
    <x v="117"/>
    <x v="36"/>
    <m/>
    <s v="ES 269"/>
    <s v="DXB"/>
    <s v="Technical"/>
    <n v="390190"/>
    <s v="SDK-3"/>
    <x v="6"/>
    <x v="2"/>
  </r>
  <r>
    <n v="27809442"/>
    <x v="1"/>
    <x v="722"/>
    <m/>
    <s v="B767/2"/>
    <x v="1"/>
    <x v="117"/>
    <x v="36"/>
    <m/>
    <s v="ES 269"/>
    <s v="DXB"/>
    <s v="Technical"/>
    <n v="390191"/>
    <s v="SDK-3"/>
    <x v="6"/>
    <x v="2"/>
  </r>
  <r>
    <n v="27809612"/>
    <x v="1"/>
    <x v="737"/>
    <m/>
    <s v="B767/2"/>
    <x v="1"/>
    <x v="117"/>
    <x v="36"/>
    <m/>
    <s v="ES 269"/>
    <s v="DXB"/>
    <s v="Technical"/>
    <n v="390192"/>
    <s v="SDK-3"/>
    <x v="6"/>
    <x v="2"/>
  </r>
  <r>
    <n v="27809654"/>
    <x v="1"/>
    <x v="743"/>
    <m/>
    <s v="B767/2"/>
    <x v="1"/>
    <x v="117"/>
    <x v="36"/>
    <m/>
    <s v="ES 269"/>
    <s v="DXB"/>
    <s v="Technical"/>
    <n v="390193"/>
    <s v="SDK-3"/>
    <x v="6"/>
    <x v="2"/>
  </r>
  <r>
    <n v="27809856"/>
    <x v="1"/>
    <x v="758"/>
    <m/>
    <s v="B767/2"/>
    <x v="1"/>
    <x v="117"/>
    <x v="36"/>
    <m/>
    <s v="ES 269"/>
    <s v="DXB"/>
    <s v="Technical"/>
    <n v="390194"/>
    <s v="SDK-3"/>
    <x v="6"/>
    <x v="2"/>
  </r>
  <r>
    <n v="27809963"/>
    <x v="1"/>
    <x v="768"/>
    <m/>
    <s v="B767/2"/>
    <x v="1"/>
    <x v="117"/>
    <x v="36"/>
    <m/>
    <s v="ES 269"/>
    <s v="DXB"/>
    <s v="Technical"/>
    <n v="390195"/>
    <s v="SDK-3"/>
    <x v="6"/>
    <x v="2"/>
  </r>
  <r>
    <n v="27810601"/>
    <x v="1"/>
    <x v="808"/>
    <m/>
    <s v="A380/8"/>
    <x v="3"/>
    <x v="30"/>
    <x v="36"/>
    <m/>
    <s v="EK 923"/>
    <s v="DXB"/>
    <s v="Technical"/>
    <n v="390196"/>
    <s v="SAM-1"/>
    <x v="2"/>
    <x v="0"/>
  </r>
  <r>
    <n v="27810845"/>
    <x v="1"/>
    <x v="3123"/>
    <m/>
    <m/>
    <x v="1"/>
    <x v="117"/>
    <x v="36"/>
    <m/>
    <s v="ES 268"/>
    <s v="DXB"/>
    <s v="Technical"/>
    <n v="390197"/>
    <s v="SDK-10.1"/>
    <x v="7"/>
    <x v="2"/>
  </r>
  <r>
    <n v="27812239"/>
    <x v="1"/>
    <x v="3124"/>
    <m/>
    <m/>
    <x v="9"/>
    <x v="178"/>
    <x v="36"/>
    <m/>
    <m/>
    <s v="DXB"/>
    <s v="Technical"/>
    <n v="390198"/>
    <s v="SAM-2"/>
    <x v="8"/>
    <x v="0"/>
  </r>
  <r>
    <n v="27812441"/>
    <x v="1"/>
    <x v="901"/>
    <m/>
    <s v="B777/3-ER"/>
    <x v="4"/>
    <x v="97"/>
    <x v="36"/>
    <m/>
    <m/>
    <s v="DXB"/>
    <s v="Operational"/>
    <n v="390199"/>
    <s v="SDK-14"/>
    <x v="9"/>
    <x v="1"/>
  </r>
  <r>
    <n v="27812491"/>
    <x v="1"/>
    <x v="906"/>
    <m/>
    <s v="B777/3-ER"/>
    <x v="4"/>
    <x v="97"/>
    <x v="36"/>
    <m/>
    <s v="EK 785"/>
    <s v="DXB"/>
    <s v="Operational"/>
    <n v="390200"/>
    <s v="SDK-14"/>
    <x v="9"/>
    <x v="1"/>
  </r>
  <r>
    <n v="27813762"/>
    <x v="1"/>
    <x v="979"/>
    <m/>
    <m/>
    <x v="0"/>
    <x v="29"/>
    <x v="36"/>
    <m/>
    <s v="J9 122"/>
    <s v="DXB"/>
    <s v="Technical"/>
    <n v="390201"/>
    <s v="SAM-5"/>
    <x v="10"/>
    <x v="0"/>
  </r>
  <r>
    <n v="27814206"/>
    <x v="1"/>
    <x v="998"/>
    <m/>
    <m/>
    <x v="3"/>
    <x v="118"/>
    <x v="36"/>
    <m/>
    <s v="EK 235"/>
    <s v="DXB"/>
    <s v="Operational"/>
    <n v="390202"/>
    <s v="SAM-105"/>
    <x v="4"/>
    <x v="0"/>
  </r>
  <r>
    <n v="27814544"/>
    <x v="1"/>
    <x v="71"/>
    <m/>
    <m/>
    <x v="3"/>
    <x v="42"/>
    <x v="36"/>
    <m/>
    <s v="EK 977"/>
    <s v="DXB"/>
    <s v="Operational"/>
    <n v="390205"/>
    <s v="SAM-105"/>
    <x v="4"/>
    <x v="0"/>
  </r>
  <r>
    <n v="27814929"/>
    <x v="1"/>
    <x v="104"/>
    <m/>
    <s v="A320"/>
    <x v="0"/>
    <x v="29"/>
    <x v="36"/>
    <m/>
    <s v="J9 121"/>
    <s v="DXB"/>
    <s v="Technical"/>
    <n v="390206"/>
    <s v="SAM-5"/>
    <x v="10"/>
    <x v="0"/>
  </r>
  <r>
    <n v="27814930"/>
    <x v="1"/>
    <x v="104"/>
    <m/>
    <s v="A320"/>
    <x v="0"/>
    <x v="29"/>
    <x v="36"/>
    <m/>
    <s v="J9 121"/>
    <s v="DXB"/>
    <s v="Technical"/>
    <n v="390207"/>
    <s v="SAM-5"/>
    <x v="10"/>
    <x v="0"/>
  </r>
  <r>
    <n v="27814931"/>
    <x v="1"/>
    <x v="104"/>
    <m/>
    <s v="A320"/>
    <x v="0"/>
    <x v="29"/>
    <x v="36"/>
    <m/>
    <s v="J9 121"/>
    <s v="DXB"/>
    <s v="Technical"/>
    <n v="390208"/>
    <s v="SAM-5"/>
    <x v="10"/>
    <x v="0"/>
  </r>
  <r>
    <n v="27815012"/>
    <x v="1"/>
    <x v="115"/>
    <m/>
    <m/>
    <x v="4"/>
    <x v="25"/>
    <x v="36"/>
    <m/>
    <m/>
    <s v="DXB"/>
    <s v="Operational"/>
    <n v="390209"/>
    <s v="SAM-105"/>
    <x v="4"/>
    <x v="0"/>
  </r>
  <r>
    <n v="27816838"/>
    <x v="1"/>
    <x v="673"/>
    <m/>
    <m/>
    <x v="0"/>
    <x v="29"/>
    <x v="36"/>
    <m/>
    <s v="J9 121"/>
    <s v="DXB"/>
    <s v="Technical"/>
    <n v="390222"/>
    <s v="SAM-5"/>
    <x v="10"/>
    <x v="0"/>
  </r>
  <r>
    <n v="27816839"/>
    <x v="1"/>
    <x v="673"/>
    <m/>
    <m/>
    <x v="0"/>
    <x v="29"/>
    <x v="36"/>
    <m/>
    <s v="J9 121"/>
    <s v="DXB"/>
    <s v="Technical"/>
    <n v="390223"/>
    <s v="SAM-5"/>
    <x v="10"/>
    <x v="0"/>
  </r>
  <r>
    <n v="27816840"/>
    <x v="1"/>
    <x v="673"/>
    <m/>
    <m/>
    <x v="0"/>
    <x v="29"/>
    <x v="36"/>
    <m/>
    <s v="J9 121"/>
    <s v="DXB"/>
    <s v="Technical"/>
    <n v="390224"/>
    <s v="SAM-5"/>
    <x v="10"/>
    <x v="0"/>
  </r>
  <r>
    <n v="27817103"/>
    <x v="1"/>
    <x v="894"/>
    <m/>
    <m/>
    <x v="3"/>
    <x v="44"/>
    <x v="36"/>
    <m/>
    <s v="EK 051"/>
    <s v="DXB"/>
    <s v="Operational"/>
    <n v="390225"/>
    <s v="SAM-105"/>
    <x v="4"/>
    <x v="0"/>
  </r>
  <r>
    <n v="27817174"/>
    <x v="1"/>
    <x v="941"/>
    <m/>
    <s v="A320"/>
    <x v="0"/>
    <x v="29"/>
    <x v="36"/>
    <m/>
    <s v="J9 122"/>
    <s v="DXB"/>
    <s v="Technical"/>
    <n v="390226"/>
    <s v="SAM-5"/>
    <x v="10"/>
    <x v="0"/>
  </r>
  <r>
    <n v="27817540"/>
    <x v="1"/>
    <x v="3125"/>
    <m/>
    <m/>
    <x v="9"/>
    <x v="179"/>
    <x v="36"/>
    <m/>
    <m/>
    <s v="DXB"/>
    <s v="Technical"/>
    <n v="390227"/>
    <s v="SAM-2"/>
    <x v="11"/>
    <x v="0"/>
  </r>
  <r>
    <n v="27817657"/>
    <x v="1"/>
    <x v="47"/>
    <m/>
    <s v="A320"/>
    <x v="0"/>
    <x v="29"/>
    <x v="36"/>
    <m/>
    <s v="J9 122"/>
    <s v="DXB"/>
    <s v="Technical"/>
    <n v="390228"/>
    <s v="SAM-5"/>
    <x v="10"/>
    <x v="0"/>
  </r>
  <r>
    <n v="27817658"/>
    <x v="1"/>
    <x v="47"/>
    <m/>
    <s v="A320"/>
    <x v="0"/>
    <x v="29"/>
    <x v="36"/>
    <m/>
    <s v="J9 122"/>
    <s v="DXB"/>
    <s v="Technical"/>
    <n v="390229"/>
    <s v="SAM-5"/>
    <x v="10"/>
    <x v="0"/>
  </r>
  <r>
    <n v="27817659"/>
    <x v="1"/>
    <x v="3126"/>
    <m/>
    <s v="A320"/>
    <x v="0"/>
    <x v="29"/>
    <x v="36"/>
    <m/>
    <s v="J9 122"/>
    <s v="DXB"/>
    <s v="Technical"/>
    <n v="390230"/>
    <s v="SAM-5"/>
    <x v="10"/>
    <x v="0"/>
  </r>
  <r>
    <n v="27818137"/>
    <x v="1"/>
    <x v="1008"/>
    <m/>
    <m/>
    <x v="0"/>
    <x v="29"/>
    <x v="36"/>
    <m/>
    <s v="6E 062"/>
    <s v="DXB"/>
    <s v="Technical"/>
    <n v="390232"/>
    <s v="SAM-5"/>
    <x v="10"/>
    <x v="0"/>
  </r>
  <r>
    <n v="27818113"/>
    <x v="1"/>
    <x v="1006"/>
    <m/>
    <s v="B777/3-ER"/>
    <x v="3"/>
    <x v="26"/>
    <x v="36"/>
    <m/>
    <s v="EK 149"/>
    <s v="DXB"/>
    <s v="Operational"/>
    <n v="390231"/>
    <s v="SDK-12.1"/>
    <x v="12"/>
    <x v="1"/>
  </r>
  <r>
    <n v="27818145"/>
    <x v="1"/>
    <x v="1009"/>
    <m/>
    <s v="A321-NEO"/>
    <x v="0"/>
    <x v="29"/>
    <x v="36"/>
    <m/>
    <s v="ME 426"/>
    <s v="DXB"/>
    <s v="Operational"/>
    <n v="390233"/>
    <s v="SDK-24"/>
    <x v="3"/>
    <x v="1"/>
  </r>
  <r>
    <n v="27818218"/>
    <x v="1"/>
    <x v="1014"/>
    <m/>
    <m/>
    <x v="0"/>
    <x v="29"/>
    <x v="36"/>
    <m/>
    <s v="6E 062"/>
    <s v="DXB"/>
    <s v="Technical"/>
    <n v="390234"/>
    <s v="SAM-5"/>
    <x v="10"/>
    <x v="0"/>
  </r>
  <r>
    <n v="27818230"/>
    <x v="1"/>
    <x v="1016"/>
    <m/>
    <m/>
    <x v="1"/>
    <x v="31"/>
    <x v="36"/>
    <m/>
    <m/>
    <s v="DXB"/>
    <s v="Technical"/>
    <n v="-1"/>
    <s v="SAM-1"/>
    <x v="2"/>
    <x v="0"/>
  </r>
  <r>
    <n v="27818561"/>
    <x v="1"/>
    <x v="1036"/>
    <m/>
    <s v="B777/3"/>
    <x v="2"/>
    <x v="79"/>
    <x v="36"/>
    <m/>
    <s v="EK 346"/>
    <s v="DXB"/>
    <s v="Operational"/>
    <n v="390235"/>
    <s v="SAM-105"/>
    <x v="4"/>
    <x v="0"/>
  </r>
  <r>
    <n v="27819109"/>
    <x v="1"/>
    <x v="1075"/>
    <m/>
    <m/>
    <x v="4"/>
    <x v="119"/>
    <x v="36"/>
    <m/>
    <s v="EK 817"/>
    <s v="DXB"/>
    <s v="Operational"/>
    <n v="390236"/>
    <s v="SAM-105"/>
    <x v="4"/>
    <x v="0"/>
  </r>
  <r>
    <n v="27819220"/>
    <x v="1"/>
    <x v="1083"/>
    <m/>
    <s v="B737/8-MAX"/>
    <x v="1"/>
    <x v="101"/>
    <x v="36"/>
    <m/>
    <s v="FZ 836"/>
    <s v="DXB"/>
    <s v="Operational"/>
    <n v="390237"/>
    <s v="SDK-21"/>
    <x v="5"/>
    <x v="1"/>
  </r>
  <r>
    <n v="27820112"/>
    <x v="1"/>
    <x v="1144"/>
    <m/>
    <m/>
    <x v="0"/>
    <x v="14"/>
    <x v="36"/>
    <m/>
    <s v="ET 603"/>
    <s v="DXB"/>
    <s v="Operational"/>
    <n v="390238"/>
    <s v="SAM-105"/>
    <x v="4"/>
    <x v="0"/>
  </r>
  <r>
    <n v="27820205"/>
    <x v="1"/>
    <x v="1152"/>
    <m/>
    <s v="B777/3-ER"/>
    <x v="6"/>
    <x v="163"/>
    <x v="36"/>
    <m/>
    <m/>
    <s v="DXB"/>
    <s v="Technical"/>
    <n v="390239"/>
    <s v="SAM-1"/>
    <x v="2"/>
    <x v="0"/>
  </r>
  <r>
    <n v="27820487"/>
    <x v="1"/>
    <x v="1175"/>
    <m/>
    <s v="B777/3-ER"/>
    <x v="2"/>
    <x v="100"/>
    <x v="36"/>
    <m/>
    <s v="EK 706"/>
    <s v="DXB"/>
    <s v="Operational"/>
    <n v="390240"/>
    <s v="SDK-24"/>
    <x v="3"/>
    <x v="1"/>
  </r>
  <r>
    <n v="27820662"/>
    <x v="1"/>
    <x v="1191"/>
    <m/>
    <m/>
    <x v="4"/>
    <x v="119"/>
    <x v="36"/>
    <m/>
    <s v="EK 817"/>
    <s v="DXB"/>
    <s v="Operational"/>
    <n v="390241"/>
    <s v="SAM-105"/>
    <x v="4"/>
    <x v="0"/>
  </r>
  <r>
    <n v="27820683"/>
    <x v="1"/>
    <x v="1194"/>
    <m/>
    <m/>
    <x v="6"/>
    <x v="161"/>
    <x v="36"/>
    <m/>
    <s v="EK 236"/>
    <s v="DXB"/>
    <s v="Operational"/>
    <n v="390242"/>
    <s v="SAM-105"/>
    <x v="4"/>
    <x v="0"/>
  </r>
  <r>
    <n v="27820829"/>
    <x v="1"/>
    <x v="1204"/>
    <m/>
    <m/>
    <x v="1"/>
    <x v="164"/>
    <x v="36"/>
    <m/>
    <m/>
    <s v="DXB"/>
    <s v="Technical"/>
    <n v="390244"/>
    <s v="SAM-5"/>
    <x v="13"/>
    <x v="0"/>
  </r>
  <r>
    <n v="27820822"/>
    <x v="1"/>
    <x v="1204"/>
    <m/>
    <s v="A380/8"/>
    <x v="1"/>
    <x v="164"/>
    <x v="36"/>
    <m/>
    <m/>
    <s v="DXB"/>
    <s v="Technical"/>
    <n v="390243"/>
    <s v="SAM-1"/>
    <x v="2"/>
    <x v="0"/>
  </r>
  <r>
    <n v="27820830"/>
    <x v="1"/>
    <x v="1204"/>
    <m/>
    <m/>
    <x v="1"/>
    <x v="164"/>
    <x v="36"/>
    <m/>
    <m/>
    <s v="DXB"/>
    <s v="Technical"/>
    <n v="390245"/>
    <s v="SAM-5"/>
    <x v="14"/>
    <x v="0"/>
  </r>
  <r>
    <n v="27820831"/>
    <x v="1"/>
    <x v="1204"/>
    <m/>
    <m/>
    <x v="1"/>
    <x v="164"/>
    <x v="36"/>
    <m/>
    <m/>
    <s v="DXB"/>
    <s v="Technical"/>
    <n v="390246"/>
    <s v="SAM-5"/>
    <x v="15"/>
    <x v="0"/>
  </r>
  <r>
    <n v="27820832"/>
    <x v="1"/>
    <x v="1204"/>
    <m/>
    <m/>
    <x v="1"/>
    <x v="164"/>
    <x v="36"/>
    <m/>
    <m/>
    <s v="DXB"/>
    <s v="Technical"/>
    <n v="390247"/>
    <s v="SAM-5"/>
    <x v="16"/>
    <x v="0"/>
  </r>
  <r>
    <n v="27820833"/>
    <x v="1"/>
    <x v="1204"/>
    <m/>
    <m/>
    <x v="1"/>
    <x v="164"/>
    <x v="36"/>
    <m/>
    <m/>
    <s v="DXB"/>
    <s v="Technical"/>
    <n v="390248"/>
    <s v="SAM-5"/>
    <x v="17"/>
    <x v="0"/>
  </r>
  <r>
    <n v="27820834"/>
    <x v="1"/>
    <x v="1204"/>
    <m/>
    <m/>
    <x v="1"/>
    <x v="164"/>
    <x v="36"/>
    <m/>
    <m/>
    <s v="DXB"/>
    <s v="Technical"/>
    <n v="390249"/>
    <s v="SAM-5"/>
    <x v="18"/>
    <x v="0"/>
  </r>
  <r>
    <n v="27821425"/>
    <x v="1"/>
    <x v="1243"/>
    <m/>
    <m/>
    <x v="6"/>
    <x v="161"/>
    <x v="36"/>
    <m/>
    <s v="EK 236"/>
    <s v="DXB"/>
    <s v="Operational"/>
    <n v="390250"/>
    <s v="SAM-105"/>
    <x v="4"/>
    <x v="0"/>
  </r>
  <r>
    <n v="27821511"/>
    <x v="1"/>
    <x v="1250"/>
    <m/>
    <s v="B777/2"/>
    <x v="1"/>
    <x v="28"/>
    <x v="36"/>
    <m/>
    <s v="FX 9876"/>
    <s v="DXB"/>
    <s v="Operational"/>
    <n v="390251"/>
    <s v="SDK-24"/>
    <x v="3"/>
    <x v="1"/>
  </r>
  <r>
    <n v="27821567"/>
    <x v="1"/>
    <x v="1257"/>
    <m/>
    <s v="B777/2"/>
    <x v="1"/>
    <x v="150"/>
    <x v="36"/>
    <m/>
    <s v="FX 5040"/>
    <s v="DXB"/>
    <s v="Operational"/>
    <n v="390252"/>
    <s v="SDK-24"/>
    <x v="3"/>
    <x v="1"/>
  </r>
  <r>
    <n v="27821581"/>
    <x v="1"/>
    <x v="1259"/>
    <m/>
    <s v="B777/2"/>
    <x v="1"/>
    <x v="28"/>
    <x v="36"/>
    <m/>
    <s v="FX 9876"/>
    <s v="DXB"/>
    <s v="Operational"/>
    <n v="390253"/>
    <s v="SDK-24"/>
    <x v="3"/>
    <x v="1"/>
  </r>
  <r>
    <n v="27821609"/>
    <x v="1"/>
    <x v="3127"/>
    <m/>
    <m/>
    <x v="9"/>
    <x v="180"/>
    <x v="36"/>
    <m/>
    <m/>
    <s v="DXB"/>
    <s v="Technical"/>
    <n v="390254"/>
    <s v="SAM-2"/>
    <x v="19"/>
    <x v="0"/>
  </r>
  <r>
    <n v="27821630"/>
    <x v="1"/>
    <x v="1262"/>
    <m/>
    <s v="B777/2"/>
    <x v="1"/>
    <x v="28"/>
    <x v="36"/>
    <m/>
    <s v="FX 9876"/>
    <s v="DXB"/>
    <s v="Operational"/>
    <n v="390255"/>
    <s v="SDK-24"/>
    <x v="3"/>
    <x v="1"/>
  </r>
  <r>
    <n v="27822115"/>
    <x v="1"/>
    <x v="1288"/>
    <m/>
    <m/>
    <x v="1"/>
    <x v="31"/>
    <x v="36"/>
    <m/>
    <m/>
    <s v="DXB"/>
    <s v="Technical"/>
    <n v="-1"/>
    <s v="SAM-1"/>
    <x v="2"/>
    <x v="0"/>
  </r>
  <r>
    <n v="27822298"/>
    <x v="1"/>
    <x v="1302"/>
    <m/>
    <m/>
    <x v="1"/>
    <x v="31"/>
    <x v="36"/>
    <m/>
    <m/>
    <s v="DXB"/>
    <s v="Technical"/>
    <n v="-1"/>
    <s v="SAM-1"/>
    <x v="2"/>
    <x v="0"/>
  </r>
  <r>
    <n v="27822474"/>
    <x v="1"/>
    <x v="1307"/>
    <m/>
    <s v="B737/8"/>
    <x v="1"/>
    <x v="11"/>
    <x v="36"/>
    <m/>
    <s v="FZ 658"/>
    <s v="DXB"/>
    <s v="Operational"/>
    <n v="390256"/>
    <s v="SDK-24"/>
    <x v="3"/>
    <x v="1"/>
  </r>
  <r>
    <n v="27822482"/>
    <x v="1"/>
    <x v="3128"/>
    <m/>
    <s v="B737/8"/>
    <x v="1"/>
    <x v="11"/>
    <x v="36"/>
    <m/>
    <s v="FZ 658"/>
    <s v="DXB"/>
    <s v="Operational"/>
    <n v="390257"/>
    <s v="SDK-24"/>
    <x v="3"/>
    <x v="1"/>
  </r>
  <r>
    <n v="27823089"/>
    <x v="1"/>
    <x v="1342"/>
    <m/>
    <s v="B777/2"/>
    <x v="1"/>
    <x v="166"/>
    <x v="36"/>
    <m/>
    <s v="FX 9839"/>
    <s v="DXB"/>
    <s v="Operational"/>
    <n v="390258"/>
    <s v="SDK-24"/>
    <x v="3"/>
    <x v="1"/>
  </r>
  <r>
    <n v="27823099"/>
    <x v="1"/>
    <x v="1344"/>
    <m/>
    <s v="B777/2"/>
    <x v="1"/>
    <x v="166"/>
    <x v="36"/>
    <m/>
    <s v="FX 9839"/>
    <s v="DXB"/>
    <s v="Operational"/>
    <n v="390259"/>
    <s v="SDK-24"/>
    <x v="3"/>
    <x v="1"/>
  </r>
  <r>
    <n v="27823108"/>
    <x v="1"/>
    <x v="1346"/>
    <m/>
    <s v="B777/2"/>
    <x v="1"/>
    <x v="166"/>
    <x v="36"/>
    <m/>
    <s v="FX 9839"/>
    <s v="DXB"/>
    <s v="Operational"/>
    <n v="390260"/>
    <s v="SDK-24"/>
    <x v="3"/>
    <x v="1"/>
  </r>
  <r>
    <n v="27823128"/>
    <x v="1"/>
    <x v="1348"/>
    <m/>
    <m/>
    <x v="1"/>
    <x v="31"/>
    <x v="36"/>
    <m/>
    <m/>
    <s v="DXB"/>
    <s v="Technical"/>
    <n v="-1"/>
    <s v="SAM-1"/>
    <x v="2"/>
    <x v="0"/>
  </r>
  <r>
    <n v="27823169"/>
    <x v="1"/>
    <x v="1350"/>
    <m/>
    <s v="A321-NEO"/>
    <x v="0"/>
    <x v="9"/>
    <x v="36"/>
    <m/>
    <s v="KC 898"/>
    <s v="DXB"/>
    <s v="Technical"/>
    <n v="390261"/>
    <s v="SAM-1"/>
    <x v="2"/>
    <x v="0"/>
  </r>
  <r>
    <n v="27823224"/>
    <x v="1"/>
    <x v="1352"/>
    <m/>
    <m/>
    <x v="1"/>
    <x v="31"/>
    <x v="36"/>
    <m/>
    <m/>
    <s v="DXB"/>
    <s v="Technical"/>
    <n v="-1"/>
    <s v="SAM-1"/>
    <x v="2"/>
    <x v="0"/>
  </r>
  <r>
    <n v="27823437"/>
    <x v="1"/>
    <x v="1365"/>
    <m/>
    <m/>
    <x v="1"/>
    <x v="31"/>
    <x v="36"/>
    <m/>
    <m/>
    <s v="DXB"/>
    <s v="Technical"/>
    <n v="-1"/>
    <s v="SAM-1"/>
    <x v="2"/>
    <x v="0"/>
  </r>
  <r>
    <n v="27823556"/>
    <x v="1"/>
    <x v="1370"/>
    <m/>
    <m/>
    <x v="1"/>
    <x v="31"/>
    <x v="36"/>
    <m/>
    <m/>
    <s v="DXB"/>
    <s v="Technical"/>
    <n v="-1"/>
    <s v="SAM-1"/>
    <x v="2"/>
    <x v="0"/>
  </r>
  <r>
    <n v="27823568"/>
    <x v="1"/>
    <x v="3129"/>
    <m/>
    <m/>
    <x v="1"/>
    <x v="117"/>
    <x v="36"/>
    <m/>
    <s v="ES 262"/>
    <s v="DXB"/>
    <s v="Technical"/>
    <n v="390262"/>
    <s v="SDK-25"/>
    <x v="20"/>
    <x v="0"/>
  </r>
  <r>
    <n v="27823575"/>
    <x v="1"/>
    <x v="1373"/>
    <m/>
    <m/>
    <x v="1"/>
    <x v="31"/>
    <x v="36"/>
    <m/>
    <m/>
    <s v="DXB"/>
    <s v="Technical"/>
    <n v="-1"/>
    <s v="SAM-1"/>
    <x v="2"/>
    <x v="0"/>
  </r>
  <r>
    <n v="27823574"/>
    <x v="1"/>
    <x v="1372"/>
    <m/>
    <m/>
    <x v="0"/>
    <x v="29"/>
    <x v="36"/>
    <m/>
    <s v="6E 062"/>
    <s v="DXB"/>
    <s v="Technical"/>
    <n v="390263"/>
    <s v="SAM-5"/>
    <x v="10"/>
    <x v="0"/>
  </r>
  <r>
    <n v="27823745"/>
    <x v="1"/>
    <x v="1382"/>
    <m/>
    <m/>
    <x v="1"/>
    <x v="31"/>
    <x v="36"/>
    <m/>
    <m/>
    <s v="DXB"/>
    <s v="Technical"/>
    <n v="-1"/>
    <s v="SAM-1"/>
    <x v="2"/>
    <x v="0"/>
  </r>
  <r>
    <n v="27823793"/>
    <x v="1"/>
    <x v="1386"/>
    <m/>
    <m/>
    <x v="1"/>
    <x v="31"/>
    <x v="36"/>
    <m/>
    <m/>
    <s v="DXB"/>
    <s v="Technical"/>
    <n v="-1"/>
    <s v="SAM-1"/>
    <x v="2"/>
    <x v="0"/>
  </r>
  <r>
    <n v="27823939"/>
    <x v="1"/>
    <x v="3130"/>
    <m/>
    <m/>
    <x v="0"/>
    <x v="22"/>
    <x v="36"/>
    <m/>
    <s v="AI 916"/>
    <s v="DXB"/>
    <s v="Operational"/>
    <n v="390264"/>
    <s v="SAM-105"/>
    <x v="4"/>
    <x v="0"/>
  </r>
  <r>
    <n v="27824037"/>
    <x v="1"/>
    <x v="1403"/>
    <m/>
    <m/>
    <x v="1"/>
    <x v="31"/>
    <x v="36"/>
    <m/>
    <m/>
    <s v="DXB"/>
    <s v="Technical"/>
    <n v="-1"/>
    <s v="SAM-1"/>
    <x v="2"/>
    <x v="0"/>
  </r>
  <r>
    <n v="27824082"/>
    <x v="1"/>
    <x v="1407"/>
    <m/>
    <s v="B777/3"/>
    <x v="1"/>
    <x v="117"/>
    <x v="36"/>
    <m/>
    <s v="ES 262"/>
    <s v="DXB"/>
    <s v="Operational"/>
    <n v="390265"/>
    <s v="SDK-24"/>
    <x v="3"/>
    <x v="1"/>
  </r>
  <r>
    <n v="27824190"/>
    <x v="1"/>
    <x v="3131"/>
    <m/>
    <m/>
    <x v="1"/>
    <x v="31"/>
    <x v="36"/>
    <m/>
    <m/>
    <s v="DXB"/>
    <s v="Technical"/>
    <n v="-1"/>
    <s v="SAM-1"/>
    <x v="2"/>
    <x v="0"/>
  </r>
  <r>
    <n v="27824371"/>
    <x v="1"/>
    <x v="1424"/>
    <m/>
    <m/>
    <x v="1"/>
    <x v="31"/>
    <x v="36"/>
    <m/>
    <m/>
    <s v="DXB"/>
    <s v="Technical"/>
    <n v="-1"/>
    <s v="SAM-1"/>
    <x v="2"/>
    <x v="0"/>
  </r>
  <r>
    <n v="27824359"/>
    <x v="1"/>
    <x v="3132"/>
    <m/>
    <m/>
    <x v="9"/>
    <x v="181"/>
    <x v="36"/>
    <m/>
    <m/>
    <s v="DXB"/>
    <s v="Technical"/>
    <n v="390266"/>
    <s v="SAM-2"/>
    <x v="21"/>
    <x v="0"/>
  </r>
  <r>
    <n v="27824376"/>
    <x v="1"/>
    <x v="3133"/>
    <m/>
    <m/>
    <x v="9"/>
    <x v="181"/>
    <x v="36"/>
    <m/>
    <m/>
    <s v="DXB"/>
    <s v="Technical"/>
    <n v="390267"/>
    <s v="SAM-2"/>
    <x v="21"/>
    <x v="0"/>
  </r>
  <r>
    <n v="27824484"/>
    <x v="1"/>
    <x v="1430"/>
    <m/>
    <m/>
    <x v="1"/>
    <x v="31"/>
    <x v="36"/>
    <m/>
    <m/>
    <s v="DXB"/>
    <s v="Technical"/>
    <n v="-1"/>
    <s v="SAM-1"/>
    <x v="2"/>
    <x v="0"/>
  </r>
  <r>
    <n v="27824516"/>
    <x v="1"/>
    <x v="1433"/>
    <m/>
    <m/>
    <x v="1"/>
    <x v="31"/>
    <x v="36"/>
    <m/>
    <m/>
    <s v="DXB"/>
    <s v="Technical"/>
    <n v="-1"/>
    <s v="SAM-1"/>
    <x v="2"/>
    <x v="0"/>
  </r>
  <r>
    <n v="27824584"/>
    <x v="1"/>
    <x v="1435"/>
    <m/>
    <m/>
    <x v="1"/>
    <x v="31"/>
    <x v="36"/>
    <m/>
    <m/>
    <s v="DXB"/>
    <s v="Technical"/>
    <n v="-1"/>
    <s v="SAM-1"/>
    <x v="2"/>
    <x v="0"/>
  </r>
  <r>
    <n v="27824762"/>
    <x v="1"/>
    <x v="1448"/>
    <m/>
    <s v="B747/8"/>
    <x v="1"/>
    <x v="74"/>
    <x v="36"/>
    <m/>
    <s v="UPS 012"/>
    <s v="DXB"/>
    <s v="Operational"/>
    <n v="390268"/>
    <s v="SDK-24"/>
    <x v="3"/>
    <x v="1"/>
  </r>
  <r>
    <n v="27824809"/>
    <x v="1"/>
    <x v="1452"/>
    <m/>
    <s v="B747/8"/>
    <x v="1"/>
    <x v="74"/>
    <x v="36"/>
    <m/>
    <s v="UPS 012"/>
    <s v="DXB"/>
    <s v="Operational"/>
    <n v="390269"/>
    <s v="SDK-24"/>
    <x v="3"/>
    <x v="1"/>
  </r>
  <r>
    <n v="27824814"/>
    <x v="1"/>
    <x v="1453"/>
    <m/>
    <m/>
    <x v="1"/>
    <x v="31"/>
    <x v="36"/>
    <m/>
    <m/>
    <s v="DXB"/>
    <s v="Technical"/>
    <n v="-1"/>
    <s v="SAM-1"/>
    <x v="2"/>
    <x v="0"/>
  </r>
  <r>
    <n v="27824861"/>
    <x v="1"/>
    <x v="1458"/>
    <m/>
    <s v="B747/8"/>
    <x v="1"/>
    <x v="74"/>
    <x v="36"/>
    <m/>
    <s v="UPS 012"/>
    <s v="DXB"/>
    <s v="Operational"/>
    <n v="390270"/>
    <s v="SDK-24"/>
    <x v="3"/>
    <x v="1"/>
  </r>
  <r>
    <n v="27824938"/>
    <x v="1"/>
    <x v="1463"/>
    <m/>
    <m/>
    <x v="1"/>
    <x v="31"/>
    <x v="36"/>
    <m/>
    <m/>
    <s v="DXB"/>
    <s v="Technical"/>
    <n v="-1"/>
    <s v="SAM-1"/>
    <x v="2"/>
    <x v="0"/>
  </r>
  <r>
    <n v="27824961"/>
    <x v="1"/>
    <x v="1465"/>
    <m/>
    <m/>
    <x v="1"/>
    <x v="31"/>
    <x v="36"/>
    <m/>
    <m/>
    <s v="DXB"/>
    <s v="Technical"/>
    <n v="-1"/>
    <s v="SAM-1"/>
    <x v="2"/>
    <x v="0"/>
  </r>
  <r>
    <n v="27825130"/>
    <x v="1"/>
    <x v="1474"/>
    <m/>
    <m/>
    <x v="1"/>
    <x v="31"/>
    <x v="36"/>
    <m/>
    <m/>
    <s v="DXB"/>
    <s v="Technical"/>
    <n v="-1"/>
    <s v="SAM-1"/>
    <x v="2"/>
    <x v="0"/>
  </r>
  <r>
    <n v="27825157"/>
    <x v="1"/>
    <x v="1476"/>
    <m/>
    <m/>
    <x v="1"/>
    <x v="31"/>
    <x v="36"/>
    <m/>
    <m/>
    <s v="DXB"/>
    <s v="Technical"/>
    <n v="-1"/>
    <s v="SAM-1"/>
    <x v="2"/>
    <x v="0"/>
  </r>
  <r>
    <n v="27825200"/>
    <x v="1"/>
    <x v="1481"/>
    <m/>
    <s v="B737/8"/>
    <x v="1"/>
    <x v="96"/>
    <x v="36"/>
    <m/>
    <s v="IX 615"/>
    <s v="DXB"/>
    <s v="Operational"/>
    <n v="390271"/>
    <s v="SDK-24"/>
    <x v="3"/>
    <x v="1"/>
  </r>
  <r>
    <n v="27825330"/>
    <x v="1"/>
    <x v="1489"/>
    <m/>
    <m/>
    <x v="3"/>
    <x v="26"/>
    <x v="36"/>
    <m/>
    <m/>
    <s v="DXB"/>
    <s v="Operational"/>
    <n v="390272"/>
    <s v="SAM-105"/>
    <x v="4"/>
    <x v="0"/>
  </r>
  <r>
    <n v="27825344"/>
    <x v="1"/>
    <x v="1491"/>
    <m/>
    <m/>
    <x v="1"/>
    <x v="31"/>
    <x v="36"/>
    <m/>
    <m/>
    <s v="DXB"/>
    <s v="Technical"/>
    <n v="-1"/>
    <s v="SAM-1"/>
    <x v="2"/>
    <x v="0"/>
  </r>
  <r>
    <n v="27825519"/>
    <x v="1"/>
    <x v="1505"/>
    <m/>
    <m/>
    <x v="1"/>
    <x v="31"/>
    <x v="36"/>
    <m/>
    <m/>
    <s v="DXB"/>
    <s v="Technical"/>
    <n v="-1"/>
    <s v="SAM-1"/>
    <x v="2"/>
    <x v="0"/>
  </r>
  <r>
    <n v="27825660"/>
    <x v="1"/>
    <x v="1512"/>
    <m/>
    <m/>
    <x v="0"/>
    <x v="92"/>
    <x v="36"/>
    <m/>
    <s v="KU 674"/>
    <s v="DXB"/>
    <s v="Operational"/>
    <n v="390273"/>
    <s v="SAM-105"/>
    <x v="4"/>
    <x v="0"/>
  </r>
  <r>
    <n v="27825679"/>
    <x v="1"/>
    <x v="1513"/>
    <m/>
    <m/>
    <x v="1"/>
    <x v="31"/>
    <x v="36"/>
    <m/>
    <m/>
    <s v="DXB"/>
    <s v="Technical"/>
    <n v="-1"/>
    <s v="SAM-1"/>
    <x v="2"/>
    <x v="0"/>
  </r>
  <r>
    <n v="27825749"/>
    <x v="1"/>
    <x v="1518"/>
    <m/>
    <m/>
    <x v="1"/>
    <x v="31"/>
    <x v="36"/>
    <m/>
    <m/>
    <s v="DXB"/>
    <s v="Technical"/>
    <n v="-1"/>
    <s v="SAM-1"/>
    <x v="2"/>
    <x v="0"/>
  </r>
  <r>
    <n v="27825789"/>
    <x v="1"/>
    <x v="1520"/>
    <m/>
    <s v="B777/3-ER"/>
    <x v="0"/>
    <x v="91"/>
    <x v="36"/>
    <m/>
    <s v="PK 203"/>
    <s v="DXB"/>
    <s v="Technical"/>
    <n v="390274"/>
    <s v="SAM-1"/>
    <x v="2"/>
    <x v="0"/>
  </r>
  <r>
    <n v="27825828"/>
    <x v="1"/>
    <x v="1525"/>
    <m/>
    <m/>
    <x v="1"/>
    <x v="31"/>
    <x v="36"/>
    <m/>
    <m/>
    <s v="DXB"/>
    <s v="Technical"/>
    <n v="-1"/>
    <s v="SAM-1"/>
    <x v="2"/>
    <x v="0"/>
  </r>
  <r>
    <n v="27826099"/>
    <x v="1"/>
    <x v="1545"/>
    <m/>
    <m/>
    <x v="1"/>
    <x v="31"/>
    <x v="36"/>
    <m/>
    <m/>
    <s v="DXB"/>
    <s v="Technical"/>
    <n v="-1"/>
    <s v="SAM-1"/>
    <x v="2"/>
    <x v="0"/>
  </r>
  <r>
    <n v="27826128"/>
    <x v="1"/>
    <x v="1548"/>
    <m/>
    <m/>
    <x v="1"/>
    <x v="31"/>
    <x v="36"/>
    <m/>
    <m/>
    <s v="DXB"/>
    <s v="Technical"/>
    <n v="-1"/>
    <s v="SAM-1"/>
    <x v="2"/>
    <x v="0"/>
  </r>
  <r>
    <n v="27826212"/>
    <x v="1"/>
    <x v="1553"/>
    <m/>
    <m/>
    <x v="1"/>
    <x v="31"/>
    <x v="36"/>
    <m/>
    <m/>
    <s v="DXB"/>
    <s v="Technical"/>
    <n v="-1"/>
    <s v="SAM-1"/>
    <x v="2"/>
    <x v="0"/>
  </r>
  <r>
    <n v="27826262"/>
    <x v="1"/>
    <x v="1558"/>
    <m/>
    <s v="B777/3-ER"/>
    <x v="0"/>
    <x v="88"/>
    <x v="36"/>
    <m/>
    <s v="ET 602"/>
    <s v="DXB"/>
    <s v="Operational"/>
    <n v="390275"/>
    <s v="SAM-105"/>
    <x v="4"/>
    <x v="0"/>
  </r>
  <r>
    <n v="27826315"/>
    <x v="1"/>
    <x v="1563"/>
    <m/>
    <m/>
    <x v="1"/>
    <x v="31"/>
    <x v="36"/>
    <m/>
    <m/>
    <s v="DXB"/>
    <s v="Technical"/>
    <n v="-1"/>
    <s v="SAM-1"/>
    <x v="2"/>
    <x v="0"/>
  </r>
  <r>
    <n v="27826351"/>
    <x v="1"/>
    <x v="1566"/>
    <m/>
    <m/>
    <x v="0"/>
    <x v="92"/>
    <x v="36"/>
    <m/>
    <s v="KU 674"/>
    <s v="DXB"/>
    <s v="Technical"/>
    <n v="390276"/>
    <s v="SAM-1"/>
    <x v="2"/>
    <x v="0"/>
  </r>
  <r>
    <n v="27826410"/>
    <x v="1"/>
    <x v="1571"/>
    <m/>
    <m/>
    <x v="0"/>
    <x v="92"/>
    <x v="36"/>
    <m/>
    <s v="KU 674"/>
    <s v="DXB"/>
    <s v="Operational"/>
    <n v="390277"/>
    <s v="SAM-105"/>
    <x v="4"/>
    <x v="0"/>
  </r>
  <r>
    <n v="27826494"/>
    <x v="1"/>
    <x v="1574"/>
    <m/>
    <m/>
    <x v="1"/>
    <x v="31"/>
    <x v="36"/>
    <m/>
    <m/>
    <s v="DXB"/>
    <s v="Technical"/>
    <n v="-1"/>
    <s v="SAM-1"/>
    <x v="2"/>
    <x v="0"/>
  </r>
  <r>
    <n v="27826514"/>
    <x v="1"/>
    <x v="1576"/>
    <m/>
    <m/>
    <x v="1"/>
    <x v="31"/>
    <x v="36"/>
    <m/>
    <m/>
    <s v="DXB"/>
    <s v="Technical"/>
    <n v="-1"/>
    <s v="SAM-1"/>
    <x v="2"/>
    <x v="0"/>
  </r>
  <r>
    <n v="27826543"/>
    <x v="1"/>
    <x v="1579"/>
    <m/>
    <s v="B777/3-ER"/>
    <x v="3"/>
    <x v="102"/>
    <x v="36"/>
    <m/>
    <s v="EK 612"/>
    <s v="DXB"/>
    <s v="Operational"/>
    <n v="390278"/>
    <s v="SDK-14"/>
    <x v="9"/>
    <x v="1"/>
  </r>
  <r>
    <n v="27826546"/>
    <x v="1"/>
    <x v="1580"/>
    <m/>
    <m/>
    <x v="1"/>
    <x v="31"/>
    <x v="36"/>
    <m/>
    <m/>
    <s v="DXB"/>
    <s v="Technical"/>
    <n v="-1"/>
    <s v="SAM-1"/>
    <x v="2"/>
    <x v="0"/>
  </r>
  <r>
    <n v="27826571"/>
    <x v="1"/>
    <x v="1586"/>
    <m/>
    <m/>
    <x v="0"/>
    <x v="88"/>
    <x v="36"/>
    <m/>
    <s v="ET 602"/>
    <s v="DXB"/>
    <s v="Operational"/>
    <n v="390279"/>
    <s v="SAM-105"/>
    <x v="4"/>
    <x v="0"/>
  </r>
  <r>
    <n v="27826640"/>
    <x v="1"/>
    <x v="1591"/>
    <m/>
    <m/>
    <x v="0"/>
    <x v="88"/>
    <x v="36"/>
    <m/>
    <s v="ET 602"/>
    <s v="DXB"/>
    <s v="Operational"/>
    <n v="390280"/>
    <s v="SAM-105"/>
    <x v="4"/>
    <x v="0"/>
  </r>
  <r>
    <n v="27826666"/>
    <x v="1"/>
    <x v="1595"/>
    <m/>
    <s v="A350/9"/>
    <x v="0"/>
    <x v="88"/>
    <x v="36"/>
    <m/>
    <s v="ET 602"/>
    <s v="DXB"/>
    <s v="Operational"/>
    <n v="390281"/>
    <s v="SAM-105"/>
    <x v="4"/>
    <x v="0"/>
  </r>
  <r>
    <n v="27826700"/>
    <x v="1"/>
    <x v="1599"/>
    <m/>
    <m/>
    <x v="1"/>
    <x v="31"/>
    <x v="36"/>
    <m/>
    <m/>
    <s v="DXB"/>
    <s v="Technical"/>
    <n v="-1"/>
    <s v="SAM-1"/>
    <x v="2"/>
    <x v="0"/>
  </r>
  <r>
    <n v="27826846"/>
    <x v="1"/>
    <x v="1609"/>
    <m/>
    <m/>
    <x v="3"/>
    <x v="102"/>
    <x v="36"/>
    <m/>
    <s v="EK 612"/>
    <s v="DXB"/>
    <s v="Operational"/>
    <n v="390282"/>
    <s v="SAM-105"/>
    <x v="4"/>
    <x v="0"/>
  </r>
  <r>
    <n v="27826888"/>
    <x v="1"/>
    <x v="1612"/>
    <m/>
    <m/>
    <x v="1"/>
    <x v="31"/>
    <x v="36"/>
    <m/>
    <m/>
    <s v="DXB"/>
    <s v="Technical"/>
    <n v="-1"/>
    <s v="SAM-1"/>
    <x v="2"/>
    <x v="0"/>
  </r>
  <r>
    <n v="27826919"/>
    <x v="1"/>
    <x v="1614"/>
    <m/>
    <m/>
    <x v="1"/>
    <x v="31"/>
    <x v="36"/>
    <m/>
    <m/>
    <s v="DXB"/>
    <s v="Technical"/>
    <n v="-1"/>
    <s v="SAM-1"/>
    <x v="2"/>
    <x v="0"/>
  </r>
  <r>
    <n v="27827027"/>
    <x v="1"/>
    <x v="1623"/>
    <m/>
    <m/>
    <x v="1"/>
    <x v="31"/>
    <x v="36"/>
    <m/>
    <m/>
    <s v="DXB"/>
    <s v="Technical"/>
    <n v="-1"/>
    <s v="SAM-1"/>
    <x v="2"/>
    <x v="0"/>
  </r>
  <r>
    <n v="27827106"/>
    <x v="1"/>
    <x v="1630"/>
    <m/>
    <s v="B737/8"/>
    <x v="1"/>
    <x v="6"/>
    <x v="36"/>
    <m/>
    <s v="IX 247"/>
    <s v="DXB"/>
    <s v="Operational"/>
    <n v="390283"/>
    <s v="SDK-24"/>
    <x v="3"/>
    <x v="1"/>
  </r>
  <r>
    <n v="27827120"/>
    <x v="1"/>
    <x v="1632"/>
    <m/>
    <m/>
    <x v="1"/>
    <x v="31"/>
    <x v="36"/>
    <m/>
    <m/>
    <s v="DXB"/>
    <s v="Technical"/>
    <n v="-1"/>
    <s v="SAM-1"/>
    <x v="2"/>
    <x v="0"/>
  </r>
  <r>
    <n v="27827152"/>
    <x v="1"/>
    <x v="1636"/>
    <m/>
    <m/>
    <x v="1"/>
    <x v="31"/>
    <x v="36"/>
    <m/>
    <m/>
    <s v="DXB"/>
    <s v="Technical"/>
    <n v="-1"/>
    <s v="SAM-1"/>
    <x v="2"/>
    <x v="0"/>
  </r>
  <r>
    <n v="27827181"/>
    <x v="1"/>
    <x v="1637"/>
    <m/>
    <m/>
    <x v="1"/>
    <x v="31"/>
    <x v="36"/>
    <m/>
    <m/>
    <s v="DXB"/>
    <s v="Technical"/>
    <n v="-1"/>
    <s v="SAM-1"/>
    <x v="2"/>
    <x v="0"/>
  </r>
  <r>
    <n v="27827204"/>
    <x v="1"/>
    <x v="1638"/>
    <m/>
    <m/>
    <x v="1"/>
    <x v="31"/>
    <x v="36"/>
    <m/>
    <m/>
    <s v="DXB"/>
    <s v="Technical"/>
    <n v="-1"/>
    <s v="SAM-1"/>
    <x v="2"/>
    <x v="0"/>
  </r>
  <r>
    <n v="27827357"/>
    <x v="1"/>
    <x v="1646"/>
    <m/>
    <m/>
    <x v="1"/>
    <x v="31"/>
    <x v="36"/>
    <m/>
    <m/>
    <s v="DXB"/>
    <s v="Technical"/>
    <n v="-1"/>
    <s v="SAM-1"/>
    <x v="2"/>
    <x v="0"/>
  </r>
  <r>
    <n v="27827452"/>
    <x v="1"/>
    <x v="1654"/>
    <m/>
    <m/>
    <x v="1"/>
    <x v="31"/>
    <x v="36"/>
    <m/>
    <m/>
    <s v="DXB"/>
    <s v="Technical"/>
    <n v="-1"/>
    <s v="SAM-1"/>
    <x v="2"/>
    <x v="0"/>
  </r>
  <r>
    <n v="27827513"/>
    <x v="1"/>
    <x v="1656"/>
    <m/>
    <m/>
    <x v="1"/>
    <x v="31"/>
    <x v="36"/>
    <m/>
    <m/>
    <s v="DXB"/>
    <s v="Technical"/>
    <n v="-1"/>
    <s v="SAM-1"/>
    <x v="2"/>
    <x v="0"/>
  </r>
  <r>
    <n v="27827591"/>
    <x v="1"/>
    <x v="1659"/>
    <m/>
    <m/>
    <x v="1"/>
    <x v="31"/>
    <x v="36"/>
    <m/>
    <m/>
    <s v="DXB"/>
    <s v="Technical"/>
    <n v="-1"/>
    <s v="SAM-1"/>
    <x v="2"/>
    <x v="0"/>
  </r>
  <r>
    <n v="27827621"/>
    <x v="1"/>
    <x v="1662"/>
    <m/>
    <m/>
    <x v="1"/>
    <x v="31"/>
    <x v="36"/>
    <m/>
    <m/>
    <s v="DXB"/>
    <s v="Technical"/>
    <n v="-1"/>
    <s v="SAM-1"/>
    <x v="2"/>
    <x v="0"/>
  </r>
  <r>
    <n v="27827766"/>
    <x v="1"/>
    <x v="1672"/>
    <m/>
    <m/>
    <x v="1"/>
    <x v="31"/>
    <x v="36"/>
    <m/>
    <m/>
    <s v="DXB"/>
    <s v="Technical"/>
    <n v="-1"/>
    <s v="SAM-1"/>
    <x v="2"/>
    <x v="0"/>
  </r>
  <r>
    <n v="27827831"/>
    <x v="1"/>
    <x v="1677"/>
    <m/>
    <m/>
    <x v="1"/>
    <x v="31"/>
    <x v="36"/>
    <m/>
    <m/>
    <s v="DXB"/>
    <s v="Technical"/>
    <n v="-1"/>
    <s v="SAM-1"/>
    <x v="2"/>
    <x v="0"/>
  </r>
  <r>
    <n v="27828027"/>
    <x v="1"/>
    <x v="1695"/>
    <m/>
    <m/>
    <x v="1"/>
    <x v="31"/>
    <x v="36"/>
    <m/>
    <m/>
    <s v="DXB"/>
    <s v="Technical"/>
    <n v="-1"/>
    <s v="SAM-1"/>
    <x v="2"/>
    <x v="0"/>
  </r>
  <r>
    <n v="27828044"/>
    <x v="1"/>
    <x v="1696"/>
    <m/>
    <m/>
    <x v="1"/>
    <x v="31"/>
    <x v="36"/>
    <m/>
    <m/>
    <s v="DXB"/>
    <s v="Technical"/>
    <n v="-1"/>
    <s v="SAM-1"/>
    <x v="2"/>
    <x v="0"/>
  </r>
  <r>
    <n v="27828244"/>
    <x v="1"/>
    <x v="1707"/>
    <m/>
    <m/>
    <x v="1"/>
    <x v="31"/>
    <x v="36"/>
    <m/>
    <m/>
    <s v="DXB"/>
    <s v="Technical"/>
    <n v="-1"/>
    <s v="SAM-1"/>
    <x v="2"/>
    <x v="0"/>
  </r>
  <r>
    <n v="27828380"/>
    <x v="1"/>
    <x v="1710"/>
    <m/>
    <m/>
    <x v="1"/>
    <x v="31"/>
    <x v="36"/>
    <m/>
    <m/>
    <s v="DXB"/>
    <s v="Technical"/>
    <n v="-1"/>
    <s v="SAM-1"/>
    <x v="2"/>
    <x v="0"/>
  </r>
  <r>
    <n v="27828442"/>
    <x v="1"/>
    <x v="1715"/>
    <m/>
    <m/>
    <x v="1"/>
    <x v="31"/>
    <x v="36"/>
    <m/>
    <m/>
    <s v="DXB"/>
    <s v="Technical"/>
    <n v="-1"/>
    <s v="SAM-1"/>
    <x v="2"/>
    <x v="0"/>
  </r>
  <r>
    <n v="27828623"/>
    <x v="1"/>
    <x v="3134"/>
    <m/>
    <m/>
    <x v="1"/>
    <x v="31"/>
    <x v="36"/>
    <m/>
    <m/>
    <s v="DXB"/>
    <s v="Technical"/>
    <n v="-1"/>
    <s v="SAM-1"/>
    <x v="2"/>
    <x v="0"/>
  </r>
  <r>
    <n v="27828638"/>
    <x v="1"/>
    <x v="1724"/>
    <m/>
    <m/>
    <x v="1"/>
    <x v="31"/>
    <x v="36"/>
    <m/>
    <m/>
    <s v="DXB"/>
    <s v="Technical"/>
    <n v="-1"/>
    <s v="SAM-1"/>
    <x v="2"/>
    <x v="0"/>
  </r>
  <r>
    <n v="27828920"/>
    <x v="1"/>
    <x v="1732"/>
    <m/>
    <m/>
    <x v="1"/>
    <x v="31"/>
    <x v="36"/>
    <m/>
    <m/>
    <s v="DXB"/>
    <s v="Technical"/>
    <n v="-1"/>
    <s v="SAM-1"/>
    <x v="2"/>
    <x v="0"/>
  </r>
  <r>
    <n v="27829088"/>
    <x v="1"/>
    <x v="1742"/>
    <m/>
    <m/>
    <x v="1"/>
    <x v="31"/>
    <x v="36"/>
    <m/>
    <m/>
    <s v="DXB"/>
    <s v="Technical"/>
    <n v="-1"/>
    <s v="SAM-1"/>
    <x v="2"/>
    <x v="0"/>
  </r>
  <r>
    <n v="27829217"/>
    <x v="1"/>
    <x v="1747"/>
    <m/>
    <m/>
    <x v="1"/>
    <x v="31"/>
    <x v="36"/>
    <m/>
    <m/>
    <s v="DXB"/>
    <s v="Technical"/>
    <n v="-1"/>
    <s v="SAM-1"/>
    <x v="2"/>
    <x v="0"/>
  </r>
  <r>
    <n v="27829226"/>
    <x v="1"/>
    <x v="1750"/>
    <m/>
    <m/>
    <x v="1"/>
    <x v="74"/>
    <x v="36"/>
    <m/>
    <s v="UPS 076"/>
    <s v="DXB"/>
    <s v="Technical"/>
    <n v="390284"/>
    <s v="SAM-1"/>
    <x v="2"/>
    <x v="0"/>
  </r>
  <r>
    <n v="27829331"/>
    <x v="1"/>
    <x v="1756"/>
    <m/>
    <m/>
    <x v="0"/>
    <x v="29"/>
    <x v="36"/>
    <m/>
    <s v="6E 062"/>
    <s v="DXB"/>
    <s v="Technical"/>
    <n v="390285"/>
    <s v="SAM-5"/>
    <x v="10"/>
    <x v="0"/>
  </r>
  <r>
    <n v="27829339"/>
    <x v="1"/>
    <x v="1757"/>
    <m/>
    <m/>
    <x v="1"/>
    <x v="31"/>
    <x v="36"/>
    <m/>
    <m/>
    <s v="DXB"/>
    <s v="Technical"/>
    <n v="-1"/>
    <s v="SAM-1"/>
    <x v="2"/>
    <x v="0"/>
  </r>
  <r>
    <n v="27829448"/>
    <x v="1"/>
    <x v="1761"/>
    <m/>
    <m/>
    <x v="1"/>
    <x v="31"/>
    <x v="36"/>
    <m/>
    <m/>
    <s v="DXB"/>
    <s v="Technical"/>
    <n v="-1"/>
    <s v="SAM-1"/>
    <x v="2"/>
    <x v="0"/>
  </r>
  <r>
    <n v="27829844"/>
    <x v="1"/>
    <x v="1784"/>
    <m/>
    <m/>
    <x v="1"/>
    <x v="31"/>
    <x v="36"/>
    <m/>
    <m/>
    <s v="DXB"/>
    <s v="Technical"/>
    <n v="-1"/>
    <s v="SAM-1"/>
    <x v="2"/>
    <x v="0"/>
  </r>
  <r>
    <n v="27830064"/>
    <x v="1"/>
    <x v="1797"/>
    <m/>
    <m/>
    <x v="1"/>
    <x v="31"/>
    <x v="36"/>
    <m/>
    <m/>
    <s v="DXB"/>
    <s v="Technical"/>
    <n v="-1"/>
    <s v="SAM-1"/>
    <x v="2"/>
    <x v="0"/>
  </r>
  <r>
    <n v="27830071"/>
    <x v="1"/>
    <x v="1798"/>
    <m/>
    <s v="B737/8"/>
    <x v="5"/>
    <x v="140"/>
    <x v="36"/>
    <m/>
    <s v="FZ 1928"/>
    <s v="DXB"/>
    <s v="Operational"/>
    <n v="390286"/>
    <s v="SDK-21"/>
    <x v="5"/>
    <x v="1"/>
  </r>
  <r>
    <n v="27830279"/>
    <x v="1"/>
    <x v="1813"/>
    <m/>
    <m/>
    <x v="1"/>
    <x v="31"/>
    <x v="36"/>
    <m/>
    <m/>
    <s v="DXB"/>
    <s v="Technical"/>
    <n v="-1"/>
    <s v="SAM-1"/>
    <x v="2"/>
    <x v="0"/>
  </r>
  <r>
    <n v="27830538"/>
    <x v="1"/>
    <x v="1828"/>
    <m/>
    <m/>
    <x v="1"/>
    <x v="31"/>
    <x v="36"/>
    <m/>
    <m/>
    <s v="DXB"/>
    <s v="Technical"/>
    <n v="-1"/>
    <s v="SAM-1"/>
    <x v="2"/>
    <x v="0"/>
  </r>
  <r>
    <n v="27831040"/>
    <x v="1"/>
    <x v="1862"/>
    <m/>
    <m/>
    <x v="1"/>
    <x v="31"/>
    <x v="36"/>
    <m/>
    <m/>
    <s v="DXB"/>
    <s v="Technical"/>
    <n v="-1"/>
    <s v="SAM-1"/>
    <x v="2"/>
    <x v="0"/>
  </r>
  <r>
    <n v="27831831"/>
    <x v="1"/>
    <x v="1904"/>
    <m/>
    <s v="B737/8"/>
    <x v="1"/>
    <x v="96"/>
    <x v="36"/>
    <m/>
    <s v="FZ 712"/>
    <s v="DXB"/>
    <s v="Operational"/>
    <n v="390287"/>
    <s v="SDK-24"/>
    <x v="3"/>
    <x v="1"/>
  </r>
  <r>
    <n v="27832018"/>
    <x v="1"/>
    <x v="3135"/>
    <m/>
    <m/>
    <x v="1"/>
    <x v="93"/>
    <x v="36"/>
    <m/>
    <s v="FX 008"/>
    <s v="DXB"/>
    <s v="Technical"/>
    <n v="390288"/>
    <s v="SDK-25"/>
    <x v="20"/>
    <x v="0"/>
  </r>
  <r>
    <n v="27832149"/>
    <x v="1"/>
    <x v="1926"/>
    <m/>
    <s v="B777/3"/>
    <x v="1"/>
    <x v="93"/>
    <x v="36"/>
    <m/>
    <s v="FX 008"/>
    <s v="DXB"/>
    <s v="Operational"/>
    <n v="390289"/>
    <s v="SDK-24"/>
    <x v="3"/>
    <x v="1"/>
  </r>
  <r>
    <n v="27832573"/>
    <x v="1"/>
    <x v="1953"/>
    <m/>
    <s v="B777/3-ER"/>
    <x v="4"/>
    <x v="123"/>
    <x v="36"/>
    <m/>
    <s v="EK 606"/>
    <s v="DXB"/>
    <s v="Technical"/>
    <n v="390290"/>
    <s v="SAM-1"/>
    <x v="2"/>
    <x v="0"/>
  </r>
  <r>
    <n v="27833817"/>
    <x v="1"/>
    <x v="2038"/>
    <m/>
    <s v="B737/8-MAX"/>
    <x v="5"/>
    <x v="154"/>
    <x v="36"/>
    <m/>
    <s v="FZ 8748"/>
    <s v="DXB"/>
    <s v="Technical"/>
    <n v="390291"/>
    <s v="SDK-17.2"/>
    <x v="22"/>
    <x v="2"/>
  </r>
  <r>
    <n v="27834307"/>
    <x v="1"/>
    <x v="2074"/>
    <m/>
    <s v="B777/3-ER"/>
    <x v="0"/>
    <x v="50"/>
    <x v="36"/>
    <m/>
    <s v="SV 550"/>
    <s v="DXB"/>
    <s v="Operational"/>
    <n v="390292"/>
    <s v="SDK-24"/>
    <x v="3"/>
    <x v="1"/>
  </r>
  <r>
    <n v="27834432"/>
    <x v="1"/>
    <x v="2083"/>
    <m/>
    <m/>
    <x v="0"/>
    <x v="88"/>
    <x v="36"/>
    <m/>
    <s v="6E 066"/>
    <s v="DXB"/>
    <s v="Operational"/>
    <n v="390293"/>
    <s v="SAM-105"/>
    <x v="4"/>
    <x v="0"/>
  </r>
  <r>
    <n v="27834593"/>
    <x v="1"/>
    <x v="2096"/>
    <m/>
    <s v="B737/5"/>
    <x v="1"/>
    <x v="121"/>
    <x v="36"/>
    <m/>
    <s v="FG 401"/>
    <s v="DXB"/>
    <s v="Operational"/>
    <n v="390294"/>
    <s v="SDK-24"/>
    <x v="3"/>
    <x v="1"/>
  </r>
  <r>
    <n v="27834696"/>
    <x v="1"/>
    <x v="2105"/>
    <m/>
    <m/>
    <x v="7"/>
    <x v="167"/>
    <x v="36"/>
    <m/>
    <s v="EK 2646"/>
    <s v="DXB"/>
    <s v="Technical"/>
    <n v="390295"/>
    <s v="SAM-1"/>
    <x v="2"/>
    <x v="0"/>
  </r>
  <r>
    <n v="27834974"/>
    <x v="1"/>
    <x v="2124"/>
    <m/>
    <m/>
    <x v="7"/>
    <x v="167"/>
    <x v="36"/>
    <m/>
    <s v="EK 2646"/>
    <s v="DXB"/>
    <s v="Technical"/>
    <n v="390296"/>
    <s v="SAM-1"/>
    <x v="2"/>
    <x v="0"/>
  </r>
  <r>
    <n v="27835049"/>
    <x v="1"/>
    <x v="3136"/>
    <m/>
    <m/>
    <x v="7"/>
    <x v="167"/>
    <x v="36"/>
    <m/>
    <s v="EK 2646"/>
    <s v="DXB"/>
    <s v="Technical"/>
    <n v="390297"/>
    <s v="SDK-10.1"/>
    <x v="7"/>
    <x v="2"/>
  </r>
  <r>
    <n v="27835690"/>
    <x v="1"/>
    <x v="3137"/>
    <m/>
    <m/>
    <x v="4"/>
    <x v="123"/>
    <x v="36"/>
    <m/>
    <s v="EK 606"/>
    <s v="DXB"/>
    <s v="Technical"/>
    <n v="390298"/>
    <s v="SDK-25"/>
    <x v="20"/>
    <x v="0"/>
  </r>
  <r>
    <n v="27835997"/>
    <x v="1"/>
    <x v="2196"/>
    <m/>
    <m/>
    <x v="1"/>
    <x v="52"/>
    <x v="36"/>
    <m/>
    <s v="FZ 447"/>
    <s v="DXB"/>
    <s v="Technical"/>
    <n v="390299"/>
    <s v="SAM-1"/>
    <x v="2"/>
    <x v="0"/>
  </r>
  <r>
    <n v="27836484"/>
    <x v="1"/>
    <x v="2222"/>
    <m/>
    <s v="A320/2"/>
    <x v="1"/>
    <x v="52"/>
    <x v="36"/>
    <m/>
    <s v="FZ 447"/>
    <s v="DXB"/>
    <s v="Operational"/>
    <n v="390300"/>
    <s v="SDK-24"/>
    <x v="3"/>
    <x v="1"/>
  </r>
  <r>
    <n v="27836687"/>
    <x v="1"/>
    <x v="2239"/>
    <m/>
    <m/>
    <x v="1"/>
    <x v="172"/>
    <x v="36"/>
    <m/>
    <m/>
    <s v="DXB"/>
    <s v="Operational"/>
    <n v="390301"/>
    <s v="SAM-105"/>
    <x v="4"/>
    <x v="0"/>
  </r>
  <r>
    <n v="27836825"/>
    <x v="1"/>
    <x v="2249"/>
    <m/>
    <m/>
    <x v="1"/>
    <x v="172"/>
    <x v="36"/>
    <m/>
    <m/>
    <s v="DXB"/>
    <s v="Technical"/>
    <n v="390302"/>
    <s v="SAM-1"/>
    <x v="2"/>
    <x v="0"/>
  </r>
  <r>
    <n v="27836883"/>
    <x v="1"/>
    <x v="2254"/>
    <m/>
    <s v="B737/8-MAX"/>
    <x v="1"/>
    <x v="43"/>
    <x v="36"/>
    <m/>
    <s v="FZ 762"/>
    <s v="DXB"/>
    <s v="Operational"/>
    <n v="390303"/>
    <s v="SDK-24"/>
    <x v="3"/>
    <x v="1"/>
  </r>
  <r>
    <n v="27836915"/>
    <x v="1"/>
    <x v="2257"/>
    <m/>
    <s v="B737/8-MAX"/>
    <x v="1"/>
    <x v="43"/>
    <x v="36"/>
    <m/>
    <s v="FZ 762"/>
    <s v="DXB"/>
    <s v="Operational"/>
    <n v="390304"/>
    <s v="SDK-24"/>
    <x v="3"/>
    <x v="1"/>
  </r>
  <r>
    <n v="27837215"/>
    <x v="1"/>
    <x v="2279"/>
    <m/>
    <m/>
    <x v="1"/>
    <x v="172"/>
    <x v="36"/>
    <m/>
    <m/>
    <s v="DXB"/>
    <s v="Operational"/>
    <n v="390305"/>
    <s v="SAM-105"/>
    <x v="4"/>
    <x v="0"/>
  </r>
  <r>
    <n v="27837277"/>
    <x v="1"/>
    <x v="2284"/>
    <m/>
    <m/>
    <x v="1"/>
    <x v="172"/>
    <x v="36"/>
    <m/>
    <m/>
    <s v="DXB"/>
    <s v="Operational"/>
    <n v="390306"/>
    <s v="SAM-105"/>
    <x v="4"/>
    <x v="0"/>
  </r>
  <r>
    <n v="27837334"/>
    <x v="1"/>
    <x v="2290"/>
    <m/>
    <s v="A319"/>
    <x v="7"/>
    <x v="173"/>
    <x v="36"/>
    <m/>
    <m/>
    <s v="DXB"/>
    <s v="Technical"/>
    <n v="390307"/>
    <s v="SDK-3"/>
    <x v="6"/>
    <x v="2"/>
  </r>
  <r>
    <n v="27837421"/>
    <x v="1"/>
    <x v="2297"/>
    <m/>
    <s v="A320-NEO"/>
    <x v="0"/>
    <x v="29"/>
    <x v="36"/>
    <m/>
    <s v="6E 062"/>
    <s v="DXB"/>
    <s v="Technical"/>
    <n v="390308"/>
    <s v="SAM-5"/>
    <x v="10"/>
    <x v="0"/>
  </r>
  <r>
    <n v="27837492"/>
    <x v="1"/>
    <x v="2302"/>
    <m/>
    <s v="A319"/>
    <x v="7"/>
    <x v="173"/>
    <x v="36"/>
    <m/>
    <m/>
    <s v="DXB"/>
    <s v="Technical"/>
    <n v="390309"/>
    <s v="SDK-3"/>
    <x v="6"/>
    <x v="2"/>
  </r>
  <r>
    <n v="27837503"/>
    <x v="1"/>
    <x v="2304"/>
    <m/>
    <s v="A320-NEO"/>
    <x v="0"/>
    <x v="29"/>
    <x v="36"/>
    <m/>
    <s v="6E 062"/>
    <s v="DXB"/>
    <s v="Technical"/>
    <n v="390310"/>
    <s v="SAM-5"/>
    <x v="10"/>
    <x v="0"/>
  </r>
  <r>
    <n v="27837636"/>
    <x v="1"/>
    <x v="2316"/>
    <m/>
    <m/>
    <x v="0"/>
    <x v="29"/>
    <x v="36"/>
    <m/>
    <s v="6E 062"/>
    <s v="DXB"/>
    <s v="Technical"/>
    <n v="390311"/>
    <s v="SAM-5"/>
    <x v="10"/>
    <x v="0"/>
  </r>
  <r>
    <n v="27838383"/>
    <x v="1"/>
    <x v="2377"/>
    <m/>
    <s v="A320-NEO"/>
    <x v="0"/>
    <x v="57"/>
    <x v="36"/>
    <m/>
    <s v="G8 057"/>
    <s v="DXB"/>
    <s v="Operational"/>
    <n v="390312"/>
    <s v="SDK-24"/>
    <x v="3"/>
    <x v="1"/>
  </r>
  <r>
    <n v="27838550"/>
    <x v="1"/>
    <x v="2392"/>
    <m/>
    <s v="A320-NEO"/>
    <x v="1"/>
    <x v="1"/>
    <x v="36"/>
    <m/>
    <s v="F3 513"/>
    <s v="DXB"/>
    <s v="Operational"/>
    <n v="390313"/>
    <s v="SDK-24"/>
    <x v="3"/>
    <x v="1"/>
  </r>
  <r>
    <n v="27839907"/>
    <x v="1"/>
    <x v="2497"/>
    <m/>
    <s v="B777/3-ER"/>
    <x v="4"/>
    <x v="123"/>
    <x v="36"/>
    <m/>
    <s v="EK 398"/>
    <s v="DXB"/>
    <s v="Operational"/>
    <n v="390314"/>
    <s v="SDK-24"/>
    <x v="3"/>
    <x v="1"/>
  </r>
  <r>
    <n v="27840019"/>
    <x v="1"/>
    <x v="2509"/>
    <m/>
    <m/>
    <x v="0"/>
    <x v="9"/>
    <x v="36"/>
    <m/>
    <s v="6E 1088"/>
    <s v="DXB"/>
    <s v="Technical"/>
    <n v="390315"/>
    <s v="SAM-5"/>
    <x v="23"/>
    <x v="0"/>
  </r>
  <r>
    <n v="27840020"/>
    <x v="1"/>
    <x v="2509"/>
    <m/>
    <m/>
    <x v="0"/>
    <x v="9"/>
    <x v="36"/>
    <m/>
    <s v="6E 1769"/>
    <s v="DXB"/>
    <s v="Technical"/>
    <n v="390316"/>
    <s v="SAM-5"/>
    <x v="24"/>
    <x v="0"/>
  </r>
  <r>
    <n v="27840301"/>
    <x v="1"/>
    <x v="2534"/>
    <m/>
    <s v="B777/2-LR"/>
    <x v="4"/>
    <x v="70"/>
    <x v="36"/>
    <m/>
    <m/>
    <s v="DXB"/>
    <s v="Technical"/>
    <n v="390317"/>
    <s v="SDK-17.7"/>
    <x v="25"/>
    <x v="2"/>
  </r>
  <r>
    <n v="27840983"/>
    <x v="1"/>
    <x v="3138"/>
    <m/>
    <m/>
    <x v="9"/>
    <x v="31"/>
    <x v="36"/>
    <m/>
    <m/>
    <s v="DXB"/>
    <s v="Technical"/>
    <n v="390318"/>
    <s v="SAM-2"/>
    <x v="26"/>
    <x v="0"/>
  </r>
  <r>
    <n v="27841546"/>
    <x v="1"/>
    <x v="3139"/>
    <m/>
    <m/>
    <x v="9"/>
    <x v="179"/>
    <x v="36"/>
    <m/>
    <m/>
    <s v="DXB"/>
    <s v="Technical"/>
    <n v="390319"/>
    <s v="SAM-2"/>
    <x v="27"/>
    <x v="0"/>
  </r>
  <r>
    <n v="27841642"/>
    <x v="1"/>
    <x v="2647"/>
    <m/>
    <m/>
    <x v="0"/>
    <x v="29"/>
    <x v="36"/>
    <m/>
    <s v="EK 762"/>
    <s v="DXB"/>
    <s v="Technical"/>
    <n v="390320"/>
    <s v="SAM-5"/>
    <x v="10"/>
    <x v="0"/>
  </r>
  <r>
    <n v="27842286"/>
    <x v="1"/>
    <x v="3140"/>
    <m/>
    <m/>
    <x v="9"/>
    <x v="179"/>
    <x v="36"/>
    <m/>
    <m/>
    <s v="DXB"/>
    <s v="Technical"/>
    <n v="390321"/>
    <s v="SAM-2"/>
    <x v="27"/>
    <x v="0"/>
  </r>
  <r>
    <n v="27843306"/>
    <x v="1"/>
    <x v="3141"/>
    <m/>
    <m/>
    <x v="9"/>
    <x v="180"/>
    <x v="36"/>
    <m/>
    <m/>
    <s v="DXB"/>
    <s v="Technical"/>
    <n v="390322"/>
    <s v="SAM-2"/>
    <x v="28"/>
    <x v="0"/>
  </r>
  <r>
    <n v="27843459"/>
    <x v="1"/>
    <x v="2819"/>
    <m/>
    <s v="B737/8"/>
    <x v="1"/>
    <x v="52"/>
    <x v="36"/>
    <m/>
    <s v="FZ 026"/>
    <s v="DXB"/>
    <s v="Operational"/>
    <n v="390323"/>
    <s v="SDK-24"/>
    <x v="3"/>
    <x v="1"/>
  </r>
  <r>
    <n v="27844073"/>
    <x v="1"/>
    <x v="2870"/>
    <m/>
    <m/>
    <x v="4"/>
    <x v="141"/>
    <x v="36"/>
    <m/>
    <s v="EK 179"/>
    <s v="DXB"/>
    <s v="Operational"/>
    <n v="390324"/>
    <s v="SAM-105"/>
    <x v="4"/>
    <x v="0"/>
  </r>
  <r>
    <n v="27844279"/>
    <x v="1"/>
    <x v="3142"/>
    <m/>
    <m/>
    <x v="9"/>
    <x v="179"/>
    <x v="36"/>
    <m/>
    <m/>
    <s v="DXB"/>
    <s v="Technical"/>
    <n v="390325"/>
    <s v="SAM-2"/>
    <x v="27"/>
    <x v="0"/>
  </r>
  <r>
    <n v="27844360"/>
    <x v="1"/>
    <x v="2895"/>
    <m/>
    <s v="A380/8"/>
    <x v="0"/>
    <x v="29"/>
    <x v="36"/>
    <m/>
    <s v="EK 762"/>
    <s v="DXB"/>
    <s v="Operational"/>
    <n v="390326"/>
    <s v="SDK-12.5"/>
    <x v="29"/>
    <x v="1"/>
  </r>
  <r>
    <n v="27844604"/>
    <x v="1"/>
    <x v="2914"/>
    <m/>
    <s v="B777/3-ER"/>
    <x v="4"/>
    <x v="66"/>
    <x v="36"/>
    <m/>
    <s v="EK 653"/>
    <s v="DXB"/>
    <s v="Operational"/>
    <n v="390327"/>
    <s v="SAM-105"/>
    <x v="4"/>
    <x v="0"/>
  </r>
  <r>
    <n v="27844814"/>
    <x v="1"/>
    <x v="2929"/>
    <m/>
    <s v="B787/8"/>
    <x v="0"/>
    <x v="17"/>
    <x v="36"/>
    <m/>
    <s v="AI 911"/>
    <s v="DXB"/>
    <s v="Operational"/>
    <n v="390328"/>
    <s v="SDK-21"/>
    <x v="5"/>
    <x v="1"/>
  </r>
  <r>
    <n v="27847444"/>
    <x v="1"/>
    <x v="3143"/>
    <m/>
    <m/>
    <x v="9"/>
    <x v="31"/>
    <x v="36"/>
    <m/>
    <m/>
    <s v="DXB"/>
    <s v="Technical"/>
    <n v="390329"/>
    <s v="SAM-2"/>
    <x v="3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C6486EA-8F64-435A-A34F-C399BB6AA620}" name="apron_error"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P26:Q31" firstHeaderRow="1" firstDataRow="1" firstDataCol="1" rowPageCount="1" colPageCount="1"/>
  <pivotFields count="18">
    <pivotField dataField="1" showAll="0"/>
    <pivotField showAll="0"/>
    <pivotField numFmtId="164" showAll="0"/>
    <pivotField showAll="0"/>
    <pivotField showAll="0"/>
    <pivotField axis="axisRow" showAll="0">
      <items count="11">
        <item x="5"/>
        <item x="1"/>
        <item x="6"/>
        <item x="8"/>
        <item x="7"/>
        <item x="4"/>
        <item x="3"/>
        <item x="2"/>
        <item x="0"/>
        <item x="9"/>
        <item t="default"/>
      </items>
    </pivotField>
    <pivotField showAll="0"/>
    <pivotField showAll="0"/>
    <pivotField showAll="0"/>
    <pivotField showAll="0"/>
    <pivotField showAll="0"/>
    <pivotField showAll="0"/>
    <pivotField showAll="0"/>
    <pivotField showAll="0"/>
    <pivotField showAll="0"/>
    <pivotField axis="axisPage" multipleItemSelectionAllowed="1" showAll="0">
      <items count="4">
        <item h="1" x="1"/>
        <item x="2"/>
        <item h="1" x="0"/>
        <item t="default"/>
      </items>
    </pivotField>
    <pivotField showAll="0" defaultSubtotal="0"/>
    <pivotField showAll="0" defaultSubtotal="0"/>
  </pivotFields>
  <rowFields count="1">
    <field x="5"/>
  </rowFields>
  <rowItems count="5">
    <i>
      <x/>
    </i>
    <i>
      <x v="1"/>
    </i>
    <i>
      <x v="4"/>
    </i>
    <i>
      <x v="5"/>
    </i>
    <i t="grand">
      <x/>
    </i>
  </rowItems>
  <colItems count="1">
    <i/>
  </colItems>
  <pageFields count="1">
    <pageField fld="15" hier="-1"/>
  </pageFields>
  <dataFields count="1">
    <dataField name="Count of ID" fld="0" subtotal="count" baseField="5"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669E0D8-FF41-41C3-A4CB-2F702D391BE5}" name="apronwise_op_error" cacheId="33"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5">
  <location ref="L26:N31" firstHeaderRow="1" firstDataRow="1" firstDataCol="2" rowPageCount="1" colPageCount="1"/>
  <pivotFields count="18">
    <pivotField dataField="1" compact="0" outline="0" showAll="0" defaultSubtotal="0"/>
    <pivotField compact="0" outline="0" showAll="0" defaultSubtotal="0"/>
    <pivotField compact="0" numFmtId="164" outline="0" showAll="0" defaultSubtotal="0">
      <items count="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s>
    </pivotField>
    <pivotField compact="0" outline="0" showAll="0" defaultSubtotal="0"/>
    <pivotField compact="0" outline="0" showAll="0" defaultSubtotal="0"/>
    <pivotField axis="axisRow" compact="0" outline="0" showAll="0" defaultSubtotal="0">
      <items count="10">
        <item x="5"/>
        <item x="1"/>
        <item x="6"/>
        <item x="8"/>
        <item x="7"/>
        <item x="4"/>
        <item x="3"/>
        <item x="2"/>
        <item x="0"/>
        <item x="9"/>
      </items>
    </pivotField>
    <pivotField axis="axisRow" compact="0" outline="0" showAll="0" defaultSubtotal="0">
      <items count="208">
        <item x="123"/>
        <item x="73"/>
        <item x="41"/>
        <item x="70"/>
        <item x="86"/>
        <item x="49"/>
        <item x="65"/>
        <item x="103"/>
        <item x="68"/>
        <item x="66"/>
        <item x="10"/>
        <item x="8"/>
        <item x="105"/>
        <item x="54"/>
        <item x="26"/>
        <item x="44"/>
        <item x="42"/>
        <item x="131"/>
        <item x="85"/>
        <item x="7"/>
        <item x="78"/>
        <item x="142"/>
        <item x="59"/>
        <item x="5"/>
        <item x="19"/>
        <item x="94"/>
        <item m="1" x="194"/>
        <item x="37"/>
        <item x="56"/>
        <item x="100"/>
        <item x="81"/>
        <item x="4"/>
        <item x="115"/>
        <item x="112"/>
        <item x="77"/>
        <item x="89"/>
        <item x="157"/>
        <item x="147"/>
        <item x="120"/>
        <item x="140"/>
        <item x="95"/>
        <item m="1" x="206"/>
        <item x="62"/>
        <item x="32"/>
        <item x="16"/>
        <item x="165"/>
        <item x="175"/>
        <item x="158"/>
        <item x="71"/>
        <item x="154"/>
        <item x="143"/>
        <item x="82"/>
        <item x="145"/>
        <item x="48"/>
        <item x="107"/>
        <item x="122"/>
        <item x="111"/>
        <item x="33"/>
        <item x="23"/>
        <item x="18"/>
        <item x="114"/>
        <item x="139"/>
        <item x="98"/>
        <item x="57"/>
        <item x="17"/>
        <item x="12"/>
        <item x="29"/>
        <item x="91"/>
        <item x="3"/>
        <item x="9"/>
        <item x="63"/>
        <item x="88"/>
        <item x="0"/>
        <item x="50"/>
        <item x="61"/>
        <item x="113"/>
        <item x="40"/>
        <item x="14"/>
        <item x="22"/>
        <item x="92"/>
        <item x="119"/>
        <item x="64"/>
        <item x="25"/>
        <item x="97"/>
        <item x="13"/>
        <item x="141"/>
        <item x="55"/>
        <item x="126"/>
        <item x="20"/>
        <item x="136"/>
        <item m="1" x="199"/>
        <item x="72"/>
        <item x="43"/>
        <item x="83"/>
        <item x="35"/>
        <item x="87"/>
        <item x="11"/>
        <item x="69"/>
        <item x="166"/>
        <item x="93"/>
        <item x="15"/>
        <item x="117"/>
        <item x="74"/>
        <item x="110"/>
        <item x="101"/>
        <item x="174"/>
        <item x="159"/>
        <item x="28"/>
        <item x="80"/>
        <item x="150"/>
        <item x="137"/>
        <item x="152"/>
        <item m="1" x="204"/>
        <item m="1" x="205"/>
        <item x="2"/>
        <item x="34"/>
        <item m="1" x="183"/>
        <item x="177"/>
        <item x="31"/>
        <item x="180"/>
        <item m="1" x="191"/>
        <item x="155"/>
        <item x="178"/>
        <item x="1"/>
        <item m="1" x="200"/>
        <item x="164"/>
        <item m="1" x="203"/>
        <item x="116"/>
        <item x="121"/>
        <item x="135"/>
        <item x="6"/>
        <item x="96"/>
        <item x="52"/>
        <item x="172"/>
        <item x="27"/>
        <item m="1" x="195"/>
        <item m="1" x="196"/>
        <item x="102"/>
        <item x="118"/>
        <item x="51"/>
        <item x="30"/>
        <item x="36"/>
        <item x="134"/>
        <item x="45"/>
        <item x="46"/>
        <item x="84"/>
        <item x="124"/>
        <item m="1" x="187"/>
        <item x="106"/>
        <item x="104"/>
        <item x="58"/>
        <item x="109"/>
        <item x="79"/>
        <item x="90"/>
        <item x="53"/>
        <item x="21"/>
        <item m="1" x="192"/>
        <item x="60"/>
        <item x="138"/>
        <item x="144"/>
        <item x="24"/>
        <item x="47"/>
        <item x="161"/>
        <item x="146"/>
        <item x="162"/>
        <item m="1" x="184"/>
        <item x="163"/>
        <item x="125"/>
        <item x="129"/>
        <item x="169"/>
        <item x="75"/>
        <item x="170"/>
        <item x="148"/>
        <item x="127"/>
        <item x="156"/>
        <item x="153"/>
        <item x="160"/>
        <item x="151"/>
        <item x="99"/>
        <item m="1" x="202"/>
        <item m="1" x="186"/>
        <item m="1" x="188"/>
        <item m="1" x="193"/>
        <item x="133"/>
        <item x="168"/>
        <item x="108"/>
        <item x="130"/>
        <item x="149"/>
        <item x="171"/>
        <item m="1" x="207"/>
        <item m="1" x="197"/>
        <item x="67"/>
        <item x="132"/>
        <item x="38"/>
        <item x="39"/>
        <item x="76"/>
        <item x="173"/>
        <item m="1" x="185"/>
        <item m="1" x="198"/>
        <item m="1" x="189"/>
        <item x="167"/>
        <item m="1" x="190"/>
        <item m="1" x="201"/>
        <item x="176"/>
        <item x="128"/>
        <item m="1" x="182"/>
        <item x="179"/>
        <item x="18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3">
        <item h="1" x="1"/>
        <item x="2"/>
        <item h="1" x="0"/>
      </items>
    </pivotField>
    <pivotField compact="0" outline="0" showAll="0" defaultSubtotal="0">
      <items count="62">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s>
    </pivotField>
    <pivotField compact="0" numFmtId="168" outline="0" showAll="0" defaultSubtotal="0">
      <items count="26">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s>
    </pivotField>
  </pivotFields>
  <rowFields count="2">
    <field x="5"/>
    <field x="6"/>
  </rowFields>
  <rowItems count="5">
    <i>
      <x/>
      <x v="49"/>
    </i>
    <i>
      <x v="1"/>
      <x v="101"/>
    </i>
    <i>
      <x v="4"/>
      <x v="196"/>
    </i>
    <i r="1">
      <x v="200"/>
    </i>
    <i>
      <x v="5"/>
      <x v="3"/>
    </i>
  </rowItems>
  <colItems count="1">
    <i/>
  </colItems>
  <pageFields count="1">
    <pageField fld="15" hier="-1"/>
  </pageFields>
  <dataFields count="1">
    <dataField name="Count of ID" fld="0" subtotal="count" baseField="17"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31B6B9-FDA4-423A-A2E1-20B4C8E30653}" name="PivotTable3"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26:G31" firstHeaderRow="1" firstDataRow="1" firstDataCol="1" rowPageCount="2" colPageCount="1"/>
  <pivotFields count="18">
    <pivotField dataField="1" showAll="0"/>
    <pivotField axis="axisPage" showAll="0">
      <items count="3">
        <item x="1"/>
        <item x="0"/>
        <item t="default"/>
      </items>
    </pivotField>
    <pivotField numFmtId="164" showAll="0"/>
    <pivotField showAll="0"/>
    <pivotField showAll="0"/>
    <pivotField showAll="0"/>
    <pivotField showAll="0"/>
    <pivotField showAll="0"/>
    <pivotField showAll="0"/>
    <pivotField showAll="0"/>
    <pivotField showAll="0"/>
    <pivotField showAll="0"/>
    <pivotField showAll="0"/>
    <pivotField showAll="0"/>
    <pivotField axis="axisRow" showAll="0">
      <items count="50">
        <item x="3"/>
        <item x="6"/>
        <item x="10"/>
        <item x="14"/>
        <item x="17"/>
        <item x="13"/>
        <item x="16"/>
        <item m="1" x="43"/>
        <item m="1" x="44"/>
        <item x="15"/>
        <item x="18"/>
        <item x="9"/>
        <item m="1" x="37"/>
        <item m="1" x="46"/>
        <item m="1" x="31"/>
        <item m="1" x="34"/>
        <item m="1" x="42"/>
        <item x="4"/>
        <item x="5"/>
        <item x="29"/>
        <item m="1" x="38"/>
        <item m="1" x="47"/>
        <item m="1" x="33"/>
        <item m="1" x="48"/>
        <item m="1" x="39"/>
        <item m="1" x="32"/>
        <item m="1" x="45"/>
        <item m="1" x="40"/>
        <item m="1" x="41"/>
        <item m="1" x="35"/>
        <item m="1" x="36"/>
        <item x="2"/>
        <item x="20"/>
        <item x="0"/>
        <item x="1"/>
        <item x="7"/>
        <item x="8"/>
        <item x="11"/>
        <item x="12"/>
        <item x="19"/>
        <item x="21"/>
        <item x="22"/>
        <item x="23"/>
        <item x="24"/>
        <item x="25"/>
        <item x="26"/>
        <item x="27"/>
        <item x="28"/>
        <item x="30"/>
        <item t="default"/>
      </items>
    </pivotField>
    <pivotField axis="axisPage" showAll="0">
      <items count="4">
        <item x="1"/>
        <item x="2"/>
        <item x="0"/>
        <item t="default"/>
      </items>
    </pivotField>
    <pivotField showAll="0" defaultSubtotal="0"/>
    <pivotField showAll="0" defaultSubtotal="0"/>
  </pivotFields>
  <rowFields count="1">
    <field x="14"/>
  </rowFields>
  <rowItems count="5">
    <i>
      <x v="1"/>
    </i>
    <i>
      <x v="35"/>
    </i>
    <i>
      <x v="41"/>
    </i>
    <i>
      <x v="44"/>
    </i>
    <i t="grand">
      <x/>
    </i>
  </rowItems>
  <colItems count="1">
    <i/>
  </colItems>
  <pageFields count="2">
    <pageField fld="1" item="0" hier="-1"/>
    <pageField fld="15" item="1" hier="-1"/>
  </pageFields>
  <dataFields count="1">
    <dataField name="Count of ID" fld="0" subtotal="count" baseField="1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75A1AF2-AC8F-4F1A-9D42-CD43B5708BB7}" name="PivotTable2"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I26:J51" firstHeaderRow="1" firstDataRow="1" firstDataCol="1" rowPageCount="1" colPageCount="1"/>
  <pivotFields count="18">
    <pivotField dataField="1" showAll="0"/>
    <pivotField showAll="0"/>
    <pivotField numFmtId="164" showAll="0">
      <items count="63">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t="default"/>
      </items>
    </pivotField>
    <pivotField showAll="0"/>
    <pivotField showAll="0"/>
    <pivotField showAll="0"/>
    <pivotField showAll="0"/>
    <pivotField axis="axisPage" showAll="0">
      <items count="43">
        <item x="2"/>
        <item x="22"/>
        <item x="15"/>
        <item x="23"/>
        <item x="18"/>
        <item m="1" x="39"/>
        <item x="29"/>
        <item x="35"/>
        <item x="0"/>
        <item m="1" x="37"/>
        <item x="31"/>
        <item x="5"/>
        <item x="33"/>
        <item x="17"/>
        <item x="16"/>
        <item x="25"/>
        <item x="14"/>
        <item x="30"/>
        <item x="24"/>
        <item x="1"/>
        <item x="19"/>
        <item x="6"/>
        <item m="1" x="40"/>
        <item x="12"/>
        <item x="13"/>
        <item x="7"/>
        <item m="1" x="41"/>
        <item x="3"/>
        <item x="8"/>
        <item x="11"/>
        <item x="4"/>
        <item x="28"/>
        <item x="26"/>
        <item x="27"/>
        <item x="10"/>
        <item x="20"/>
        <item x="34"/>
        <item x="21"/>
        <item x="9"/>
        <item m="1" x="38"/>
        <item x="32"/>
        <item x="36"/>
        <item t="default"/>
      </items>
    </pivotField>
    <pivotField showAll="0"/>
    <pivotField showAll="0"/>
    <pivotField showAll="0"/>
    <pivotField showAll="0"/>
    <pivotField showAll="0"/>
    <pivotField showAll="0"/>
    <pivotField showAll="0"/>
    <pivotField showAll="0"/>
    <pivotField showAll="0">
      <items count="63">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x="0"/>
        <item x="61"/>
        <item t="default"/>
      </items>
    </pivotField>
    <pivotField axis="axisRow"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s>
  <rowFields count="1">
    <field x="17"/>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pageFields count="1">
    <pageField fld="7" item="0" hier="-1"/>
  </pageFields>
  <dataFields count="1">
    <dataField name="Count of ID" fld="0" subtotal="count" baseField="17" baseItem="1"/>
  </dataFields>
  <chartFormats count="1">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8714FFF-F173-4D93-ADF4-58444B8CCFFC}" name="PivotTable1"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C26:D31" firstHeaderRow="1" firstDataRow="1" firstDataCol="1" rowPageCount="2" colPageCount="1"/>
  <pivotFields count="18">
    <pivotField dataField="1" showAll="0"/>
    <pivotField axis="axisPage" showAll="0">
      <items count="3">
        <item x="1"/>
        <item x="0"/>
        <item t="default"/>
      </items>
    </pivotField>
    <pivotField numFmtId="164" showAll="0">
      <items count="63">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50">
        <item x="3"/>
        <item x="6"/>
        <item x="10"/>
        <item x="14"/>
        <item x="17"/>
        <item x="13"/>
        <item x="16"/>
        <item m="1" x="43"/>
        <item m="1" x="44"/>
        <item x="15"/>
        <item x="18"/>
        <item x="9"/>
        <item m="1" x="37"/>
        <item m="1" x="46"/>
        <item m="1" x="31"/>
        <item m="1" x="34"/>
        <item m="1" x="42"/>
        <item x="4"/>
        <item x="5"/>
        <item x="29"/>
        <item m="1" x="38"/>
        <item m="1" x="47"/>
        <item m="1" x="33"/>
        <item m="1" x="48"/>
        <item m="1" x="39"/>
        <item m="1" x="32"/>
        <item m="1" x="45"/>
        <item m="1" x="40"/>
        <item m="1" x="41"/>
        <item m="1" x="35"/>
        <item m="1" x="36"/>
        <item x="2"/>
        <item x="20"/>
        <item x="0"/>
        <item x="1"/>
        <item x="7"/>
        <item x="8"/>
        <item x="11"/>
        <item x="12"/>
        <item x="19"/>
        <item x="21"/>
        <item x="22"/>
        <item x="23"/>
        <item x="24"/>
        <item x="25"/>
        <item x="26"/>
        <item x="27"/>
        <item x="28"/>
        <item x="30"/>
        <item t="default"/>
      </items>
    </pivotField>
    <pivotField axis="axisPage" multipleItemSelectionAllowed="1" showAll="0">
      <items count="4">
        <item h="1" x="1"/>
        <item x="2"/>
        <item h="1" x="0"/>
        <item t="default"/>
      </items>
    </pivotField>
    <pivotField showAll="0">
      <items count="63">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t="default"/>
      </items>
    </pivotField>
    <pivotField showAll="0">
      <items count="27">
        <item x="1"/>
        <item x="2"/>
        <item x="3"/>
        <item x="4"/>
        <item x="5"/>
        <item x="6"/>
        <item x="7"/>
        <item x="8"/>
        <item x="9"/>
        <item x="10"/>
        <item x="11"/>
        <item x="12"/>
        <item x="13"/>
        <item x="14"/>
        <item x="15"/>
        <item x="16"/>
        <item x="17"/>
        <item x="18"/>
        <item x="19"/>
        <item x="20"/>
        <item x="21"/>
        <item x="22"/>
        <item x="23"/>
        <item x="24"/>
        <item x="0"/>
        <item x="25"/>
        <item t="default"/>
      </items>
    </pivotField>
  </pivotFields>
  <rowFields count="1">
    <field x="14"/>
  </rowFields>
  <rowItems count="5">
    <i>
      <x v="1"/>
    </i>
    <i>
      <x v="35"/>
    </i>
    <i>
      <x v="41"/>
    </i>
    <i>
      <x v="44"/>
    </i>
    <i t="grand">
      <x/>
    </i>
  </rowItems>
  <colItems count="1">
    <i/>
  </colItems>
  <pageFields count="2">
    <pageField fld="1" item="0" hier="-1"/>
    <pageField fld="15" hier="-1"/>
  </pageFields>
  <dataFields count="1">
    <dataField name="Count of ID" fld="0" subtotal="count"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rror_Type" xr10:uid="{3AF40299-ACB3-46B3-A3A6-CC3729BACD4A}" sourceName="Error_Type">
  <pivotTables>
    <pivotTable tabId="3" name="PivotTable1"/>
    <pivotTable tabId="3" name="apron_error"/>
    <pivotTable tabId="3" name="apronwise_op_error"/>
  </pivotTables>
  <data>
    <tabular pivotCacheId="375585861">
      <items count="3">
        <i x="1"/>
        <i x="2"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rror Type" xr10:uid="{BEE6752F-2E12-4A68-8EE8-95DBA6E46E1B}" cache="Slicer_Error_Type" caption="Error Type" columnCount="2" showCaption="0" style="Slicer Style 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00D675-BB6D-4AAB-99A8-3BC69EF69A96}" name="table_pivot_helper" displayName="table_pivot_helper" ref="A1:P3483" totalsRowShown="0" headerRowDxfId="20" headerRowBorderDxfId="19" tableBorderDxfId="18" totalsRowBorderDxfId="17">
  <autoFilter ref="A1:P3483" xr:uid="{4000D675-BB6D-4AAB-99A8-3BC69EF69A96}"/>
  <tableColumns count="16">
    <tableColumn id="1" xr3:uid="{A3CD19C3-7CD5-4C81-9247-8F0AABF261ED}" name="ID" dataDxfId="16"/>
    <tableColumn id="2" xr3:uid="{EA00E6CF-0F21-4309-BD45-29375BFF2BD1}" name="Type" dataDxfId="15"/>
    <tableColumn id="3" xr3:uid="{698A8187-E0B9-4F18-BE0A-EB79D7EAA2ED}" name="Time" dataDxfId="0"/>
    <tableColumn id="4" xr3:uid="{B5E829BB-1CBA-4855-B1E4-41F81A0D6B11}" name="IFPLID" dataDxfId="14"/>
    <tableColumn id="5" xr3:uid="{A89FD921-58B1-4A18-AA5F-2C2788C4A130}" name="Aircraft_Type" dataDxfId="13"/>
    <tableColumn id="6" xr3:uid="{28013E12-F03B-4B58-B995-F8E4C42DF1A7}" name="Apron_ID" dataDxfId="12"/>
    <tableColumn id="7" xr3:uid="{16472671-9799-4FC1-95CC-469A728282A7}" name="Stand_ID" dataDxfId="11"/>
    <tableColumn id="8" xr3:uid="{8DC8D174-D90B-48C5-9B73-8BFEE4228830}" name="VDGS_State" dataDxfId="10"/>
    <tableColumn id="9" xr3:uid="{F145B8AE-651B-497A-804F-45CB2D640EE3}" name="Event_Classification" dataDxfId="9"/>
    <tableColumn id="10" xr3:uid="{B8F4EB34-29A3-4079-8272-F7996854BBC8}" name="Flight_ID" dataDxfId="8"/>
    <tableColumn id="11" xr3:uid="{73076AF5-F5B8-498E-B00F-EC6AA764356E}" name="site" dataDxfId="7"/>
    <tableColumn id="12" xr3:uid="{14F9872D-761D-44A6-8E6D-6AB843F8B5DB}" name="event_classification2" dataDxfId="6"/>
    <tableColumn id="13" xr3:uid="{9640F367-F34E-4511-82E3-355FDDE28166}" name="Alarm_ID" dataDxfId="5"/>
    <tableColumn id="14" xr3:uid="{7C347616-1522-4B0A-AAA4-AB32EFB4BE44}" name="Alarm_Code" dataDxfId="4"/>
    <tableColumn id="15" xr3:uid="{61A0C836-479B-46BB-8568-1B7AC0D58635}" name="Alarm_Description" dataDxfId="3"/>
    <tableColumn id="16" xr3:uid="{868FD252-A7A8-411B-A8D8-F6A93BBF402C}" name="Error_Type"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E5F40-A9A8-40B0-A2DC-F61536837F9D}">
  <sheetPr codeName="Sheet1"/>
  <dimension ref="B4:N16"/>
  <sheetViews>
    <sheetView showGridLines="0" tabSelected="1" workbookViewId="0"/>
  </sheetViews>
  <sheetFormatPr defaultRowHeight="15" x14ac:dyDescent="0.25"/>
  <cols>
    <col min="1" max="1" width="2.7109375" customWidth="1"/>
    <col min="2" max="3" width="0.85546875" customWidth="1"/>
    <col min="4" max="4" width="31.42578125" customWidth="1"/>
    <col min="14" max="14" width="0.85546875" customWidth="1"/>
  </cols>
  <sheetData>
    <row r="4" spans="2:14" ht="6.95" customHeight="1" x14ac:dyDescent="0.25">
      <c r="B4" s="1"/>
      <c r="C4" s="1"/>
      <c r="D4" s="1"/>
      <c r="E4" s="1"/>
      <c r="F4" s="1"/>
      <c r="G4" s="1"/>
      <c r="H4" s="1"/>
      <c r="I4" s="1"/>
      <c r="J4" s="1"/>
      <c r="K4" s="1"/>
      <c r="L4" s="1"/>
      <c r="M4" s="1"/>
      <c r="N4" s="1"/>
    </row>
    <row r="5" spans="2:14" x14ac:dyDescent="0.25">
      <c r="B5" s="1"/>
      <c r="N5" s="1"/>
    </row>
    <row r="6" spans="2:14" x14ac:dyDescent="0.25">
      <c r="B6" s="1"/>
      <c r="D6" t="s">
        <v>0</v>
      </c>
      <c r="E6" s="8" t="s">
        <v>677</v>
      </c>
      <c r="F6" s="8"/>
      <c r="G6" s="8"/>
      <c r="H6" s="8"/>
      <c r="I6" s="8"/>
      <c r="J6" s="8"/>
      <c r="K6" s="8"/>
      <c r="N6" s="1"/>
    </row>
    <row r="7" spans="2:14" x14ac:dyDescent="0.25">
      <c r="B7" s="1"/>
      <c r="N7" s="1"/>
    </row>
    <row r="8" spans="2:14" x14ac:dyDescent="0.25">
      <c r="B8" s="1"/>
      <c r="N8" s="1"/>
    </row>
    <row r="9" spans="2:14" x14ac:dyDescent="0.25">
      <c r="B9" s="1"/>
      <c r="N9" s="1"/>
    </row>
    <row r="10" spans="2:14" x14ac:dyDescent="0.25">
      <c r="B10" s="1"/>
      <c r="N10" s="1"/>
    </row>
    <row r="11" spans="2:14" x14ac:dyDescent="0.25">
      <c r="B11" s="1"/>
      <c r="N11" s="1"/>
    </row>
    <row r="12" spans="2:14" x14ac:dyDescent="0.25">
      <c r="B12" s="1"/>
      <c r="N12" s="1"/>
    </row>
    <row r="13" spans="2:14" x14ac:dyDescent="0.25">
      <c r="B13" s="1"/>
      <c r="N13" s="1"/>
    </row>
    <row r="14" spans="2:14" x14ac:dyDescent="0.25">
      <c r="B14" s="1"/>
      <c r="N14" s="1"/>
    </row>
    <row r="15" spans="2:14" x14ac:dyDescent="0.25">
      <c r="B15" s="1"/>
      <c r="N15" s="1"/>
    </row>
    <row r="16" spans="2:14" ht="6.95" customHeight="1" x14ac:dyDescent="0.25">
      <c r="B16" s="1"/>
      <c r="C16" s="1"/>
      <c r="D16" s="1"/>
      <c r="E16" s="1"/>
      <c r="F16" s="1"/>
      <c r="G16" s="1"/>
      <c r="H16" s="1"/>
      <c r="I16" s="1"/>
      <c r="J16" s="1"/>
      <c r="K16" s="1"/>
      <c r="L16" s="1"/>
      <c r="M16" s="1"/>
      <c r="N16" s="1"/>
    </row>
  </sheetData>
  <mergeCells count="1">
    <mergeCell ref="E6:K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electfile1">
                <anchor>
                  <from>
                    <xdr:col>11</xdr:col>
                    <xdr:colOff>76200</xdr:colOff>
                    <xdr:row>4</xdr:row>
                    <xdr:rowOff>171450</xdr:rowOff>
                  </from>
                  <to>
                    <xdr:col>12</xdr:col>
                    <xdr:colOff>333375</xdr:colOff>
                    <xdr:row>6</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update_data">
                <anchor>
                  <from>
                    <xdr:col>11</xdr:col>
                    <xdr:colOff>38100</xdr:colOff>
                    <xdr:row>7</xdr:row>
                    <xdr:rowOff>85725</xdr:rowOff>
                  </from>
                  <to>
                    <xdr:col>12</xdr:col>
                    <xdr:colOff>371475</xdr:colOff>
                    <xdr:row>10</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6D77C-873E-4D27-8DA8-C0F53EEC9598}">
  <sheetPr codeName="Sheet3"/>
  <dimension ref="A2:Q51"/>
  <sheetViews>
    <sheetView workbookViewId="0"/>
  </sheetViews>
  <sheetFormatPr defaultRowHeight="15" x14ac:dyDescent="0.25"/>
  <cols>
    <col min="1" max="1" width="29.28515625" customWidth="1"/>
    <col min="2" max="2" width="11.7109375" customWidth="1"/>
    <col min="3" max="3" width="38.42578125" bestFit="1" customWidth="1"/>
    <col min="4" max="4" width="11.5703125" bestFit="1" customWidth="1"/>
    <col min="6" max="6" width="38.42578125" bestFit="1" customWidth="1"/>
    <col min="7" max="7" width="11.5703125" bestFit="1" customWidth="1"/>
    <col min="9" max="9" width="13.140625" bestFit="1" customWidth="1"/>
    <col min="10" max="10" width="20.28515625" bestFit="1" customWidth="1"/>
    <col min="12" max="12" width="15.7109375" bestFit="1" customWidth="1"/>
    <col min="13" max="13" width="11.5703125" bestFit="1" customWidth="1"/>
    <col min="14" max="14" width="10.85546875" bestFit="1" customWidth="1"/>
    <col min="15" max="15" width="11.28515625" bestFit="1" customWidth="1"/>
    <col min="16" max="16" width="13.28515625" bestFit="1" customWidth="1"/>
    <col min="17" max="17" width="11.5703125" bestFit="1" customWidth="1"/>
  </cols>
  <sheetData>
    <row r="2" spans="1:5" x14ac:dyDescent="0.25">
      <c r="A2" t="str">
        <f>TEXT(Data_Pivot_Helper!$C$2,"dd mmmm yyyy")</f>
        <v>29 July 2022</v>
      </c>
    </row>
    <row r="4" spans="1:5" x14ac:dyDescent="0.25">
      <c r="A4" t="s">
        <v>645</v>
      </c>
      <c r="B4">
        <f>COUNTIF(Data_Pivot_Helper!$H:$H,"Active_To_Docking")</f>
        <v>543</v>
      </c>
    </row>
    <row r="5" spans="1:5" x14ac:dyDescent="0.25">
      <c r="A5" t="s">
        <v>646</v>
      </c>
      <c r="B5">
        <f>COUNTIF(Data_Pivot_Helper!$H:$H,"Docking_To_Parked")</f>
        <v>540</v>
      </c>
      <c r="C5" s="7">
        <f>B5/B4</f>
        <v>0.99447513812154698</v>
      </c>
      <c r="D5" s="7">
        <f>1-C5</f>
        <v>5.5248618784530246E-3</v>
      </c>
    </row>
    <row r="9" spans="1:5" x14ac:dyDescent="0.25">
      <c r="A9" t="s">
        <v>647</v>
      </c>
      <c r="B9" t="s">
        <v>645</v>
      </c>
      <c r="C9" t="s">
        <v>648</v>
      </c>
    </row>
    <row r="10" spans="1:5" x14ac:dyDescent="0.25">
      <c r="A10" t="s">
        <v>57</v>
      </c>
      <c r="B10">
        <f>COUNTIFS(table_pivot_helper[Apron_ID],A10,table_pivot_helper[VDGS_State],"Active_To_Docking")</f>
        <v>59</v>
      </c>
      <c r="C10">
        <f>COUNTIFS(table_pivot_helper[Apron_ID],A10,table_pivot_helper[VDGS_State],"Docking_To_Parked")</f>
        <v>58</v>
      </c>
      <c r="D10" s="7">
        <f>C10/B10</f>
        <v>0.98305084745762716</v>
      </c>
      <c r="E10" s="7">
        <f>1-D10</f>
        <v>1.6949152542372836E-2</v>
      </c>
    </row>
    <row r="11" spans="1:5" x14ac:dyDescent="0.25">
      <c r="A11" t="s">
        <v>18</v>
      </c>
      <c r="B11">
        <f>COUNTIFS(table_pivot_helper[Apron_ID],A11,table_pivot_helper[VDGS_State],"Active_To_Docking")</f>
        <v>114</v>
      </c>
      <c r="C11">
        <f>COUNTIFS(table_pivot_helper[Apron_ID],A11,table_pivot_helper[VDGS_State],"Docking_To_Parked")</f>
        <v>114</v>
      </c>
      <c r="D11" s="7">
        <f t="shared" ref="D11:D18" si="0">C11/B11</f>
        <v>1</v>
      </c>
      <c r="E11" s="7">
        <f t="shared" ref="E11:E18" si="1">1-D11</f>
        <v>0</v>
      </c>
    </row>
    <row r="12" spans="1:5" x14ac:dyDescent="0.25">
      <c r="A12" t="s">
        <v>55</v>
      </c>
      <c r="B12">
        <f>COUNTIFS(table_pivot_helper[Apron_ID],A12,table_pivot_helper[VDGS_State],"Active_To_Docking")</f>
        <v>18</v>
      </c>
      <c r="C12">
        <f>COUNTIFS(table_pivot_helper[Apron_ID],A12,table_pivot_helper[VDGS_State],"Docking_To_Parked")</f>
        <v>18</v>
      </c>
      <c r="D12" s="7">
        <f t="shared" si="0"/>
        <v>1</v>
      </c>
      <c r="E12" s="7">
        <f t="shared" si="1"/>
        <v>0</v>
      </c>
    </row>
    <row r="13" spans="1:5" x14ac:dyDescent="0.25">
      <c r="A13" t="s">
        <v>45</v>
      </c>
      <c r="B13">
        <f>COUNTIFS(table_pivot_helper[Apron_ID],A13,table_pivot_helper[VDGS_State],"Active_To_Docking")</f>
        <v>6</v>
      </c>
      <c r="C13">
        <f>COUNTIFS(table_pivot_helper[Apron_ID],A13,table_pivot_helper[VDGS_State],"Docking_To_Parked")</f>
        <v>6</v>
      </c>
      <c r="D13" s="7">
        <f t="shared" si="0"/>
        <v>1</v>
      </c>
      <c r="E13" s="7">
        <f t="shared" si="1"/>
        <v>0</v>
      </c>
    </row>
    <row r="14" spans="1:5" x14ac:dyDescent="0.25">
      <c r="A14" t="s">
        <v>33</v>
      </c>
      <c r="B14">
        <f>COUNTIFS(table_pivot_helper[Apron_ID],A14,table_pivot_helper[VDGS_State],"Active_To_Docking")</f>
        <v>6</v>
      </c>
      <c r="C14">
        <f>COUNTIFS(table_pivot_helper[Apron_ID],A14,table_pivot_helper[VDGS_State],"Docking_To_Parked")</f>
        <v>6</v>
      </c>
      <c r="D14" s="7">
        <f t="shared" si="0"/>
        <v>1</v>
      </c>
      <c r="E14" s="7">
        <f t="shared" si="1"/>
        <v>0</v>
      </c>
    </row>
    <row r="15" spans="1:5" x14ac:dyDescent="0.25">
      <c r="A15" t="s">
        <v>23</v>
      </c>
      <c r="B15">
        <f>COUNTIFS(table_pivot_helper[Apron_ID],A15,table_pivot_helper[VDGS_State],"Active_To_Docking")</f>
        <v>73</v>
      </c>
      <c r="C15">
        <f>COUNTIFS(table_pivot_helper[Apron_ID],A15,table_pivot_helper[VDGS_State],"Docking_To_Parked")</f>
        <v>72</v>
      </c>
      <c r="D15" s="7">
        <f t="shared" si="0"/>
        <v>0.98630136986301364</v>
      </c>
      <c r="E15" s="7">
        <f t="shared" si="1"/>
        <v>1.3698630136986356E-2</v>
      </c>
    </row>
    <row r="16" spans="1:5" x14ac:dyDescent="0.25">
      <c r="A16" t="s">
        <v>52</v>
      </c>
      <c r="B16">
        <f>COUNTIFS(table_pivot_helper[Apron_ID],A16,table_pivot_helper[VDGS_State],"Active_To_Docking")</f>
        <v>89</v>
      </c>
      <c r="C16">
        <f>COUNTIFS(table_pivot_helper[Apron_ID],A16,table_pivot_helper[VDGS_State],"Docking_To_Parked")</f>
        <v>87</v>
      </c>
      <c r="D16" s="7">
        <f t="shared" si="0"/>
        <v>0.97752808988764039</v>
      </c>
      <c r="E16" s="7">
        <f t="shared" si="1"/>
        <v>2.2471910112359605E-2</v>
      </c>
    </row>
    <row r="17" spans="1:17" x14ac:dyDescent="0.25">
      <c r="A17" t="s">
        <v>31</v>
      </c>
      <c r="B17">
        <f>COUNTIFS(table_pivot_helper[Apron_ID],A17,table_pivot_helper[VDGS_State],"Active_To_Docking")</f>
        <v>54</v>
      </c>
      <c r="C17">
        <f>COUNTIFS(table_pivot_helper[Apron_ID],A17,table_pivot_helper[VDGS_State],"Docking_To_Parked")</f>
        <v>55</v>
      </c>
      <c r="D17" s="7">
        <f t="shared" si="0"/>
        <v>1.0185185185185186</v>
      </c>
      <c r="E17" s="7">
        <f t="shared" si="1"/>
        <v>-1.8518518518518601E-2</v>
      </c>
    </row>
    <row r="18" spans="1:17" x14ac:dyDescent="0.25">
      <c r="A18" t="s">
        <v>49</v>
      </c>
      <c r="B18">
        <f>COUNTIFS(table_pivot_helper[Apron_ID],A18,table_pivot_helper[VDGS_State],"Active_To_Docking")</f>
        <v>124</v>
      </c>
      <c r="C18">
        <f>COUNTIFS(table_pivot_helper[Apron_ID],A18,table_pivot_helper[VDGS_State],"Docking_To_Parked")</f>
        <v>124</v>
      </c>
      <c r="D18" s="7">
        <f t="shared" si="0"/>
        <v>1</v>
      </c>
      <c r="E18" s="7">
        <f t="shared" si="1"/>
        <v>0</v>
      </c>
    </row>
    <row r="22" spans="1:17" x14ac:dyDescent="0.25">
      <c r="A22" t="s">
        <v>675</v>
      </c>
      <c r="B22">
        <f>GETPIVOTDATA("ID",$C$26)</f>
        <v>12</v>
      </c>
    </row>
    <row r="23" spans="1:17" x14ac:dyDescent="0.25">
      <c r="A23" t="s">
        <v>676</v>
      </c>
      <c r="B23">
        <f>GETPIVOTDATA("ID",$F$26)</f>
        <v>12</v>
      </c>
      <c r="C23" s="9" t="s">
        <v>2</v>
      </c>
      <c r="D23" t="s">
        <v>601</v>
      </c>
      <c r="F23" s="9" t="s">
        <v>2</v>
      </c>
      <c r="G23" t="s">
        <v>601</v>
      </c>
    </row>
    <row r="24" spans="1:17" x14ac:dyDescent="0.25">
      <c r="C24" s="9" t="s">
        <v>16</v>
      </c>
      <c r="D24" t="s">
        <v>36</v>
      </c>
      <c r="F24" s="9" t="s">
        <v>16</v>
      </c>
      <c r="G24" t="s">
        <v>36</v>
      </c>
      <c r="I24" s="9" t="s">
        <v>8</v>
      </c>
      <c r="J24" t="s">
        <v>40</v>
      </c>
      <c r="L24" s="9" t="s">
        <v>16</v>
      </c>
      <c r="M24" t="s">
        <v>36</v>
      </c>
      <c r="P24" s="9" t="s">
        <v>16</v>
      </c>
      <c r="Q24" t="s">
        <v>36</v>
      </c>
    </row>
    <row r="26" spans="1:17" x14ac:dyDescent="0.25">
      <c r="C26" s="9" t="s">
        <v>650</v>
      </c>
      <c r="D26" t="s">
        <v>649</v>
      </c>
      <c r="F26" s="9" t="s">
        <v>650</v>
      </c>
      <c r="G26" t="s">
        <v>649</v>
      </c>
      <c r="I26" s="9" t="s">
        <v>650</v>
      </c>
      <c r="J26" t="s">
        <v>649</v>
      </c>
      <c r="L26" s="9" t="s">
        <v>6</v>
      </c>
      <c r="M26" s="9" t="s">
        <v>7</v>
      </c>
      <c r="N26" t="s">
        <v>649</v>
      </c>
      <c r="P26" s="9" t="s">
        <v>650</v>
      </c>
      <c r="Q26" t="s">
        <v>649</v>
      </c>
    </row>
    <row r="27" spans="1:17" x14ac:dyDescent="0.25">
      <c r="C27" s="11" t="s">
        <v>615</v>
      </c>
      <c r="D27" s="10">
        <v>8</v>
      </c>
      <c r="F27" s="11" t="s">
        <v>615</v>
      </c>
      <c r="G27" s="10">
        <v>8</v>
      </c>
      <c r="I27" s="11" t="s">
        <v>652</v>
      </c>
      <c r="J27" s="10">
        <v>24</v>
      </c>
      <c r="L27" t="s">
        <v>57</v>
      </c>
      <c r="M27" t="s">
        <v>401</v>
      </c>
      <c r="N27" s="10">
        <v>1</v>
      </c>
      <c r="P27" s="11" t="s">
        <v>57</v>
      </c>
      <c r="Q27" s="10">
        <v>1</v>
      </c>
    </row>
    <row r="28" spans="1:17" x14ac:dyDescent="0.25">
      <c r="C28" s="11" t="s">
        <v>2341</v>
      </c>
      <c r="D28" s="10">
        <v>2</v>
      </c>
      <c r="F28" s="11" t="s">
        <v>2341</v>
      </c>
      <c r="G28" s="10">
        <v>2</v>
      </c>
      <c r="I28" s="11" t="s">
        <v>653</v>
      </c>
      <c r="J28" s="10">
        <v>32</v>
      </c>
      <c r="L28" t="s">
        <v>18</v>
      </c>
      <c r="M28" t="s">
        <v>418</v>
      </c>
      <c r="N28" s="10">
        <v>7</v>
      </c>
      <c r="P28" s="11" t="s">
        <v>18</v>
      </c>
      <c r="Q28" s="10">
        <v>7</v>
      </c>
    </row>
    <row r="29" spans="1:17" x14ac:dyDescent="0.25">
      <c r="C29" s="11" t="s">
        <v>2352</v>
      </c>
      <c r="D29" s="10">
        <v>1</v>
      </c>
      <c r="F29" s="11" t="s">
        <v>2352</v>
      </c>
      <c r="G29" s="10">
        <v>1</v>
      </c>
      <c r="I29" s="11" t="s">
        <v>654</v>
      </c>
      <c r="J29" s="10">
        <v>28</v>
      </c>
      <c r="L29" t="s">
        <v>33</v>
      </c>
      <c r="M29" t="s">
        <v>399</v>
      </c>
      <c r="N29" s="10">
        <v>2</v>
      </c>
      <c r="P29" s="11" t="s">
        <v>33</v>
      </c>
      <c r="Q29" s="10">
        <v>3</v>
      </c>
    </row>
    <row r="30" spans="1:17" x14ac:dyDescent="0.25">
      <c r="C30" s="11" t="s">
        <v>2356</v>
      </c>
      <c r="D30" s="10">
        <v>1</v>
      </c>
      <c r="F30" s="11" t="s">
        <v>2356</v>
      </c>
      <c r="G30" s="10">
        <v>1</v>
      </c>
      <c r="I30" s="11" t="s">
        <v>655</v>
      </c>
      <c r="J30" s="10">
        <v>18</v>
      </c>
      <c r="M30" t="s">
        <v>425</v>
      </c>
      <c r="N30" s="10">
        <v>1</v>
      </c>
      <c r="P30" s="11" t="s">
        <v>23</v>
      </c>
      <c r="Q30" s="10">
        <v>1</v>
      </c>
    </row>
    <row r="31" spans="1:17" x14ac:dyDescent="0.25">
      <c r="C31" s="11" t="s">
        <v>651</v>
      </c>
      <c r="D31" s="10">
        <v>12</v>
      </c>
      <c r="F31" s="11" t="s">
        <v>651</v>
      </c>
      <c r="G31" s="10">
        <v>12</v>
      </c>
      <c r="I31" s="11" t="s">
        <v>656</v>
      </c>
      <c r="J31" s="10">
        <v>19</v>
      </c>
      <c r="L31" t="s">
        <v>23</v>
      </c>
      <c r="M31" t="s">
        <v>355</v>
      </c>
      <c r="N31" s="10">
        <v>1</v>
      </c>
      <c r="P31" s="11" t="s">
        <v>651</v>
      </c>
      <c r="Q31" s="10">
        <v>12</v>
      </c>
    </row>
    <row r="32" spans="1:17" x14ac:dyDescent="0.25">
      <c r="I32" s="11" t="s">
        <v>657</v>
      </c>
      <c r="J32" s="10">
        <v>16</v>
      </c>
    </row>
    <row r="33" spans="9:10" x14ac:dyDescent="0.25">
      <c r="I33" s="11" t="s">
        <v>658</v>
      </c>
      <c r="J33" s="10">
        <v>23</v>
      </c>
    </row>
    <row r="34" spans="9:10" x14ac:dyDescent="0.25">
      <c r="I34" s="11" t="s">
        <v>659</v>
      </c>
      <c r="J34" s="10">
        <v>26</v>
      </c>
    </row>
    <row r="35" spans="9:10" x14ac:dyDescent="0.25">
      <c r="I35" s="11" t="s">
        <v>660</v>
      </c>
      <c r="J35" s="10">
        <v>30</v>
      </c>
    </row>
    <row r="36" spans="9:10" x14ac:dyDescent="0.25">
      <c r="I36" s="11" t="s">
        <v>661</v>
      </c>
      <c r="J36" s="10">
        <v>16</v>
      </c>
    </row>
    <row r="37" spans="9:10" x14ac:dyDescent="0.25">
      <c r="I37" s="11" t="s">
        <v>662</v>
      </c>
      <c r="J37" s="10">
        <v>13</v>
      </c>
    </row>
    <row r="38" spans="9:10" x14ac:dyDescent="0.25">
      <c r="I38" s="11" t="s">
        <v>663</v>
      </c>
      <c r="J38" s="10">
        <v>16</v>
      </c>
    </row>
    <row r="39" spans="9:10" x14ac:dyDescent="0.25">
      <c r="I39" s="11" t="s">
        <v>664</v>
      </c>
      <c r="J39" s="10">
        <v>13</v>
      </c>
    </row>
    <row r="40" spans="9:10" x14ac:dyDescent="0.25">
      <c r="I40" s="11" t="s">
        <v>665</v>
      </c>
      <c r="J40" s="10">
        <v>12</v>
      </c>
    </row>
    <row r="41" spans="9:10" x14ac:dyDescent="0.25">
      <c r="I41" s="11" t="s">
        <v>666</v>
      </c>
      <c r="J41" s="10">
        <v>27</v>
      </c>
    </row>
    <row r="42" spans="9:10" x14ac:dyDescent="0.25">
      <c r="I42" s="11" t="s">
        <v>667</v>
      </c>
      <c r="J42" s="10">
        <v>29</v>
      </c>
    </row>
    <row r="43" spans="9:10" x14ac:dyDescent="0.25">
      <c r="I43" s="11" t="s">
        <v>2361</v>
      </c>
      <c r="J43" s="10">
        <v>26</v>
      </c>
    </row>
    <row r="44" spans="9:10" x14ac:dyDescent="0.25">
      <c r="I44" s="11" t="s">
        <v>668</v>
      </c>
      <c r="J44" s="10">
        <v>26</v>
      </c>
    </row>
    <row r="45" spans="9:10" x14ac:dyDescent="0.25">
      <c r="I45" s="11" t="s">
        <v>669</v>
      </c>
      <c r="J45" s="10">
        <v>30</v>
      </c>
    </row>
    <row r="46" spans="9:10" x14ac:dyDescent="0.25">
      <c r="I46" s="11" t="s">
        <v>670</v>
      </c>
      <c r="J46" s="10">
        <v>31</v>
      </c>
    </row>
    <row r="47" spans="9:10" x14ac:dyDescent="0.25">
      <c r="I47" s="11" t="s">
        <v>671</v>
      </c>
      <c r="J47" s="10">
        <v>37</v>
      </c>
    </row>
    <row r="48" spans="9:10" x14ac:dyDescent="0.25">
      <c r="I48" s="11" t="s">
        <v>672</v>
      </c>
      <c r="J48" s="10">
        <v>20</v>
      </c>
    </row>
    <row r="49" spans="9:10" x14ac:dyDescent="0.25">
      <c r="I49" s="11" t="s">
        <v>673</v>
      </c>
      <c r="J49" s="10">
        <v>14</v>
      </c>
    </row>
    <row r="50" spans="9:10" x14ac:dyDescent="0.25">
      <c r="I50" s="11" t="s">
        <v>674</v>
      </c>
      <c r="J50" s="10">
        <v>17</v>
      </c>
    </row>
    <row r="51" spans="9:10" x14ac:dyDescent="0.25">
      <c r="I51" s="11" t="s">
        <v>651</v>
      </c>
      <c r="J51" s="10">
        <v>543</v>
      </c>
    </row>
  </sheetData>
  <sortState xmlns:xlrd2="http://schemas.microsoft.com/office/spreadsheetml/2017/richdata2" ref="K7:K4206">
    <sortCondition ref="K7:K4206"/>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F0016-B35C-4D9D-A55A-758B9C85B9C8}">
  <sheetPr codeName="Sheet4"/>
  <dimension ref="A1:O40"/>
  <sheetViews>
    <sheetView showGridLines="0" workbookViewId="0"/>
  </sheetViews>
  <sheetFormatPr defaultRowHeight="15" x14ac:dyDescent="0.25"/>
  <cols>
    <col min="1" max="1" width="4.7109375" customWidth="1"/>
    <col min="7" max="7" width="17.7109375" customWidth="1"/>
    <col min="15" max="15" width="9.5703125" customWidth="1"/>
  </cols>
  <sheetData>
    <row r="1" spans="1:15" ht="16.5" customHeight="1" x14ac:dyDescent="0.25"/>
    <row r="2" spans="1:15" ht="39.75" customHeight="1" x14ac:dyDescent="0.25"/>
    <row r="3" spans="1:15" ht="3" customHeight="1" x14ac:dyDescent="0.25">
      <c r="A3" s="1"/>
      <c r="B3" s="1"/>
      <c r="C3" s="1"/>
      <c r="D3" s="1"/>
      <c r="E3" s="1"/>
      <c r="F3" s="1"/>
      <c r="G3" s="1"/>
      <c r="H3" s="1"/>
      <c r="I3" s="1"/>
      <c r="J3" s="1"/>
      <c r="K3" s="1"/>
      <c r="L3" s="1"/>
      <c r="M3" s="1"/>
      <c r="N3" s="1"/>
      <c r="O3" s="1"/>
    </row>
    <row r="4" spans="1:15" ht="20.100000000000001" customHeight="1" x14ac:dyDescent="0.3">
      <c r="A4" s="5" t="str">
        <f>"SUMMARY FOR "&amp; lookup!A2</f>
        <v>SUMMARY FOR 29 July 2022</v>
      </c>
    </row>
    <row r="5" spans="1:15" ht="5.0999999999999996" customHeight="1" x14ac:dyDescent="0.25"/>
    <row r="11" spans="1:15" x14ac:dyDescent="0.25">
      <c r="A11" s="6"/>
      <c r="B11" s="6"/>
      <c r="C11" s="6"/>
      <c r="D11" s="6"/>
      <c r="E11" s="6"/>
      <c r="F11" s="6"/>
      <c r="G11" s="6"/>
      <c r="H11" s="6"/>
      <c r="I11" s="6"/>
      <c r="J11" s="6"/>
      <c r="K11" s="6"/>
      <c r="L11" s="6"/>
      <c r="M11" s="6"/>
      <c r="N11" s="6"/>
      <c r="O11" s="6"/>
    </row>
    <row r="40" ht="24" customHeight="1" x14ac:dyDescent="0.25"/>
  </sheetData>
  <printOptions horizontalCentered="1" verticalCentered="1"/>
  <pageMargins left="0" right="0" top="0" bottom="0" header="0" footer="0"/>
  <pageSetup paperSize="9" orientation="landscape"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5F804-AC6C-43BA-BD9E-7AF33FFBA66F}">
  <sheetPr codeName="Sheet2"/>
  <dimension ref="A1:P8884"/>
  <sheetViews>
    <sheetView workbookViewId="0"/>
  </sheetViews>
  <sheetFormatPr defaultRowHeight="15" x14ac:dyDescent="0.25"/>
  <cols>
    <col min="1" max="1" width="9" bestFit="1" customWidth="1"/>
    <col min="2" max="2" width="13.85546875" bestFit="1" customWidth="1"/>
    <col min="3" max="3" width="18.28515625" bestFit="1" customWidth="1"/>
    <col min="4" max="4" width="26.5703125" bestFit="1" customWidth="1"/>
    <col min="5" max="5" width="17.42578125" bestFit="1" customWidth="1"/>
    <col min="6" max="6" width="13.85546875" bestFit="1" customWidth="1"/>
    <col min="7" max="7" width="13.42578125" bestFit="1" customWidth="1"/>
    <col min="8" max="8" width="18.5703125" bestFit="1" customWidth="1"/>
    <col min="9" max="9" width="23.5703125" bestFit="1" customWidth="1"/>
    <col min="10" max="10" width="13.42578125" bestFit="1" customWidth="1"/>
    <col min="11" max="11" width="8.85546875" bestFit="1" customWidth="1"/>
    <col min="12" max="12" width="24.42578125" bestFit="1" customWidth="1"/>
    <col min="13" max="13" width="13.7109375" bestFit="1" customWidth="1"/>
    <col min="14" max="14" width="16.42578125" bestFit="1" customWidth="1"/>
    <col min="15" max="15" width="22.28515625" bestFit="1" customWidth="1"/>
    <col min="16" max="16" width="15.140625" bestFit="1" customWidth="1"/>
  </cols>
  <sheetData>
    <row r="1" spans="1:16" x14ac:dyDescent="0.25">
      <c r="A1" s="2" t="s">
        <v>1</v>
      </c>
      <c r="B1" s="2" t="s">
        <v>2</v>
      </c>
      <c r="C1" s="3" t="s">
        <v>3</v>
      </c>
      <c r="D1" s="2" t="s">
        <v>4</v>
      </c>
      <c r="E1" s="2" t="s">
        <v>5</v>
      </c>
      <c r="F1" s="2" t="s">
        <v>6</v>
      </c>
      <c r="G1" s="2" t="s">
        <v>7</v>
      </c>
      <c r="H1" s="2" t="s">
        <v>8</v>
      </c>
      <c r="I1" s="2" t="s">
        <v>9</v>
      </c>
      <c r="J1" s="2" t="s">
        <v>10</v>
      </c>
      <c r="K1" s="2" t="s">
        <v>11</v>
      </c>
      <c r="L1" s="2" t="s">
        <v>12</v>
      </c>
      <c r="M1" s="2" t="s">
        <v>13</v>
      </c>
      <c r="N1" s="2" t="s">
        <v>14</v>
      </c>
      <c r="O1" s="2" t="s">
        <v>15</v>
      </c>
      <c r="P1" s="2" t="s">
        <v>16</v>
      </c>
    </row>
    <row r="2" spans="1:16" x14ac:dyDescent="0.25">
      <c r="A2">
        <v>27814370</v>
      </c>
      <c r="B2" t="s">
        <v>17</v>
      </c>
      <c r="C2" s="4">
        <v>44771.249576388887</v>
      </c>
      <c r="D2" t="s">
        <v>678</v>
      </c>
      <c r="E2" t="s">
        <v>129</v>
      </c>
      <c r="F2" t="s">
        <v>49</v>
      </c>
      <c r="G2" t="s">
        <v>128</v>
      </c>
      <c r="H2" t="s">
        <v>25</v>
      </c>
      <c r="I2" t="s">
        <v>21</v>
      </c>
      <c r="J2" t="s">
        <v>219</v>
      </c>
    </row>
    <row r="3" spans="1:16" x14ac:dyDescent="0.25">
      <c r="A3">
        <v>27805678</v>
      </c>
      <c r="B3" t="s">
        <v>17</v>
      </c>
      <c r="C3" s="4">
        <v>44771.084092129633</v>
      </c>
      <c r="D3" t="s">
        <v>679</v>
      </c>
      <c r="E3" t="s">
        <v>680</v>
      </c>
      <c r="F3" t="s">
        <v>18</v>
      </c>
      <c r="G3" t="s">
        <v>186</v>
      </c>
      <c r="H3" t="s">
        <v>29</v>
      </c>
      <c r="I3" t="s">
        <v>21</v>
      </c>
      <c r="J3" t="s">
        <v>681</v>
      </c>
    </row>
    <row r="4" spans="1:16" x14ac:dyDescent="0.25">
      <c r="A4">
        <v>27805709</v>
      </c>
      <c r="B4" t="s">
        <v>17</v>
      </c>
      <c r="C4" s="4">
        <v>44771.085342847233</v>
      </c>
      <c r="D4" t="s">
        <v>682</v>
      </c>
      <c r="E4" t="s">
        <v>62</v>
      </c>
      <c r="F4" t="s">
        <v>18</v>
      </c>
      <c r="G4" t="s">
        <v>377</v>
      </c>
      <c r="H4" t="s">
        <v>29</v>
      </c>
      <c r="I4" t="s">
        <v>21</v>
      </c>
      <c r="J4" t="s">
        <v>683</v>
      </c>
    </row>
    <row r="5" spans="1:16" x14ac:dyDescent="0.25">
      <c r="A5">
        <v>27817282</v>
      </c>
      <c r="B5" t="s">
        <v>17</v>
      </c>
      <c r="C5" s="4">
        <v>44771.29506365741</v>
      </c>
      <c r="D5" t="s">
        <v>684</v>
      </c>
      <c r="E5" t="s">
        <v>72</v>
      </c>
      <c r="F5" t="s">
        <v>49</v>
      </c>
      <c r="G5" t="s">
        <v>50</v>
      </c>
      <c r="H5" t="s">
        <v>25</v>
      </c>
      <c r="I5" t="s">
        <v>21</v>
      </c>
      <c r="J5" t="s">
        <v>246</v>
      </c>
    </row>
    <row r="6" spans="1:16" x14ac:dyDescent="0.25">
      <c r="A6">
        <v>27805721</v>
      </c>
      <c r="B6" t="s">
        <v>17</v>
      </c>
      <c r="C6" s="4">
        <v>44771.085480000002</v>
      </c>
      <c r="D6" t="s">
        <v>685</v>
      </c>
      <c r="E6" t="s">
        <v>38</v>
      </c>
      <c r="F6" t="s">
        <v>31</v>
      </c>
      <c r="G6" t="s">
        <v>148</v>
      </c>
      <c r="H6" t="s">
        <v>40</v>
      </c>
      <c r="I6" t="s">
        <v>21</v>
      </c>
      <c r="J6" t="s">
        <v>500</v>
      </c>
    </row>
    <row r="7" spans="1:16" x14ac:dyDescent="0.25">
      <c r="A7">
        <v>27805724</v>
      </c>
      <c r="B7" t="s">
        <v>17</v>
      </c>
      <c r="C7" s="4">
        <v>44771.085584629633</v>
      </c>
      <c r="D7" t="s">
        <v>686</v>
      </c>
      <c r="E7" t="s">
        <v>38</v>
      </c>
      <c r="F7" t="s">
        <v>52</v>
      </c>
      <c r="G7" t="s">
        <v>165</v>
      </c>
      <c r="H7" t="s">
        <v>40</v>
      </c>
      <c r="I7" t="s">
        <v>21</v>
      </c>
      <c r="J7" t="s">
        <v>501</v>
      </c>
    </row>
    <row r="8" spans="1:16" x14ac:dyDescent="0.25">
      <c r="A8">
        <v>27817293</v>
      </c>
      <c r="B8" t="s">
        <v>17</v>
      </c>
      <c r="C8" s="4">
        <v>44771.295097870367</v>
      </c>
      <c r="D8" t="s">
        <v>687</v>
      </c>
      <c r="E8" t="s">
        <v>27</v>
      </c>
      <c r="F8" t="s">
        <v>18</v>
      </c>
      <c r="G8" t="s">
        <v>375</v>
      </c>
      <c r="H8" t="s">
        <v>42</v>
      </c>
      <c r="I8" t="s">
        <v>21</v>
      </c>
      <c r="J8" t="s">
        <v>261</v>
      </c>
    </row>
    <row r="9" spans="1:16" x14ac:dyDescent="0.25">
      <c r="A9">
        <v>27817295</v>
      </c>
      <c r="B9" t="s">
        <v>17</v>
      </c>
      <c r="C9" s="4">
        <v>44771.295100937503</v>
      </c>
      <c r="D9" t="s">
        <v>688</v>
      </c>
      <c r="E9" t="s">
        <v>62</v>
      </c>
      <c r="F9" t="s">
        <v>49</v>
      </c>
      <c r="G9" t="s">
        <v>50</v>
      </c>
      <c r="H9" t="s">
        <v>29</v>
      </c>
      <c r="I9" t="s">
        <v>21</v>
      </c>
      <c r="J9" t="s">
        <v>276</v>
      </c>
    </row>
    <row r="10" spans="1:16" x14ac:dyDescent="0.25">
      <c r="A10">
        <v>27805733</v>
      </c>
      <c r="B10" t="s">
        <v>17</v>
      </c>
      <c r="C10" s="4">
        <v>44771.085831979173</v>
      </c>
      <c r="D10" t="s">
        <v>689</v>
      </c>
      <c r="E10" t="s">
        <v>38</v>
      </c>
      <c r="F10" t="s">
        <v>31</v>
      </c>
      <c r="G10" t="s">
        <v>133</v>
      </c>
      <c r="H10" t="s">
        <v>40</v>
      </c>
      <c r="I10" t="s">
        <v>21</v>
      </c>
      <c r="J10" t="s">
        <v>690</v>
      </c>
    </row>
    <row r="11" spans="1:16" x14ac:dyDescent="0.25">
      <c r="A11">
        <v>27805735</v>
      </c>
      <c r="B11" t="s">
        <v>17</v>
      </c>
      <c r="C11" s="4">
        <v>44771.085835694437</v>
      </c>
      <c r="D11" t="s">
        <v>691</v>
      </c>
      <c r="E11" t="s">
        <v>22</v>
      </c>
      <c r="F11" t="s">
        <v>31</v>
      </c>
      <c r="G11" t="s">
        <v>137</v>
      </c>
      <c r="H11" t="s">
        <v>42</v>
      </c>
      <c r="I11" t="s">
        <v>21</v>
      </c>
      <c r="J11" t="s">
        <v>692</v>
      </c>
    </row>
    <row r="12" spans="1:16" x14ac:dyDescent="0.25">
      <c r="A12">
        <v>27805737</v>
      </c>
      <c r="B12" t="s">
        <v>17</v>
      </c>
      <c r="C12" s="4">
        <v>44771.085887627312</v>
      </c>
      <c r="D12" t="s">
        <v>685</v>
      </c>
      <c r="E12" t="s">
        <v>38</v>
      </c>
      <c r="F12" t="s">
        <v>31</v>
      </c>
      <c r="G12" t="s">
        <v>148</v>
      </c>
      <c r="H12" t="s">
        <v>25</v>
      </c>
      <c r="I12" t="s">
        <v>21</v>
      </c>
      <c r="J12" t="s">
        <v>500</v>
      </c>
    </row>
    <row r="13" spans="1:16" x14ac:dyDescent="0.25">
      <c r="A13">
        <v>27817315</v>
      </c>
      <c r="B13" t="s">
        <v>17</v>
      </c>
      <c r="C13" s="4">
        <v>44771.295182662026</v>
      </c>
      <c r="D13" t="s">
        <v>693</v>
      </c>
      <c r="E13" t="s">
        <v>129</v>
      </c>
      <c r="F13" t="s">
        <v>49</v>
      </c>
      <c r="G13" t="s">
        <v>74</v>
      </c>
      <c r="H13" t="s">
        <v>25</v>
      </c>
      <c r="I13" t="s">
        <v>21</v>
      </c>
      <c r="J13" t="s">
        <v>289</v>
      </c>
    </row>
    <row r="14" spans="1:16" x14ac:dyDescent="0.25">
      <c r="A14">
        <v>27817331</v>
      </c>
      <c r="B14" t="s">
        <v>17</v>
      </c>
      <c r="C14" s="4">
        <v>44771.29530863426</v>
      </c>
      <c r="D14" t="s">
        <v>687</v>
      </c>
      <c r="E14" t="s">
        <v>27</v>
      </c>
      <c r="F14" t="s">
        <v>18</v>
      </c>
      <c r="G14" t="s">
        <v>375</v>
      </c>
      <c r="H14" t="s">
        <v>54</v>
      </c>
      <c r="I14" t="s">
        <v>21</v>
      </c>
      <c r="J14" t="s">
        <v>261</v>
      </c>
    </row>
    <row r="15" spans="1:16" x14ac:dyDescent="0.25">
      <c r="A15">
        <v>27817338</v>
      </c>
      <c r="B15" t="s">
        <v>17</v>
      </c>
      <c r="C15" s="4">
        <v>44771.295343171303</v>
      </c>
      <c r="D15" t="s">
        <v>694</v>
      </c>
      <c r="E15" t="s">
        <v>27</v>
      </c>
      <c r="F15" t="s">
        <v>18</v>
      </c>
      <c r="G15" t="s">
        <v>186</v>
      </c>
      <c r="H15" t="s">
        <v>54</v>
      </c>
      <c r="I15" t="s">
        <v>21</v>
      </c>
      <c r="J15" t="s">
        <v>695</v>
      </c>
    </row>
    <row r="16" spans="1:16" x14ac:dyDescent="0.25">
      <c r="A16">
        <v>27805752</v>
      </c>
      <c r="B16" t="s">
        <v>17</v>
      </c>
      <c r="C16" s="4">
        <v>44771.085982118057</v>
      </c>
      <c r="D16" t="s">
        <v>691</v>
      </c>
      <c r="E16" t="s">
        <v>22</v>
      </c>
      <c r="F16" t="s">
        <v>31</v>
      </c>
      <c r="G16" t="s">
        <v>137</v>
      </c>
      <c r="H16" t="s">
        <v>54</v>
      </c>
      <c r="I16" t="s">
        <v>21</v>
      </c>
      <c r="J16" t="s">
        <v>692</v>
      </c>
    </row>
    <row r="17" spans="1:10" x14ac:dyDescent="0.25">
      <c r="A17">
        <v>27805754</v>
      </c>
      <c r="B17" t="s">
        <v>17</v>
      </c>
      <c r="C17" s="4">
        <v>44771.086004398137</v>
      </c>
      <c r="D17" t="s">
        <v>686</v>
      </c>
      <c r="E17" t="s">
        <v>38</v>
      </c>
      <c r="F17" t="s">
        <v>52</v>
      </c>
      <c r="G17" t="s">
        <v>165</v>
      </c>
      <c r="H17" t="s">
        <v>25</v>
      </c>
      <c r="I17" t="s">
        <v>21</v>
      </c>
      <c r="J17" t="s">
        <v>501</v>
      </c>
    </row>
    <row r="18" spans="1:10" x14ac:dyDescent="0.25">
      <c r="A18">
        <v>27817343</v>
      </c>
      <c r="B18" t="s">
        <v>17</v>
      </c>
      <c r="C18" s="4">
        <v>44771.295395972222</v>
      </c>
      <c r="D18" t="s">
        <v>696</v>
      </c>
      <c r="E18" t="s">
        <v>30</v>
      </c>
      <c r="F18" t="s">
        <v>31</v>
      </c>
      <c r="G18" t="s">
        <v>161</v>
      </c>
      <c r="H18" t="s">
        <v>54</v>
      </c>
      <c r="I18" t="s">
        <v>21</v>
      </c>
      <c r="J18" t="s">
        <v>60</v>
      </c>
    </row>
    <row r="19" spans="1:10" x14ac:dyDescent="0.25">
      <c r="A19">
        <v>27817355</v>
      </c>
      <c r="B19" t="s">
        <v>17</v>
      </c>
      <c r="C19" s="4">
        <v>44771.295736944441</v>
      </c>
      <c r="D19" t="s">
        <v>697</v>
      </c>
      <c r="E19" t="s">
        <v>27</v>
      </c>
      <c r="F19" t="s">
        <v>18</v>
      </c>
      <c r="G19" t="s">
        <v>265</v>
      </c>
      <c r="H19" t="s">
        <v>40</v>
      </c>
      <c r="I19" t="s">
        <v>21</v>
      </c>
      <c r="J19" t="s">
        <v>698</v>
      </c>
    </row>
    <row r="20" spans="1:10" x14ac:dyDescent="0.25">
      <c r="A20">
        <v>27805779</v>
      </c>
      <c r="B20" t="s">
        <v>17</v>
      </c>
      <c r="C20" s="4">
        <v>44771.086377997693</v>
      </c>
      <c r="D20" t="s">
        <v>689</v>
      </c>
      <c r="E20" t="s">
        <v>38</v>
      </c>
      <c r="F20" t="s">
        <v>31</v>
      </c>
      <c r="G20" t="s">
        <v>133</v>
      </c>
      <c r="H20" t="s">
        <v>25</v>
      </c>
      <c r="I20" t="s">
        <v>21</v>
      </c>
      <c r="J20" t="s">
        <v>690</v>
      </c>
    </row>
    <row r="21" spans="1:10" x14ac:dyDescent="0.25">
      <c r="A21">
        <v>27817371</v>
      </c>
      <c r="B21" t="s">
        <v>17</v>
      </c>
      <c r="C21" s="4">
        <v>44771.296281539348</v>
      </c>
      <c r="D21" t="s">
        <v>697</v>
      </c>
      <c r="E21" t="s">
        <v>27</v>
      </c>
      <c r="F21" t="s">
        <v>18</v>
      </c>
      <c r="G21" t="s">
        <v>265</v>
      </c>
      <c r="H21" t="s">
        <v>25</v>
      </c>
      <c r="I21" t="s">
        <v>21</v>
      </c>
      <c r="J21" t="s">
        <v>698</v>
      </c>
    </row>
    <row r="22" spans="1:10" x14ac:dyDescent="0.25">
      <c r="A22">
        <v>27817389</v>
      </c>
      <c r="B22" t="s">
        <v>17</v>
      </c>
      <c r="C22" s="4">
        <v>44771.296529687497</v>
      </c>
      <c r="D22" t="s">
        <v>699</v>
      </c>
      <c r="E22" t="s">
        <v>129</v>
      </c>
      <c r="F22" t="s">
        <v>49</v>
      </c>
      <c r="G22" t="s">
        <v>247</v>
      </c>
      <c r="H22" t="s">
        <v>54</v>
      </c>
      <c r="I22" t="s">
        <v>21</v>
      </c>
      <c r="J22" t="s">
        <v>263</v>
      </c>
    </row>
    <row r="23" spans="1:10" x14ac:dyDescent="0.25">
      <c r="A23">
        <v>27817419</v>
      </c>
      <c r="B23" t="s">
        <v>17</v>
      </c>
      <c r="C23" s="4">
        <v>44771.297830520831</v>
      </c>
      <c r="D23" t="s">
        <v>700</v>
      </c>
      <c r="E23" t="s">
        <v>38</v>
      </c>
      <c r="F23" t="s">
        <v>23</v>
      </c>
      <c r="G23" t="s">
        <v>120</v>
      </c>
      <c r="H23" t="s">
        <v>54</v>
      </c>
      <c r="I23" t="s">
        <v>21</v>
      </c>
      <c r="J23" t="s">
        <v>701</v>
      </c>
    </row>
    <row r="24" spans="1:10" x14ac:dyDescent="0.25">
      <c r="A24">
        <v>27817424</v>
      </c>
      <c r="B24" t="s">
        <v>17</v>
      </c>
      <c r="C24" s="4">
        <v>44771.29793158565</v>
      </c>
      <c r="D24" t="s">
        <v>702</v>
      </c>
      <c r="E24" t="s">
        <v>371</v>
      </c>
      <c r="F24" t="s">
        <v>49</v>
      </c>
      <c r="G24" t="s">
        <v>213</v>
      </c>
      <c r="H24" t="s">
        <v>29</v>
      </c>
      <c r="I24" t="s">
        <v>21</v>
      </c>
      <c r="J24" t="s">
        <v>703</v>
      </c>
    </row>
    <row r="25" spans="1:10" x14ac:dyDescent="0.25">
      <c r="A25">
        <v>27817435</v>
      </c>
      <c r="B25" t="s">
        <v>17</v>
      </c>
      <c r="C25" s="4">
        <v>44771.297975914349</v>
      </c>
      <c r="D25" t="s">
        <v>704</v>
      </c>
      <c r="E25" t="s">
        <v>387</v>
      </c>
      <c r="F25" t="s">
        <v>18</v>
      </c>
      <c r="G25" t="s">
        <v>395</v>
      </c>
      <c r="H25" t="s">
        <v>40</v>
      </c>
      <c r="I25" t="s">
        <v>21</v>
      </c>
      <c r="J25" t="s">
        <v>705</v>
      </c>
    </row>
    <row r="26" spans="1:10" x14ac:dyDescent="0.25">
      <c r="A26">
        <v>27805791</v>
      </c>
      <c r="B26" t="s">
        <v>17</v>
      </c>
      <c r="C26" s="4">
        <v>44771.086414282407</v>
      </c>
      <c r="D26" t="s">
        <v>706</v>
      </c>
      <c r="E26" t="s">
        <v>38</v>
      </c>
      <c r="F26" t="s">
        <v>57</v>
      </c>
      <c r="G26" t="s">
        <v>58</v>
      </c>
      <c r="H26" t="s">
        <v>42</v>
      </c>
      <c r="I26" t="s">
        <v>21</v>
      </c>
      <c r="J26" t="s">
        <v>492</v>
      </c>
    </row>
    <row r="27" spans="1:10" x14ac:dyDescent="0.25">
      <c r="A27">
        <v>27805807</v>
      </c>
      <c r="B27" t="s">
        <v>17</v>
      </c>
      <c r="C27" s="4">
        <v>44771.086703761583</v>
      </c>
      <c r="D27" t="s">
        <v>707</v>
      </c>
      <c r="E27" t="s">
        <v>72</v>
      </c>
      <c r="F27" t="s">
        <v>49</v>
      </c>
      <c r="G27" t="s">
        <v>146</v>
      </c>
      <c r="H27" t="s">
        <v>42</v>
      </c>
      <c r="I27" t="s">
        <v>21</v>
      </c>
      <c r="J27" t="s">
        <v>585</v>
      </c>
    </row>
    <row r="28" spans="1:10" x14ac:dyDescent="0.25">
      <c r="A28">
        <v>27817447</v>
      </c>
      <c r="B28" t="s">
        <v>17</v>
      </c>
      <c r="C28" s="4">
        <v>44771.298350879631</v>
      </c>
      <c r="D28" t="s">
        <v>704</v>
      </c>
      <c r="E28" t="s">
        <v>387</v>
      </c>
      <c r="F28" t="s">
        <v>18</v>
      </c>
      <c r="G28" t="s">
        <v>395</v>
      </c>
      <c r="H28" t="s">
        <v>25</v>
      </c>
      <c r="I28" t="s">
        <v>21</v>
      </c>
      <c r="J28" t="s">
        <v>705</v>
      </c>
    </row>
    <row r="29" spans="1:10" x14ac:dyDescent="0.25">
      <c r="A29">
        <v>27805816</v>
      </c>
      <c r="B29" t="s">
        <v>17</v>
      </c>
      <c r="C29" s="4">
        <v>44771.086776759257</v>
      </c>
      <c r="D29" t="s">
        <v>706</v>
      </c>
      <c r="E29" t="s">
        <v>38</v>
      </c>
      <c r="F29" t="s">
        <v>57</v>
      </c>
      <c r="G29" t="s">
        <v>58</v>
      </c>
      <c r="H29" t="s">
        <v>54</v>
      </c>
      <c r="I29" t="s">
        <v>21</v>
      </c>
      <c r="J29" t="s">
        <v>492</v>
      </c>
    </row>
    <row r="30" spans="1:10" x14ac:dyDescent="0.25">
      <c r="A30">
        <v>27817503</v>
      </c>
      <c r="B30" t="s">
        <v>17</v>
      </c>
      <c r="C30" s="4">
        <v>44771.29982954861</v>
      </c>
      <c r="D30" t="s">
        <v>708</v>
      </c>
      <c r="E30" t="s">
        <v>62</v>
      </c>
      <c r="F30" t="s">
        <v>57</v>
      </c>
      <c r="G30" t="s">
        <v>419</v>
      </c>
      <c r="H30" t="s">
        <v>29</v>
      </c>
      <c r="I30" t="s">
        <v>21</v>
      </c>
      <c r="J30" t="s">
        <v>709</v>
      </c>
    </row>
    <row r="31" spans="1:10" x14ac:dyDescent="0.25">
      <c r="A31">
        <v>27817526</v>
      </c>
      <c r="B31" t="s">
        <v>17</v>
      </c>
      <c r="C31" s="4">
        <v>44771.300479155092</v>
      </c>
      <c r="D31" t="s">
        <v>710</v>
      </c>
      <c r="E31" t="s">
        <v>38</v>
      </c>
      <c r="F31" t="s">
        <v>52</v>
      </c>
      <c r="G31" t="s">
        <v>229</v>
      </c>
      <c r="H31" t="s">
        <v>42</v>
      </c>
      <c r="I31" t="s">
        <v>21</v>
      </c>
      <c r="J31" t="s">
        <v>139</v>
      </c>
    </row>
    <row r="32" spans="1:10" x14ac:dyDescent="0.25">
      <c r="A32">
        <v>27817532</v>
      </c>
      <c r="B32" t="s">
        <v>17</v>
      </c>
      <c r="C32" s="4">
        <v>44771.300524675928</v>
      </c>
      <c r="D32" t="s">
        <v>711</v>
      </c>
      <c r="E32" t="s">
        <v>22</v>
      </c>
      <c r="F32" t="s">
        <v>23</v>
      </c>
      <c r="G32" t="s">
        <v>110</v>
      </c>
      <c r="H32" t="s">
        <v>40</v>
      </c>
      <c r="I32" t="s">
        <v>21</v>
      </c>
      <c r="J32" t="s">
        <v>712</v>
      </c>
    </row>
    <row r="33" spans="1:10" x14ac:dyDescent="0.25">
      <c r="A33">
        <v>27817534</v>
      </c>
      <c r="B33" t="s">
        <v>17</v>
      </c>
      <c r="C33" s="4">
        <v>44771.300537569441</v>
      </c>
      <c r="D33" t="s">
        <v>713</v>
      </c>
      <c r="E33" t="s">
        <v>38</v>
      </c>
      <c r="F33" t="s">
        <v>31</v>
      </c>
      <c r="G33" t="s">
        <v>159</v>
      </c>
      <c r="H33" t="s">
        <v>42</v>
      </c>
      <c r="I33" t="s">
        <v>21</v>
      </c>
      <c r="J33" t="s">
        <v>288</v>
      </c>
    </row>
    <row r="34" spans="1:10" x14ac:dyDescent="0.25">
      <c r="A34">
        <v>27805842</v>
      </c>
      <c r="B34" t="s">
        <v>17</v>
      </c>
      <c r="C34" s="4">
        <v>44771.08722454861</v>
      </c>
      <c r="D34" t="s">
        <v>714</v>
      </c>
      <c r="E34" t="s">
        <v>105</v>
      </c>
      <c r="F34" t="s">
        <v>49</v>
      </c>
      <c r="G34" t="s">
        <v>218</v>
      </c>
      <c r="H34" t="s">
        <v>42</v>
      </c>
      <c r="I34" t="s">
        <v>21</v>
      </c>
      <c r="J34" t="s">
        <v>487</v>
      </c>
    </row>
    <row r="35" spans="1:10" x14ac:dyDescent="0.25">
      <c r="A35">
        <v>27805845</v>
      </c>
      <c r="B35" t="s">
        <v>17</v>
      </c>
      <c r="C35" s="4">
        <v>44771.087287939823</v>
      </c>
      <c r="D35" t="s">
        <v>715</v>
      </c>
      <c r="E35" t="s">
        <v>62</v>
      </c>
      <c r="F35" t="s">
        <v>57</v>
      </c>
      <c r="G35" t="s">
        <v>185</v>
      </c>
      <c r="H35" t="s">
        <v>40</v>
      </c>
      <c r="I35" t="s">
        <v>21</v>
      </c>
      <c r="J35" t="s">
        <v>716</v>
      </c>
    </row>
    <row r="36" spans="1:10" x14ac:dyDescent="0.25">
      <c r="A36">
        <v>27805862</v>
      </c>
      <c r="B36" t="s">
        <v>17</v>
      </c>
      <c r="C36" s="4">
        <v>44771.087735358793</v>
      </c>
      <c r="D36" t="s">
        <v>715</v>
      </c>
      <c r="E36" t="s">
        <v>62</v>
      </c>
      <c r="F36" t="s">
        <v>57</v>
      </c>
      <c r="G36" t="s">
        <v>185</v>
      </c>
      <c r="H36" t="s">
        <v>25</v>
      </c>
      <c r="I36" t="s">
        <v>21</v>
      </c>
      <c r="J36" t="s">
        <v>716</v>
      </c>
    </row>
    <row r="37" spans="1:10" x14ac:dyDescent="0.25">
      <c r="A37">
        <v>27817548</v>
      </c>
      <c r="B37" t="s">
        <v>17</v>
      </c>
      <c r="C37" s="4">
        <v>44771.300969988428</v>
      </c>
      <c r="D37" t="s">
        <v>694</v>
      </c>
      <c r="E37" t="s">
        <v>27</v>
      </c>
      <c r="F37" t="s">
        <v>18</v>
      </c>
      <c r="G37" t="s">
        <v>186</v>
      </c>
      <c r="H37" t="s">
        <v>40</v>
      </c>
      <c r="I37" t="s">
        <v>21</v>
      </c>
      <c r="J37" t="s">
        <v>695</v>
      </c>
    </row>
    <row r="38" spans="1:10" x14ac:dyDescent="0.25">
      <c r="A38">
        <v>27817549</v>
      </c>
      <c r="B38" t="s">
        <v>17</v>
      </c>
      <c r="C38" s="4">
        <v>44771.301033773147</v>
      </c>
      <c r="D38" t="s">
        <v>710</v>
      </c>
      <c r="E38" t="s">
        <v>38</v>
      </c>
      <c r="F38" t="s">
        <v>52</v>
      </c>
      <c r="G38" t="s">
        <v>229</v>
      </c>
      <c r="H38" t="s">
        <v>54</v>
      </c>
      <c r="I38" t="s">
        <v>21</v>
      </c>
      <c r="J38" t="s">
        <v>139</v>
      </c>
    </row>
    <row r="39" spans="1:10" x14ac:dyDescent="0.25">
      <c r="A39">
        <v>27817551</v>
      </c>
      <c r="B39" t="s">
        <v>17</v>
      </c>
      <c r="C39" s="4">
        <v>44771.301038587961</v>
      </c>
      <c r="D39" t="s">
        <v>717</v>
      </c>
      <c r="E39" t="s">
        <v>38</v>
      </c>
      <c r="F39" t="s">
        <v>55</v>
      </c>
      <c r="G39" t="s">
        <v>193</v>
      </c>
      <c r="H39" t="s">
        <v>29</v>
      </c>
      <c r="I39" t="s">
        <v>21</v>
      </c>
      <c r="J39" t="s">
        <v>565</v>
      </c>
    </row>
    <row r="40" spans="1:10" x14ac:dyDescent="0.25">
      <c r="A40">
        <v>27817562</v>
      </c>
      <c r="B40" t="s">
        <v>17</v>
      </c>
      <c r="C40" s="4">
        <v>44771.301202812501</v>
      </c>
      <c r="F40" t="s">
        <v>23</v>
      </c>
      <c r="G40" t="s">
        <v>274</v>
      </c>
      <c r="H40" t="s">
        <v>196</v>
      </c>
      <c r="I40" t="s">
        <v>21</v>
      </c>
    </row>
    <row r="41" spans="1:10" x14ac:dyDescent="0.25">
      <c r="A41">
        <v>27817567</v>
      </c>
      <c r="B41" t="s">
        <v>17</v>
      </c>
      <c r="C41" s="4">
        <v>44771.301351307869</v>
      </c>
      <c r="D41" t="s">
        <v>711</v>
      </c>
      <c r="E41" t="s">
        <v>22</v>
      </c>
      <c r="F41" t="s">
        <v>23</v>
      </c>
      <c r="G41" t="s">
        <v>110</v>
      </c>
      <c r="H41" t="s">
        <v>25</v>
      </c>
      <c r="I41" t="s">
        <v>21</v>
      </c>
      <c r="J41" t="s">
        <v>712</v>
      </c>
    </row>
    <row r="42" spans="1:10" x14ac:dyDescent="0.25">
      <c r="A42">
        <v>27817577</v>
      </c>
      <c r="B42" t="s">
        <v>17</v>
      </c>
      <c r="C42" s="4">
        <v>44771.301390416673</v>
      </c>
      <c r="F42" t="s">
        <v>52</v>
      </c>
      <c r="G42" t="s">
        <v>145</v>
      </c>
      <c r="H42" t="s">
        <v>20</v>
      </c>
      <c r="I42" t="s">
        <v>21</v>
      </c>
    </row>
    <row r="43" spans="1:10" x14ac:dyDescent="0.25">
      <c r="A43">
        <v>27817585</v>
      </c>
      <c r="B43" t="s">
        <v>17</v>
      </c>
      <c r="C43" s="4">
        <v>44771.301461921299</v>
      </c>
      <c r="D43" t="s">
        <v>694</v>
      </c>
      <c r="E43" t="s">
        <v>27</v>
      </c>
      <c r="F43" t="s">
        <v>18</v>
      </c>
      <c r="G43" t="s">
        <v>186</v>
      </c>
      <c r="H43" t="s">
        <v>25</v>
      </c>
      <c r="I43" t="s">
        <v>21</v>
      </c>
      <c r="J43" t="s">
        <v>695</v>
      </c>
    </row>
    <row r="44" spans="1:10" x14ac:dyDescent="0.25">
      <c r="A44">
        <v>27805885</v>
      </c>
      <c r="B44" t="s">
        <v>17</v>
      </c>
      <c r="C44" s="4">
        <v>44771.088091527781</v>
      </c>
      <c r="D44" t="s">
        <v>718</v>
      </c>
      <c r="E44" t="s">
        <v>22</v>
      </c>
      <c r="F44" t="s">
        <v>31</v>
      </c>
      <c r="G44" t="s">
        <v>209</v>
      </c>
      <c r="H44" t="s">
        <v>40</v>
      </c>
      <c r="I44" t="s">
        <v>21</v>
      </c>
      <c r="J44" t="s">
        <v>488</v>
      </c>
    </row>
    <row r="45" spans="1:10" x14ac:dyDescent="0.25">
      <c r="A45">
        <v>27817602</v>
      </c>
      <c r="B45" t="s">
        <v>17</v>
      </c>
      <c r="C45" s="4">
        <v>44771.301895150456</v>
      </c>
      <c r="D45" t="s">
        <v>719</v>
      </c>
      <c r="E45" t="s">
        <v>387</v>
      </c>
      <c r="F45" t="s">
        <v>18</v>
      </c>
      <c r="G45" t="s">
        <v>124</v>
      </c>
      <c r="H45" t="s">
        <v>29</v>
      </c>
      <c r="I45" t="s">
        <v>21</v>
      </c>
      <c r="J45" t="s">
        <v>720</v>
      </c>
    </row>
    <row r="46" spans="1:10" x14ac:dyDescent="0.25">
      <c r="A46">
        <v>27818035</v>
      </c>
      <c r="B46" t="s">
        <v>17</v>
      </c>
      <c r="C46" s="4">
        <v>44771.310658125003</v>
      </c>
      <c r="D46" t="s">
        <v>721</v>
      </c>
      <c r="E46" t="s">
        <v>72</v>
      </c>
      <c r="F46" t="s">
        <v>49</v>
      </c>
      <c r="G46" t="s">
        <v>132</v>
      </c>
      <c r="H46" t="s">
        <v>29</v>
      </c>
      <c r="I46" t="s">
        <v>21</v>
      </c>
      <c r="J46" t="s">
        <v>722</v>
      </c>
    </row>
    <row r="47" spans="1:10" x14ac:dyDescent="0.25">
      <c r="A47">
        <v>27817627</v>
      </c>
      <c r="B47" t="s">
        <v>17</v>
      </c>
      <c r="C47" s="4">
        <v>44771.302193252312</v>
      </c>
      <c r="F47" t="s">
        <v>52</v>
      </c>
      <c r="G47" t="s">
        <v>328</v>
      </c>
      <c r="H47" t="s">
        <v>116</v>
      </c>
      <c r="I47" t="s">
        <v>21</v>
      </c>
    </row>
    <row r="48" spans="1:10" x14ac:dyDescent="0.25">
      <c r="A48">
        <v>27805907</v>
      </c>
      <c r="B48" t="s">
        <v>17</v>
      </c>
      <c r="C48" s="4">
        <v>44771.088548101849</v>
      </c>
      <c r="D48" t="s">
        <v>718</v>
      </c>
      <c r="E48" t="s">
        <v>22</v>
      </c>
      <c r="F48" t="s">
        <v>31</v>
      </c>
      <c r="G48" t="s">
        <v>209</v>
      </c>
      <c r="H48" t="s">
        <v>25</v>
      </c>
      <c r="I48" t="s">
        <v>21</v>
      </c>
      <c r="J48" t="s">
        <v>488</v>
      </c>
    </row>
    <row r="49" spans="1:10" x14ac:dyDescent="0.25">
      <c r="A49">
        <v>27817645</v>
      </c>
      <c r="B49" t="s">
        <v>17</v>
      </c>
      <c r="C49" s="4">
        <v>44771.302504872678</v>
      </c>
      <c r="D49" t="s">
        <v>723</v>
      </c>
      <c r="E49" t="s">
        <v>129</v>
      </c>
      <c r="F49" t="s">
        <v>49</v>
      </c>
      <c r="G49" t="s">
        <v>50</v>
      </c>
      <c r="H49" t="s">
        <v>42</v>
      </c>
      <c r="I49" t="s">
        <v>21</v>
      </c>
      <c r="J49" t="s">
        <v>724</v>
      </c>
    </row>
    <row r="50" spans="1:10" x14ac:dyDescent="0.25">
      <c r="A50">
        <v>27817655</v>
      </c>
      <c r="B50" t="s">
        <v>17</v>
      </c>
      <c r="C50" s="4">
        <v>44771.302620879629</v>
      </c>
      <c r="D50" t="s">
        <v>725</v>
      </c>
      <c r="E50" t="s">
        <v>268</v>
      </c>
      <c r="F50" t="s">
        <v>49</v>
      </c>
      <c r="G50" t="s">
        <v>132</v>
      </c>
      <c r="H50" t="s">
        <v>42</v>
      </c>
      <c r="I50" t="s">
        <v>21</v>
      </c>
      <c r="J50" t="s">
        <v>269</v>
      </c>
    </row>
    <row r="51" spans="1:10" x14ac:dyDescent="0.25">
      <c r="A51">
        <v>27817670</v>
      </c>
      <c r="B51" t="s">
        <v>17</v>
      </c>
      <c r="C51" s="4">
        <v>44771.302820023149</v>
      </c>
      <c r="F51" t="s">
        <v>18</v>
      </c>
      <c r="G51" t="s">
        <v>228</v>
      </c>
      <c r="H51" t="s">
        <v>81</v>
      </c>
      <c r="I51" t="s">
        <v>21</v>
      </c>
    </row>
    <row r="52" spans="1:10" x14ac:dyDescent="0.25">
      <c r="A52">
        <v>27817672</v>
      </c>
      <c r="B52" t="s">
        <v>17</v>
      </c>
      <c r="C52" s="4">
        <v>44771.302820243058</v>
      </c>
      <c r="F52" t="s">
        <v>18</v>
      </c>
      <c r="G52" t="s">
        <v>228</v>
      </c>
      <c r="H52" t="s">
        <v>93</v>
      </c>
      <c r="I52" t="s">
        <v>21</v>
      </c>
    </row>
    <row r="53" spans="1:10" x14ac:dyDescent="0.25">
      <c r="A53">
        <v>27805924</v>
      </c>
      <c r="B53" t="s">
        <v>17</v>
      </c>
      <c r="C53" s="4">
        <v>44771.088971412028</v>
      </c>
      <c r="D53" t="s">
        <v>726</v>
      </c>
      <c r="E53" t="s">
        <v>22</v>
      </c>
      <c r="F53" t="s">
        <v>57</v>
      </c>
      <c r="G53" t="s">
        <v>270</v>
      </c>
      <c r="H53" t="s">
        <v>29</v>
      </c>
      <c r="I53" t="s">
        <v>21</v>
      </c>
      <c r="J53" t="s">
        <v>505</v>
      </c>
    </row>
    <row r="54" spans="1:10" x14ac:dyDescent="0.25">
      <c r="A54">
        <v>27817688</v>
      </c>
      <c r="B54" t="s">
        <v>17</v>
      </c>
      <c r="C54" s="4">
        <v>44771.303509039353</v>
      </c>
      <c r="D54" t="s">
        <v>700</v>
      </c>
      <c r="E54" t="s">
        <v>38</v>
      </c>
      <c r="F54" t="s">
        <v>23</v>
      </c>
      <c r="G54" t="s">
        <v>120</v>
      </c>
      <c r="H54" t="s">
        <v>40</v>
      </c>
      <c r="I54" t="s">
        <v>21</v>
      </c>
      <c r="J54" t="s">
        <v>701</v>
      </c>
    </row>
    <row r="55" spans="1:10" x14ac:dyDescent="0.25">
      <c r="A55">
        <v>27817691</v>
      </c>
      <c r="B55" t="s">
        <v>17</v>
      </c>
      <c r="C55" s="4">
        <v>44771.303635312499</v>
      </c>
      <c r="D55" t="s">
        <v>687</v>
      </c>
      <c r="E55" t="s">
        <v>27</v>
      </c>
      <c r="F55" t="s">
        <v>18</v>
      </c>
      <c r="G55" t="s">
        <v>375</v>
      </c>
      <c r="H55" t="s">
        <v>40</v>
      </c>
      <c r="I55" t="s">
        <v>21</v>
      </c>
      <c r="J55" t="s">
        <v>261</v>
      </c>
    </row>
    <row r="56" spans="1:10" x14ac:dyDescent="0.25">
      <c r="A56">
        <v>27805933</v>
      </c>
      <c r="B56" t="s">
        <v>17</v>
      </c>
      <c r="C56" s="4">
        <v>44771.089197094909</v>
      </c>
      <c r="D56" t="s">
        <v>714</v>
      </c>
      <c r="E56" t="s">
        <v>105</v>
      </c>
      <c r="F56" t="s">
        <v>49</v>
      </c>
      <c r="G56" t="s">
        <v>218</v>
      </c>
      <c r="H56" t="s">
        <v>54</v>
      </c>
      <c r="I56" t="s">
        <v>21</v>
      </c>
      <c r="J56" t="s">
        <v>487</v>
      </c>
    </row>
    <row r="57" spans="1:10" x14ac:dyDescent="0.25">
      <c r="A57">
        <v>27817704</v>
      </c>
      <c r="B57" t="s">
        <v>17</v>
      </c>
      <c r="C57" s="4">
        <v>44771.303968958331</v>
      </c>
      <c r="D57" t="s">
        <v>700</v>
      </c>
      <c r="E57" t="s">
        <v>38</v>
      </c>
      <c r="F57" t="s">
        <v>23</v>
      </c>
      <c r="G57" t="s">
        <v>120</v>
      </c>
      <c r="H57" t="s">
        <v>25</v>
      </c>
      <c r="I57" t="s">
        <v>21</v>
      </c>
      <c r="J57" t="s">
        <v>701</v>
      </c>
    </row>
    <row r="58" spans="1:10" x14ac:dyDescent="0.25">
      <c r="A58">
        <v>27805944</v>
      </c>
      <c r="B58" t="s">
        <v>17</v>
      </c>
      <c r="C58" s="4">
        <v>44771.089481643518</v>
      </c>
      <c r="D58" t="s">
        <v>727</v>
      </c>
      <c r="E58" t="s">
        <v>62</v>
      </c>
      <c r="F58" t="s">
        <v>57</v>
      </c>
      <c r="G58" t="s">
        <v>221</v>
      </c>
      <c r="H58" t="s">
        <v>42</v>
      </c>
      <c r="I58" t="s">
        <v>21</v>
      </c>
      <c r="J58" t="s">
        <v>566</v>
      </c>
    </row>
    <row r="59" spans="1:10" x14ac:dyDescent="0.25">
      <c r="A59">
        <v>27817716</v>
      </c>
      <c r="B59" t="s">
        <v>17</v>
      </c>
      <c r="C59" s="4">
        <v>44771.304032824068</v>
      </c>
      <c r="D59" t="s">
        <v>687</v>
      </c>
      <c r="E59" t="s">
        <v>27</v>
      </c>
      <c r="F59" t="s">
        <v>18</v>
      </c>
      <c r="G59" t="s">
        <v>375</v>
      </c>
      <c r="H59" t="s">
        <v>25</v>
      </c>
      <c r="I59" t="s">
        <v>21</v>
      </c>
      <c r="J59" t="s">
        <v>261</v>
      </c>
    </row>
    <row r="60" spans="1:10" x14ac:dyDescent="0.25">
      <c r="A60">
        <v>27805949</v>
      </c>
      <c r="B60" t="s">
        <v>17</v>
      </c>
      <c r="C60" s="4">
        <v>44771.089604409717</v>
      </c>
      <c r="D60" t="s">
        <v>728</v>
      </c>
      <c r="E60" t="s">
        <v>27</v>
      </c>
      <c r="F60" t="s">
        <v>18</v>
      </c>
      <c r="G60" t="s">
        <v>183</v>
      </c>
      <c r="H60" t="s">
        <v>29</v>
      </c>
      <c r="I60" t="s">
        <v>21</v>
      </c>
      <c r="J60" t="s">
        <v>729</v>
      </c>
    </row>
    <row r="61" spans="1:10" x14ac:dyDescent="0.25">
      <c r="A61">
        <v>27817750</v>
      </c>
      <c r="B61" t="s">
        <v>17</v>
      </c>
      <c r="C61" s="4">
        <v>44771.304932685183</v>
      </c>
      <c r="D61" t="s">
        <v>730</v>
      </c>
      <c r="E61" t="s">
        <v>27</v>
      </c>
      <c r="F61" t="s">
        <v>18</v>
      </c>
      <c r="G61" t="s">
        <v>380</v>
      </c>
      <c r="H61" t="s">
        <v>42</v>
      </c>
      <c r="I61" t="s">
        <v>21</v>
      </c>
      <c r="J61" t="s">
        <v>731</v>
      </c>
    </row>
    <row r="62" spans="1:10" x14ac:dyDescent="0.25">
      <c r="A62">
        <v>27817767</v>
      </c>
      <c r="B62" t="s">
        <v>17</v>
      </c>
      <c r="C62" s="4">
        <v>44771.305397534721</v>
      </c>
      <c r="D62" t="s">
        <v>699</v>
      </c>
      <c r="E62" t="s">
        <v>129</v>
      </c>
      <c r="F62" t="s">
        <v>49</v>
      </c>
      <c r="G62" t="s">
        <v>247</v>
      </c>
      <c r="H62" t="s">
        <v>40</v>
      </c>
      <c r="I62" t="s">
        <v>21</v>
      </c>
      <c r="J62" t="s">
        <v>263</v>
      </c>
    </row>
    <row r="63" spans="1:10" x14ac:dyDescent="0.25">
      <c r="A63">
        <v>27817793</v>
      </c>
      <c r="B63" t="s">
        <v>17</v>
      </c>
      <c r="C63" s="4">
        <v>44771.306054189823</v>
      </c>
      <c r="D63" t="s">
        <v>713</v>
      </c>
      <c r="E63" t="s">
        <v>38</v>
      </c>
      <c r="F63" t="s">
        <v>31</v>
      </c>
      <c r="G63" t="s">
        <v>159</v>
      </c>
      <c r="H63" t="s">
        <v>54</v>
      </c>
      <c r="I63" t="s">
        <v>21</v>
      </c>
      <c r="J63" t="s">
        <v>288</v>
      </c>
    </row>
    <row r="64" spans="1:10" x14ac:dyDescent="0.25">
      <c r="A64">
        <v>27817797</v>
      </c>
      <c r="B64" t="s">
        <v>17</v>
      </c>
      <c r="C64" s="4">
        <v>44771.306084467593</v>
      </c>
      <c r="D64" t="s">
        <v>730</v>
      </c>
      <c r="E64" t="s">
        <v>27</v>
      </c>
      <c r="F64" t="s">
        <v>18</v>
      </c>
      <c r="G64" t="s">
        <v>380</v>
      </c>
      <c r="H64" t="s">
        <v>54</v>
      </c>
      <c r="I64" t="s">
        <v>21</v>
      </c>
      <c r="J64" t="s">
        <v>731</v>
      </c>
    </row>
    <row r="65" spans="1:10" x14ac:dyDescent="0.25">
      <c r="A65">
        <v>27817800</v>
      </c>
      <c r="B65" t="s">
        <v>17</v>
      </c>
      <c r="C65" s="4">
        <v>44771.306091886567</v>
      </c>
      <c r="D65" t="s">
        <v>699</v>
      </c>
      <c r="E65" t="s">
        <v>129</v>
      </c>
      <c r="F65" t="s">
        <v>49</v>
      </c>
      <c r="G65" t="s">
        <v>247</v>
      </c>
      <c r="H65" t="s">
        <v>25</v>
      </c>
      <c r="I65" t="s">
        <v>21</v>
      </c>
      <c r="J65" t="s">
        <v>263</v>
      </c>
    </row>
    <row r="66" spans="1:10" x14ac:dyDescent="0.25">
      <c r="A66">
        <v>27817816</v>
      </c>
      <c r="B66" t="s">
        <v>17</v>
      </c>
      <c r="C66" s="4">
        <v>44771.306303391197</v>
      </c>
      <c r="D66" t="s">
        <v>723</v>
      </c>
      <c r="E66" t="s">
        <v>129</v>
      </c>
      <c r="F66" t="s">
        <v>49</v>
      </c>
      <c r="G66" t="s">
        <v>50</v>
      </c>
      <c r="H66" t="s">
        <v>239</v>
      </c>
      <c r="I66" t="s">
        <v>21</v>
      </c>
      <c r="J66" t="s">
        <v>724</v>
      </c>
    </row>
    <row r="67" spans="1:10" x14ac:dyDescent="0.25">
      <c r="A67">
        <v>27817817</v>
      </c>
      <c r="B67" t="s">
        <v>17</v>
      </c>
      <c r="C67" s="4">
        <v>44771.306307766201</v>
      </c>
      <c r="D67" t="s">
        <v>723</v>
      </c>
      <c r="E67" t="s">
        <v>129</v>
      </c>
      <c r="F67" t="s">
        <v>49</v>
      </c>
      <c r="G67" t="s">
        <v>50</v>
      </c>
      <c r="H67" t="s">
        <v>240</v>
      </c>
      <c r="I67" t="s">
        <v>21</v>
      </c>
      <c r="J67" t="s">
        <v>724</v>
      </c>
    </row>
    <row r="68" spans="1:10" x14ac:dyDescent="0.25">
      <c r="A68">
        <v>27817822</v>
      </c>
      <c r="B68" t="s">
        <v>17</v>
      </c>
      <c r="C68" s="4">
        <v>44771.306369641206</v>
      </c>
      <c r="D68" t="s">
        <v>696</v>
      </c>
      <c r="E68" t="s">
        <v>30</v>
      </c>
      <c r="F68" t="s">
        <v>31</v>
      </c>
      <c r="G68" t="s">
        <v>161</v>
      </c>
      <c r="H68" t="s">
        <v>40</v>
      </c>
      <c r="I68" t="s">
        <v>21</v>
      </c>
      <c r="J68" t="s">
        <v>318</v>
      </c>
    </row>
    <row r="69" spans="1:10" x14ac:dyDescent="0.25">
      <c r="A69">
        <v>27814426</v>
      </c>
      <c r="B69" t="s">
        <v>17</v>
      </c>
      <c r="C69" s="4">
        <v>44771.250156122682</v>
      </c>
      <c r="D69" t="s">
        <v>732</v>
      </c>
      <c r="E69" t="s">
        <v>30</v>
      </c>
      <c r="F69" t="s">
        <v>31</v>
      </c>
      <c r="G69" t="s">
        <v>32</v>
      </c>
      <c r="H69" t="s">
        <v>29</v>
      </c>
      <c r="I69" t="s">
        <v>21</v>
      </c>
      <c r="J69" t="s">
        <v>733</v>
      </c>
    </row>
    <row r="70" spans="1:10" x14ac:dyDescent="0.25">
      <c r="A70">
        <v>27814434</v>
      </c>
      <c r="B70" t="s">
        <v>17</v>
      </c>
      <c r="C70" s="4">
        <v>44771.250178020833</v>
      </c>
      <c r="D70" t="s">
        <v>734</v>
      </c>
      <c r="E70" t="s">
        <v>22</v>
      </c>
      <c r="F70" t="s">
        <v>31</v>
      </c>
      <c r="G70" t="s">
        <v>137</v>
      </c>
      <c r="H70" t="s">
        <v>29</v>
      </c>
      <c r="I70" t="s">
        <v>21</v>
      </c>
      <c r="J70" t="s">
        <v>735</v>
      </c>
    </row>
    <row r="71" spans="1:10" x14ac:dyDescent="0.25">
      <c r="A71">
        <v>27814448</v>
      </c>
      <c r="B71" t="s">
        <v>17</v>
      </c>
      <c r="C71" s="4">
        <v>44771.250289108793</v>
      </c>
      <c r="F71" t="s">
        <v>18</v>
      </c>
      <c r="G71" t="s">
        <v>375</v>
      </c>
      <c r="H71" t="s">
        <v>81</v>
      </c>
      <c r="I71" t="s">
        <v>21</v>
      </c>
      <c r="J71" t="s">
        <v>736</v>
      </c>
    </row>
    <row r="72" spans="1:10" x14ac:dyDescent="0.25">
      <c r="A72">
        <v>27814452</v>
      </c>
      <c r="B72" t="s">
        <v>17</v>
      </c>
      <c r="C72" s="4">
        <v>44771.250289710653</v>
      </c>
      <c r="F72" t="s">
        <v>18</v>
      </c>
      <c r="G72" t="s">
        <v>375</v>
      </c>
      <c r="H72" t="s">
        <v>93</v>
      </c>
      <c r="I72" t="s">
        <v>21</v>
      </c>
    </row>
    <row r="73" spans="1:10" x14ac:dyDescent="0.25">
      <c r="A73">
        <v>27814457</v>
      </c>
      <c r="B73" t="s">
        <v>17</v>
      </c>
      <c r="C73" s="4">
        <v>44771.25030728009</v>
      </c>
      <c r="D73" t="s">
        <v>737</v>
      </c>
      <c r="E73" t="s">
        <v>22</v>
      </c>
      <c r="F73" t="s">
        <v>52</v>
      </c>
      <c r="G73" t="s">
        <v>65</v>
      </c>
      <c r="H73" t="s">
        <v>29</v>
      </c>
      <c r="I73" t="s">
        <v>21</v>
      </c>
      <c r="J73" t="s">
        <v>210</v>
      </c>
    </row>
    <row r="74" spans="1:10" x14ac:dyDescent="0.25">
      <c r="A74">
        <v>27814468</v>
      </c>
      <c r="B74" t="s">
        <v>17</v>
      </c>
      <c r="C74" s="4">
        <v>44771.250380694437</v>
      </c>
      <c r="F74" t="s">
        <v>33</v>
      </c>
      <c r="G74" t="s">
        <v>164</v>
      </c>
      <c r="H74" t="s">
        <v>81</v>
      </c>
      <c r="I74" t="s">
        <v>21</v>
      </c>
    </row>
    <row r="75" spans="1:10" x14ac:dyDescent="0.25">
      <c r="A75">
        <v>27814470</v>
      </c>
      <c r="B75" t="s">
        <v>17</v>
      </c>
      <c r="C75" s="4">
        <v>44771.250380925929</v>
      </c>
      <c r="F75" t="s">
        <v>33</v>
      </c>
      <c r="G75" t="s">
        <v>164</v>
      </c>
      <c r="H75" t="s">
        <v>93</v>
      </c>
      <c r="I75" t="s">
        <v>21</v>
      </c>
    </row>
    <row r="76" spans="1:10" x14ac:dyDescent="0.25">
      <c r="A76">
        <v>27814472</v>
      </c>
      <c r="B76" t="s">
        <v>17</v>
      </c>
      <c r="C76" s="4">
        <v>44771.250409039349</v>
      </c>
      <c r="E76" t="s">
        <v>38</v>
      </c>
      <c r="F76" t="s">
        <v>33</v>
      </c>
      <c r="G76" t="s">
        <v>427</v>
      </c>
      <c r="H76" t="s">
        <v>29</v>
      </c>
      <c r="I76" t="s">
        <v>21</v>
      </c>
    </row>
    <row r="77" spans="1:10" x14ac:dyDescent="0.25">
      <c r="A77">
        <v>27814483</v>
      </c>
      <c r="B77" t="s">
        <v>17</v>
      </c>
      <c r="C77" s="4">
        <v>44771.250573530087</v>
      </c>
      <c r="D77" t="s">
        <v>738</v>
      </c>
      <c r="E77" t="s">
        <v>62</v>
      </c>
      <c r="F77" t="s">
        <v>49</v>
      </c>
      <c r="G77" t="s">
        <v>80</v>
      </c>
      <c r="H77" t="s">
        <v>54</v>
      </c>
      <c r="I77" t="s">
        <v>21</v>
      </c>
      <c r="J77" t="s">
        <v>739</v>
      </c>
    </row>
    <row r="78" spans="1:10" x14ac:dyDescent="0.25">
      <c r="A78">
        <v>27814513</v>
      </c>
      <c r="B78" t="s">
        <v>17</v>
      </c>
      <c r="C78" s="4">
        <v>44771.251138113417</v>
      </c>
      <c r="D78" t="s">
        <v>740</v>
      </c>
      <c r="E78" t="s">
        <v>22</v>
      </c>
      <c r="F78" t="s">
        <v>23</v>
      </c>
      <c r="G78" t="s">
        <v>108</v>
      </c>
      <c r="H78" t="s">
        <v>29</v>
      </c>
      <c r="I78" t="s">
        <v>21</v>
      </c>
      <c r="J78" t="s">
        <v>460</v>
      </c>
    </row>
    <row r="79" spans="1:10" x14ac:dyDescent="0.25">
      <c r="A79">
        <v>27814541</v>
      </c>
      <c r="B79" t="s">
        <v>17</v>
      </c>
      <c r="C79" s="4">
        <v>44771.251552534719</v>
      </c>
      <c r="F79" t="s">
        <v>52</v>
      </c>
      <c r="G79" t="s">
        <v>206</v>
      </c>
      <c r="H79" t="s">
        <v>195</v>
      </c>
      <c r="I79" t="s">
        <v>21</v>
      </c>
    </row>
    <row r="80" spans="1:10" x14ac:dyDescent="0.25">
      <c r="A80">
        <v>27814547</v>
      </c>
      <c r="B80" t="s">
        <v>17</v>
      </c>
      <c r="C80" s="4">
        <v>44771.251578587973</v>
      </c>
      <c r="D80" t="s">
        <v>741</v>
      </c>
      <c r="E80" t="s">
        <v>27</v>
      </c>
      <c r="F80" t="s">
        <v>18</v>
      </c>
      <c r="G80" t="s">
        <v>61</v>
      </c>
      <c r="H80" t="s">
        <v>42</v>
      </c>
      <c r="I80" t="s">
        <v>21</v>
      </c>
      <c r="J80" t="s">
        <v>742</v>
      </c>
    </row>
    <row r="81" spans="1:10" x14ac:dyDescent="0.25">
      <c r="A81">
        <v>27805989</v>
      </c>
      <c r="B81" t="s">
        <v>17</v>
      </c>
      <c r="C81" s="4">
        <v>44771.09058084491</v>
      </c>
      <c r="D81" t="s">
        <v>743</v>
      </c>
      <c r="E81" t="s">
        <v>38</v>
      </c>
      <c r="F81" t="s">
        <v>52</v>
      </c>
      <c r="G81" t="s">
        <v>229</v>
      </c>
      <c r="H81" t="s">
        <v>42</v>
      </c>
      <c r="I81" t="s">
        <v>21</v>
      </c>
      <c r="J81" t="s">
        <v>489</v>
      </c>
    </row>
    <row r="82" spans="1:10" x14ac:dyDescent="0.25">
      <c r="A82">
        <v>27814579</v>
      </c>
      <c r="B82" t="s">
        <v>17</v>
      </c>
      <c r="C82" s="4">
        <v>44771.25219515046</v>
      </c>
      <c r="D82" t="s">
        <v>744</v>
      </c>
      <c r="E82" t="s">
        <v>38</v>
      </c>
      <c r="F82" t="s">
        <v>52</v>
      </c>
      <c r="G82" t="s">
        <v>69</v>
      </c>
      <c r="H82" t="s">
        <v>29</v>
      </c>
      <c r="I82" t="s">
        <v>21</v>
      </c>
      <c r="J82" t="s">
        <v>745</v>
      </c>
    </row>
    <row r="83" spans="1:10" x14ac:dyDescent="0.25">
      <c r="A83">
        <v>27806002</v>
      </c>
      <c r="B83" t="s">
        <v>17</v>
      </c>
      <c r="C83" s="4">
        <v>44771.091042002306</v>
      </c>
      <c r="D83" t="s">
        <v>707</v>
      </c>
      <c r="E83" t="s">
        <v>72</v>
      </c>
      <c r="F83" t="s">
        <v>49</v>
      </c>
      <c r="G83" t="s">
        <v>146</v>
      </c>
      <c r="H83" t="s">
        <v>54</v>
      </c>
      <c r="I83" t="s">
        <v>21</v>
      </c>
      <c r="J83" t="s">
        <v>585</v>
      </c>
    </row>
    <row r="84" spans="1:10" x14ac:dyDescent="0.25">
      <c r="A84">
        <v>27814587</v>
      </c>
      <c r="B84" t="s">
        <v>17</v>
      </c>
      <c r="C84" s="4">
        <v>44771.252339340281</v>
      </c>
      <c r="D84" t="s">
        <v>741</v>
      </c>
      <c r="E84" t="s">
        <v>27</v>
      </c>
      <c r="F84" t="s">
        <v>18</v>
      </c>
      <c r="G84" t="s">
        <v>61</v>
      </c>
      <c r="H84" t="s">
        <v>54</v>
      </c>
      <c r="I84" t="s">
        <v>21</v>
      </c>
      <c r="J84" t="s">
        <v>742</v>
      </c>
    </row>
    <row r="85" spans="1:10" x14ac:dyDescent="0.25">
      <c r="A85">
        <v>27806042</v>
      </c>
      <c r="B85" t="s">
        <v>17</v>
      </c>
      <c r="C85" s="4">
        <v>44771.09314420139</v>
      </c>
      <c r="D85" t="s">
        <v>743</v>
      </c>
      <c r="E85" t="s">
        <v>38</v>
      </c>
      <c r="F85" t="s">
        <v>52</v>
      </c>
      <c r="G85" t="s">
        <v>229</v>
      </c>
      <c r="H85" t="s">
        <v>54</v>
      </c>
      <c r="I85" t="s">
        <v>21</v>
      </c>
      <c r="J85" t="s">
        <v>489</v>
      </c>
    </row>
    <row r="86" spans="1:10" x14ac:dyDescent="0.25">
      <c r="A86">
        <v>27806051</v>
      </c>
      <c r="B86" t="s">
        <v>17</v>
      </c>
      <c r="C86" s="4">
        <v>44771.093461840283</v>
      </c>
      <c r="D86" t="s">
        <v>706</v>
      </c>
      <c r="E86" t="s">
        <v>38</v>
      </c>
      <c r="F86" t="s">
        <v>57</v>
      </c>
      <c r="G86" t="s">
        <v>58</v>
      </c>
      <c r="H86" t="s">
        <v>40</v>
      </c>
      <c r="I86" t="s">
        <v>21</v>
      </c>
      <c r="J86" t="s">
        <v>492</v>
      </c>
    </row>
    <row r="87" spans="1:10" x14ac:dyDescent="0.25">
      <c r="A87">
        <v>27806053</v>
      </c>
      <c r="B87" t="s">
        <v>17</v>
      </c>
      <c r="C87" s="4">
        <v>44771.093517141213</v>
      </c>
      <c r="F87" t="s">
        <v>52</v>
      </c>
      <c r="G87" t="s">
        <v>160</v>
      </c>
      <c r="H87" t="s">
        <v>20</v>
      </c>
      <c r="I87" t="s">
        <v>21</v>
      </c>
    </row>
    <row r="88" spans="1:10" x14ac:dyDescent="0.25">
      <c r="A88">
        <v>27814647</v>
      </c>
      <c r="B88" t="s">
        <v>17</v>
      </c>
      <c r="C88" s="4">
        <v>44771.253833541668</v>
      </c>
      <c r="D88" t="s">
        <v>746</v>
      </c>
      <c r="E88" t="s">
        <v>22</v>
      </c>
      <c r="F88" t="s">
        <v>52</v>
      </c>
      <c r="G88" t="s">
        <v>89</v>
      </c>
      <c r="H88" t="s">
        <v>29</v>
      </c>
      <c r="I88" t="s">
        <v>21</v>
      </c>
      <c r="J88" t="s">
        <v>205</v>
      </c>
    </row>
    <row r="89" spans="1:10" x14ac:dyDescent="0.25">
      <c r="A89">
        <v>27806059</v>
      </c>
      <c r="B89" t="s">
        <v>17</v>
      </c>
      <c r="C89" s="4">
        <v>44771.093576354157</v>
      </c>
      <c r="D89" t="s">
        <v>691</v>
      </c>
      <c r="E89" t="s">
        <v>22</v>
      </c>
      <c r="F89" t="s">
        <v>31</v>
      </c>
      <c r="G89" t="s">
        <v>137</v>
      </c>
      <c r="H89" t="s">
        <v>40</v>
      </c>
      <c r="I89" t="s">
        <v>21</v>
      </c>
      <c r="J89" t="s">
        <v>692</v>
      </c>
    </row>
    <row r="90" spans="1:10" x14ac:dyDescent="0.25">
      <c r="A90">
        <v>27806079</v>
      </c>
      <c r="B90" t="s">
        <v>17</v>
      </c>
      <c r="C90" s="4">
        <v>44771.093823518517</v>
      </c>
      <c r="D90" t="s">
        <v>706</v>
      </c>
      <c r="E90" t="s">
        <v>38</v>
      </c>
      <c r="F90" t="s">
        <v>57</v>
      </c>
      <c r="G90" t="s">
        <v>58</v>
      </c>
      <c r="H90" t="s">
        <v>25</v>
      </c>
      <c r="I90" t="s">
        <v>21</v>
      </c>
      <c r="J90" t="s">
        <v>492</v>
      </c>
    </row>
    <row r="91" spans="1:10" x14ac:dyDescent="0.25">
      <c r="A91">
        <v>27814725</v>
      </c>
      <c r="B91" t="s">
        <v>17</v>
      </c>
      <c r="C91" s="4">
        <v>44771.255014351853</v>
      </c>
      <c r="D91" t="s">
        <v>738</v>
      </c>
      <c r="E91" t="s">
        <v>62</v>
      </c>
      <c r="F91" t="s">
        <v>49</v>
      </c>
      <c r="G91" t="s">
        <v>80</v>
      </c>
      <c r="H91" t="s">
        <v>40</v>
      </c>
      <c r="I91" t="s">
        <v>21</v>
      </c>
      <c r="J91" t="s">
        <v>739</v>
      </c>
    </row>
    <row r="92" spans="1:10" x14ac:dyDescent="0.25">
      <c r="A92">
        <v>27814738</v>
      </c>
      <c r="B92" t="s">
        <v>17</v>
      </c>
      <c r="C92" s="4">
        <v>44771.255419131943</v>
      </c>
      <c r="D92" t="s">
        <v>738</v>
      </c>
      <c r="E92" t="s">
        <v>62</v>
      </c>
      <c r="F92" t="s">
        <v>49</v>
      </c>
      <c r="G92" t="s">
        <v>80</v>
      </c>
      <c r="H92" t="s">
        <v>25</v>
      </c>
      <c r="I92" t="s">
        <v>21</v>
      </c>
      <c r="J92" t="s">
        <v>739</v>
      </c>
    </row>
    <row r="93" spans="1:10" x14ac:dyDescent="0.25">
      <c r="A93">
        <v>27806093</v>
      </c>
      <c r="B93" t="s">
        <v>17</v>
      </c>
      <c r="C93" s="4">
        <v>44771.093898692132</v>
      </c>
      <c r="E93" t="s">
        <v>38</v>
      </c>
      <c r="F93" t="s">
        <v>55</v>
      </c>
      <c r="G93" t="s">
        <v>56</v>
      </c>
      <c r="H93" t="s">
        <v>40</v>
      </c>
      <c r="I93" t="s">
        <v>21</v>
      </c>
    </row>
    <row r="94" spans="1:10" x14ac:dyDescent="0.25">
      <c r="A94">
        <v>27806099</v>
      </c>
      <c r="B94" t="s">
        <v>17</v>
      </c>
      <c r="C94" s="4">
        <v>44771.094063784723</v>
      </c>
      <c r="D94" t="s">
        <v>691</v>
      </c>
      <c r="E94" t="s">
        <v>22</v>
      </c>
      <c r="F94" t="s">
        <v>31</v>
      </c>
      <c r="G94" t="s">
        <v>137</v>
      </c>
      <c r="H94" t="s">
        <v>25</v>
      </c>
      <c r="I94" t="s">
        <v>21</v>
      </c>
      <c r="J94" t="s">
        <v>692</v>
      </c>
    </row>
    <row r="95" spans="1:10" x14ac:dyDescent="0.25">
      <c r="A95">
        <v>27814754</v>
      </c>
      <c r="B95" t="s">
        <v>17</v>
      </c>
      <c r="C95" s="4">
        <v>44771.255455891202</v>
      </c>
      <c r="D95" t="s">
        <v>747</v>
      </c>
      <c r="E95" t="s">
        <v>254</v>
      </c>
      <c r="F95" t="s">
        <v>49</v>
      </c>
      <c r="G95" t="s">
        <v>218</v>
      </c>
      <c r="H95" t="s">
        <v>42</v>
      </c>
      <c r="I95" t="s">
        <v>21</v>
      </c>
      <c r="J95" t="s">
        <v>179</v>
      </c>
    </row>
    <row r="96" spans="1:10" x14ac:dyDescent="0.25">
      <c r="A96">
        <v>27814764</v>
      </c>
      <c r="B96" t="s">
        <v>17</v>
      </c>
      <c r="C96" s="4">
        <v>44771.255747152783</v>
      </c>
      <c r="D96" t="s">
        <v>748</v>
      </c>
      <c r="E96" t="s">
        <v>129</v>
      </c>
      <c r="F96" t="s">
        <v>49</v>
      </c>
      <c r="G96" t="s">
        <v>50</v>
      </c>
      <c r="H96" t="s">
        <v>29</v>
      </c>
      <c r="I96" t="s">
        <v>21</v>
      </c>
      <c r="J96" t="s">
        <v>749</v>
      </c>
    </row>
    <row r="97" spans="1:10" x14ac:dyDescent="0.25">
      <c r="A97">
        <v>27806121</v>
      </c>
      <c r="B97" t="s">
        <v>17</v>
      </c>
      <c r="C97" s="4">
        <v>44771.094472430559</v>
      </c>
      <c r="D97" t="s">
        <v>750</v>
      </c>
      <c r="E97" t="s">
        <v>38</v>
      </c>
      <c r="F97" t="s">
        <v>57</v>
      </c>
      <c r="G97" t="s">
        <v>190</v>
      </c>
      <c r="H97" t="s">
        <v>42</v>
      </c>
      <c r="I97" t="s">
        <v>21</v>
      </c>
      <c r="J97" t="s">
        <v>751</v>
      </c>
    </row>
    <row r="98" spans="1:10" x14ac:dyDescent="0.25">
      <c r="A98">
        <v>27814784</v>
      </c>
      <c r="B98" t="s">
        <v>17</v>
      </c>
      <c r="C98" s="4">
        <v>44771.256076701393</v>
      </c>
      <c r="D98" t="s">
        <v>741</v>
      </c>
      <c r="E98" t="s">
        <v>27</v>
      </c>
      <c r="F98" t="s">
        <v>18</v>
      </c>
      <c r="G98" t="s">
        <v>61</v>
      </c>
      <c r="H98" t="s">
        <v>40</v>
      </c>
      <c r="I98" t="s">
        <v>21</v>
      </c>
      <c r="J98" t="s">
        <v>742</v>
      </c>
    </row>
    <row r="99" spans="1:10" x14ac:dyDescent="0.25">
      <c r="A99">
        <v>27814786</v>
      </c>
      <c r="B99" t="s">
        <v>17</v>
      </c>
      <c r="C99" s="4">
        <v>44771.256160543977</v>
      </c>
      <c r="D99" t="s">
        <v>752</v>
      </c>
      <c r="E99" t="s">
        <v>62</v>
      </c>
      <c r="F99" t="s">
        <v>57</v>
      </c>
      <c r="G99" t="s">
        <v>185</v>
      </c>
      <c r="H99" t="s">
        <v>29</v>
      </c>
      <c r="I99" t="s">
        <v>21</v>
      </c>
      <c r="J99" t="s">
        <v>753</v>
      </c>
    </row>
    <row r="100" spans="1:10" x14ac:dyDescent="0.25">
      <c r="A100">
        <v>27814811</v>
      </c>
      <c r="B100" t="s">
        <v>17</v>
      </c>
      <c r="C100" s="4">
        <v>44771.256323946764</v>
      </c>
      <c r="D100" t="s">
        <v>754</v>
      </c>
      <c r="E100" t="s">
        <v>22</v>
      </c>
      <c r="F100" t="s">
        <v>23</v>
      </c>
      <c r="G100" t="s">
        <v>180</v>
      </c>
      <c r="H100" t="s">
        <v>42</v>
      </c>
      <c r="I100" t="s">
        <v>21</v>
      </c>
      <c r="J100" t="s">
        <v>476</v>
      </c>
    </row>
    <row r="101" spans="1:10" x14ac:dyDescent="0.25">
      <c r="A101">
        <v>27814817</v>
      </c>
      <c r="B101" t="s">
        <v>17</v>
      </c>
      <c r="C101" s="4">
        <v>44771.256381666673</v>
      </c>
      <c r="D101" t="s">
        <v>755</v>
      </c>
      <c r="E101" t="s">
        <v>129</v>
      </c>
      <c r="F101" t="s">
        <v>49</v>
      </c>
      <c r="G101" t="s">
        <v>106</v>
      </c>
      <c r="H101" t="s">
        <v>42</v>
      </c>
      <c r="I101" t="s">
        <v>21</v>
      </c>
      <c r="J101" t="s">
        <v>245</v>
      </c>
    </row>
    <row r="102" spans="1:10" x14ac:dyDescent="0.25">
      <c r="A102">
        <v>27806130</v>
      </c>
      <c r="B102" t="s">
        <v>17</v>
      </c>
      <c r="C102" s="4">
        <v>44771.094714074083</v>
      </c>
      <c r="D102" t="s">
        <v>756</v>
      </c>
      <c r="E102" t="s">
        <v>38</v>
      </c>
      <c r="F102" t="s">
        <v>55</v>
      </c>
      <c r="G102" t="s">
        <v>56</v>
      </c>
      <c r="H102" t="s">
        <v>25</v>
      </c>
      <c r="I102" t="s">
        <v>21</v>
      </c>
    </row>
    <row r="103" spans="1:10" x14ac:dyDescent="0.25">
      <c r="A103">
        <v>27806140</v>
      </c>
      <c r="B103" t="s">
        <v>17</v>
      </c>
      <c r="C103" s="4">
        <v>44771.094780671287</v>
      </c>
      <c r="D103" t="s">
        <v>707</v>
      </c>
      <c r="E103" t="s">
        <v>72</v>
      </c>
      <c r="F103" t="s">
        <v>49</v>
      </c>
      <c r="G103" t="s">
        <v>146</v>
      </c>
      <c r="H103" t="s">
        <v>40</v>
      </c>
      <c r="I103" t="s">
        <v>21</v>
      </c>
      <c r="J103" t="s">
        <v>585</v>
      </c>
    </row>
    <row r="104" spans="1:10" x14ac:dyDescent="0.25">
      <c r="A104">
        <v>27806146</v>
      </c>
      <c r="B104" t="s">
        <v>17</v>
      </c>
      <c r="C104" s="4">
        <v>44771.09503837963</v>
      </c>
      <c r="D104" t="s">
        <v>707</v>
      </c>
      <c r="E104" t="s">
        <v>72</v>
      </c>
      <c r="F104" t="s">
        <v>49</v>
      </c>
      <c r="G104" t="s">
        <v>146</v>
      </c>
      <c r="H104" t="s">
        <v>25</v>
      </c>
      <c r="I104" t="s">
        <v>21</v>
      </c>
      <c r="J104" t="s">
        <v>585</v>
      </c>
    </row>
    <row r="105" spans="1:10" x14ac:dyDescent="0.25">
      <c r="A105">
        <v>27814820</v>
      </c>
      <c r="B105" t="s">
        <v>17</v>
      </c>
      <c r="C105" s="4">
        <v>44771.256431087961</v>
      </c>
      <c r="D105" t="s">
        <v>757</v>
      </c>
      <c r="E105" t="s">
        <v>22</v>
      </c>
      <c r="F105" t="s">
        <v>52</v>
      </c>
      <c r="G105" t="s">
        <v>409</v>
      </c>
      <c r="H105" t="s">
        <v>29</v>
      </c>
      <c r="I105" t="s">
        <v>21</v>
      </c>
      <c r="J105" t="s">
        <v>758</v>
      </c>
    </row>
    <row r="106" spans="1:10" x14ac:dyDescent="0.25">
      <c r="A106">
        <v>27814834</v>
      </c>
      <c r="B106" t="s">
        <v>17</v>
      </c>
      <c r="C106" s="4">
        <v>44771.256501296302</v>
      </c>
      <c r="D106" t="s">
        <v>759</v>
      </c>
      <c r="E106" t="s">
        <v>72</v>
      </c>
      <c r="F106" t="s">
        <v>49</v>
      </c>
      <c r="G106" t="s">
        <v>74</v>
      </c>
      <c r="H106" t="s">
        <v>29</v>
      </c>
      <c r="I106" t="s">
        <v>21</v>
      </c>
      <c r="J106" t="s">
        <v>760</v>
      </c>
    </row>
    <row r="107" spans="1:10" x14ac:dyDescent="0.25">
      <c r="A107">
        <v>27814846</v>
      </c>
      <c r="B107" t="s">
        <v>17</v>
      </c>
      <c r="C107" s="4">
        <v>44771.256606226852</v>
      </c>
      <c r="F107" t="s">
        <v>18</v>
      </c>
      <c r="G107" t="s">
        <v>226</v>
      </c>
      <c r="H107" t="s">
        <v>67</v>
      </c>
      <c r="I107" t="s">
        <v>21</v>
      </c>
    </row>
    <row r="108" spans="1:10" x14ac:dyDescent="0.25">
      <c r="A108">
        <v>27814853</v>
      </c>
      <c r="B108" t="s">
        <v>17</v>
      </c>
      <c r="C108" s="4">
        <v>44771.25667516204</v>
      </c>
      <c r="D108" t="s">
        <v>741</v>
      </c>
      <c r="E108" t="s">
        <v>27</v>
      </c>
      <c r="F108" t="s">
        <v>18</v>
      </c>
      <c r="G108" t="s">
        <v>61</v>
      </c>
      <c r="H108" t="s">
        <v>25</v>
      </c>
      <c r="I108" t="s">
        <v>21</v>
      </c>
      <c r="J108" t="s">
        <v>742</v>
      </c>
    </row>
    <row r="109" spans="1:10" x14ac:dyDescent="0.25">
      <c r="A109">
        <v>27814871</v>
      </c>
      <c r="B109" t="s">
        <v>17</v>
      </c>
      <c r="C109" s="4">
        <v>44771.256729444453</v>
      </c>
      <c r="D109" t="s">
        <v>761</v>
      </c>
      <c r="E109" t="s">
        <v>38</v>
      </c>
      <c r="F109" t="s">
        <v>31</v>
      </c>
      <c r="G109" t="s">
        <v>141</v>
      </c>
      <c r="H109" t="s">
        <v>42</v>
      </c>
      <c r="I109" t="s">
        <v>21</v>
      </c>
      <c r="J109" t="s">
        <v>144</v>
      </c>
    </row>
    <row r="110" spans="1:10" x14ac:dyDescent="0.25">
      <c r="A110">
        <v>27814877</v>
      </c>
      <c r="B110" t="s">
        <v>17</v>
      </c>
      <c r="C110" s="4">
        <v>44771.25685597222</v>
      </c>
      <c r="F110" t="s">
        <v>18</v>
      </c>
      <c r="G110" t="s">
        <v>226</v>
      </c>
      <c r="H110" t="s">
        <v>68</v>
      </c>
      <c r="I110" t="s">
        <v>21</v>
      </c>
    </row>
    <row r="111" spans="1:10" x14ac:dyDescent="0.25">
      <c r="A111">
        <v>27814898</v>
      </c>
      <c r="B111" t="s">
        <v>17</v>
      </c>
      <c r="C111" s="4">
        <v>44771.257132060193</v>
      </c>
      <c r="D111" t="s">
        <v>762</v>
      </c>
      <c r="E111" t="s">
        <v>38</v>
      </c>
      <c r="F111" t="s">
        <v>23</v>
      </c>
      <c r="G111" t="s">
        <v>274</v>
      </c>
      <c r="H111" t="s">
        <v>29</v>
      </c>
      <c r="I111" t="s">
        <v>21</v>
      </c>
      <c r="J111" t="s">
        <v>763</v>
      </c>
    </row>
    <row r="112" spans="1:10" x14ac:dyDescent="0.25">
      <c r="A112">
        <v>27814927</v>
      </c>
      <c r="B112" t="s">
        <v>17</v>
      </c>
      <c r="C112" s="4">
        <v>44771.257481261571</v>
      </c>
      <c r="D112" t="s">
        <v>764</v>
      </c>
      <c r="E112" t="s">
        <v>72</v>
      </c>
      <c r="F112" t="s">
        <v>49</v>
      </c>
      <c r="G112" t="s">
        <v>132</v>
      </c>
      <c r="H112" t="s">
        <v>42</v>
      </c>
      <c r="I112" t="s">
        <v>21</v>
      </c>
      <c r="J112" t="s">
        <v>765</v>
      </c>
    </row>
    <row r="113" spans="1:10" x14ac:dyDescent="0.25">
      <c r="A113">
        <v>27806162</v>
      </c>
      <c r="B113" t="s">
        <v>17</v>
      </c>
      <c r="C113" s="4">
        <v>44771.09520304398</v>
      </c>
      <c r="D113" t="s">
        <v>766</v>
      </c>
      <c r="E113" t="s">
        <v>22</v>
      </c>
      <c r="F113" t="s">
        <v>31</v>
      </c>
      <c r="G113" t="s">
        <v>150</v>
      </c>
      <c r="H113" t="s">
        <v>29</v>
      </c>
      <c r="I113" t="s">
        <v>21</v>
      </c>
    </row>
    <row r="114" spans="1:10" x14ac:dyDescent="0.25">
      <c r="A114">
        <v>27806170</v>
      </c>
      <c r="B114" t="s">
        <v>17</v>
      </c>
      <c r="C114" s="4">
        <v>44771.095380243052</v>
      </c>
      <c r="D114" t="s">
        <v>727</v>
      </c>
      <c r="E114" t="s">
        <v>62</v>
      </c>
      <c r="F114" t="s">
        <v>57</v>
      </c>
      <c r="G114" t="s">
        <v>221</v>
      </c>
      <c r="H114" t="s">
        <v>54</v>
      </c>
      <c r="I114" t="s">
        <v>21</v>
      </c>
      <c r="J114" t="s">
        <v>566</v>
      </c>
    </row>
    <row r="115" spans="1:10" x14ac:dyDescent="0.25">
      <c r="A115">
        <v>27806194</v>
      </c>
      <c r="B115" t="s">
        <v>17</v>
      </c>
      <c r="C115" s="4">
        <v>44771.096313391201</v>
      </c>
      <c r="D115" t="s">
        <v>714</v>
      </c>
      <c r="E115" t="s">
        <v>105</v>
      </c>
      <c r="F115" t="s">
        <v>49</v>
      </c>
      <c r="G115" t="s">
        <v>218</v>
      </c>
      <c r="H115" t="s">
        <v>40</v>
      </c>
      <c r="I115" t="s">
        <v>21</v>
      </c>
      <c r="J115" t="s">
        <v>487</v>
      </c>
    </row>
    <row r="116" spans="1:10" x14ac:dyDescent="0.25">
      <c r="A116">
        <v>27814945</v>
      </c>
      <c r="B116" t="s">
        <v>17</v>
      </c>
      <c r="C116" s="4">
        <v>44771.257738680557</v>
      </c>
      <c r="D116" t="s">
        <v>767</v>
      </c>
      <c r="E116" t="s">
        <v>27</v>
      </c>
      <c r="F116" t="s">
        <v>18</v>
      </c>
      <c r="G116" t="s">
        <v>265</v>
      </c>
      <c r="H116" t="s">
        <v>29</v>
      </c>
      <c r="I116" t="s">
        <v>21</v>
      </c>
      <c r="J116" t="s">
        <v>768</v>
      </c>
    </row>
    <row r="117" spans="1:10" x14ac:dyDescent="0.25">
      <c r="A117">
        <v>27806208</v>
      </c>
      <c r="B117" t="s">
        <v>17</v>
      </c>
      <c r="C117" s="4">
        <v>44771.096715648149</v>
      </c>
      <c r="D117" t="s">
        <v>769</v>
      </c>
      <c r="E117" t="s">
        <v>38</v>
      </c>
      <c r="F117" t="s">
        <v>52</v>
      </c>
      <c r="G117" t="s">
        <v>206</v>
      </c>
      <c r="H117" t="s">
        <v>42</v>
      </c>
      <c r="I117" t="s">
        <v>21</v>
      </c>
      <c r="J117" t="s">
        <v>482</v>
      </c>
    </row>
    <row r="118" spans="1:10" x14ac:dyDescent="0.25">
      <c r="A118">
        <v>27814960</v>
      </c>
      <c r="B118" t="s">
        <v>17</v>
      </c>
      <c r="C118" s="4">
        <v>44771.257982118063</v>
      </c>
      <c r="D118" t="s">
        <v>747</v>
      </c>
      <c r="E118" t="s">
        <v>254</v>
      </c>
      <c r="F118" t="s">
        <v>49</v>
      </c>
      <c r="G118" t="s">
        <v>218</v>
      </c>
      <c r="H118" t="s">
        <v>54</v>
      </c>
      <c r="I118" t="s">
        <v>21</v>
      </c>
      <c r="J118" t="s">
        <v>179</v>
      </c>
    </row>
    <row r="119" spans="1:10" x14ac:dyDescent="0.25">
      <c r="A119">
        <v>27806228</v>
      </c>
      <c r="B119" t="s">
        <v>17</v>
      </c>
      <c r="C119" s="4">
        <v>44771.097291944447</v>
      </c>
      <c r="D119" t="s">
        <v>714</v>
      </c>
      <c r="E119" t="s">
        <v>105</v>
      </c>
      <c r="F119" t="s">
        <v>49</v>
      </c>
      <c r="G119" t="s">
        <v>218</v>
      </c>
      <c r="H119" t="s">
        <v>25</v>
      </c>
      <c r="I119" t="s">
        <v>21</v>
      </c>
      <c r="J119" t="s">
        <v>487</v>
      </c>
    </row>
    <row r="120" spans="1:10" x14ac:dyDescent="0.25">
      <c r="A120">
        <v>27814964</v>
      </c>
      <c r="B120" t="s">
        <v>17</v>
      </c>
      <c r="C120" s="4">
        <v>44771.258059120373</v>
      </c>
      <c r="D120" t="s">
        <v>770</v>
      </c>
      <c r="E120" t="s">
        <v>27</v>
      </c>
      <c r="F120" t="s">
        <v>18</v>
      </c>
      <c r="G120" t="s">
        <v>380</v>
      </c>
      <c r="H120" t="s">
        <v>29</v>
      </c>
      <c r="I120" t="s">
        <v>21</v>
      </c>
      <c r="J120" t="s">
        <v>465</v>
      </c>
    </row>
    <row r="121" spans="1:10" x14ac:dyDescent="0.25">
      <c r="A121">
        <v>27814976</v>
      </c>
      <c r="B121" t="s">
        <v>17</v>
      </c>
      <c r="C121" s="4">
        <v>44771.258117592603</v>
      </c>
      <c r="D121" t="s">
        <v>771</v>
      </c>
      <c r="E121" t="s">
        <v>22</v>
      </c>
      <c r="F121" t="s">
        <v>23</v>
      </c>
      <c r="G121" t="s">
        <v>187</v>
      </c>
      <c r="H121" t="s">
        <v>29</v>
      </c>
      <c r="I121" t="s">
        <v>21</v>
      </c>
      <c r="J121" t="s">
        <v>772</v>
      </c>
    </row>
    <row r="122" spans="1:10" x14ac:dyDescent="0.25">
      <c r="A122">
        <v>27815002</v>
      </c>
      <c r="B122" t="s">
        <v>17</v>
      </c>
      <c r="C122" s="4">
        <v>44771.258696527781</v>
      </c>
      <c r="D122" t="s">
        <v>773</v>
      </c>
      <c r="E122" t="s">
        <v>44</v>
      </c>
      <c r="F122" t="s">
        <v>49</v>
      </c>
      <c r="G122" t="s">
        <v>74</v>
      </c>
      <c r="H122" t="s">
        <v>42</v>
      </c>
      <c r="I122" t="s">
        <v>21</v>
      </c>
      <c r="J122" t="s">
        <v>774</v>
      </c>
    </row>
    <row r="123" spans="1:10" x14ac:dyDescent="0.25">
      <c r="A123">
        <v>27815010</v>
      </c>
      <c r="B123" t="s">
        <v>17</v>
      </c>
      <c r="C123" s="4">
        <v>44771.258878483794</v>
      </c>
      <c r="F123" t="s">
        <v>23</v>
      </c>
      <c r="G123" t="s">
        <v>274</v>
      </c>
      <c r="H123" t="s">
        <v>195</v>
      </c>
      <c r="I123" t="s">
        <v>21</v>
      </c>
    </row>
    <row r="124" spans="1:10" x14ac:dyDescent="0.25">
      <c r="A124">
        <v>27815022</v>
      </c>
      <c r="B124" t="s">
        <v>17</v>
      </c>
      <c r="C124" s="4">
        <v>44771.259183564813</v>
      </c>
      <c r="D124" t="s">
        <v>773</v>
      </c>
      <c r="E124" t="s">
        <v>44</v>
      </c>
      <c r="F124" t="s">
        <v>49</v>
      </c>
      <c r="G124" t="s">
        <v>74</v>
      </c>
      <c r="H124" t="s">
        <v>239</v>
      </c>
      <c r="I124" t="s">
        <v>21</v>
      </c>
      <c r="J124" t="s">
        <v>774</v>
      </c>
    </row>
    <row r="125" spans="1:10" x14ac:dyDescent="0.25">
      <c r="A125">
        <v>27815023</v>
      </c>
      <c r="B125" t="s">
        <v>17</v>
      </c>
      <c r="C125" s="4">
        <v>44771.259191249999</v>
      </c>
      <c r="D125" t="s">
        <v>773</v>
      </c>
      <c r="E125" t="s">
        <v>44</v>
      </c>
      <c r="F125" t="s">
        <v>49</v>
      </c>
      <c r="G125" t="s">
        <v>74</v>
      </c>
      <c r="H125" t="s">
        <v>240</v>
      </c>
      <c r="I125" t="s">
        <v>21</v>
      </c>
      <c r="J125" t="s">
        <v>774</v>
      </c>
    </row>
    <row r="126" spans="1:10" x14ac:dyDescent="0.25">
      <c r="A126">
        <v>27815038</v>
      </c>
      <c r="B126" t="s">
        <v>17</v>
      </c>
      <c r="C126" s="4">
        <v>44771.259570497677</v>
      </c>
      <c r="D126" t="s">
        <v>775</v>
      </c>
      <c r="E126" t="s">
        <v>38</v>
      </c>
      <c r="F126" t="s">
        <v>31</v>
      </c>
      <c r="G126" t="s">
        <v>199</v>
      </c>
      <c r="H126" t="s">
        <v>29</v>
      </c>
      <c r="I126" t="s">
        <v>21</v>
      </c>
      <c r="J126" t="s">
        <v>776</v>
      </c>
    </row>
    <row r="127" spans="1:10" x14ac:dyDescent="0.25">
      <c r="A127">
        <v>27806252</v>
      </c>
      <c r="B127" t="s">
        <v>17</v>
      </c>
      <c r="C127" s="4">
        <v>44771.098287442132</v>
      </c>
      <c r="D127" t="s">
        <v>777</v>
      </c>
      <c r="E127" t="s">
        <v>22</v>
      </c>
      <c r="F127" t="s">
        <v>52</v>
      </c>
      <c r="G127" t="s">
        <v>160</v>
      </c>
      <c r="H127" t="s">
        <v>40</v>
      </c>
      <c r="I127" t="s">
        <v>21</v>
      </c>
    </row>
    <row r="128" spans="1:10" x14ac:dyDescent="0.25">
      <c r="A128">
        <v>27806258</v>
      </c>
      <c r="B128" t="s">
        <v>17</v>
      </c>
      <c r="C128" s="4">
        <v>44771.098587766202</v>
      </c>
      <c r="D128" t="s">
        <v>727</v>
      </c>
      <c r="E128" t="s">
        <v>62</v>
      </c>
      <c r="F128" t="s">
        <v>57</v>
      </c>
      <c r="G128" t="s">
        <v>221</v>
      </c>
      <c r="H128" t="s">
        <v>40</v>
      </c>
      <c r="I128" t="s">
        <v>21</v>
      </c>
      <c r="J128" t="s">
        <v>566</v>
      </c>
    </row>
    <row r="129" spans="1:10" x14ac:dyDescent="0.25">
      <c r="A129">
        <v>27806262</v>
      </c>
      <c r="B129" t="s">
        <v>17</v>
      </c>
      <c r="C129" s="4">
        <v>44771.098643912039</v>
      </c>
      <c r="D129" t="s">
        <v>769</v>
      </c>
      <c r="E129" t="s">
        <v>38</v>
      </c>
      <c r="F129" t="s">
        <v>52</v>
      </c>
      <c r="G129" t="s">
        <v>206</v>
      </c>
      <c r="H129" t="s">
        <v>54</v>
      </c>
      <c r="I129" t="s">
        <v>21</v>
      </c>
      <c r="J129" t="s">
        <v>482</v>
      </c>
    </row>
    <row r="130" spans="1:10" x14ac:dyDescent="0.25">
      <c r="A130">
        <v>27817858</v>
      </c>
      <c r="B130" t="s">
        <v>17</v>
      </c>
      <c r="C130" s="4">
        <v>44771.307475497677</v>
      </c>
      <c r="D130" t="s">
        <v>696</v>
      </c>
      <c r="E130" t="s">
        <v>30</v>
      </c>
      <c r="F130" t="s">
        <v>31</v>
      </c>
      <c r="G130" t="s">
        <v>161</v>
      </c>
      <c r="H130" t="s">
        <v>25</v>
      </c>
      <c r="I130" t="s">
        <v>21</v>
      </c>
      <c r="J130" t="s">
        <v>318</v>
      </c>
    </row>
    <row r="131" spans="1:10" x14ac:dyDescent="0.25">
      <c r="A131">
        <v>27806272</v>
      </c>
      <c r="B131" t="s">
        <v>17</v>
      </c>
      <c r="C131" s="4">
        <v>44771.098798969913</v>
      </c>
      <c r="D131" t="s">
        <v>778</v>
      </c>
      <c r="E131" t="s">
        <v>38</v>
      </c>
      <c r="F131" t="s">
        <v>31</v>
      </c>
      <c r="G131" t="s">
        <v>150</v>
      </c>
      <c r="H131" t="s">
        <v>42</v>
      </c>
      <c r="I131" t="s">
        <v>21</v>
      </c>
      <c r="J131" t="s">
        <v>485</v>
      </c>
    </row>
    <row r="132" spans="1:10" x14ac:dyDescent="0.25">
      <c r="A132">
        <v>27806275</v>
      </c>
      <c r="B132" t="s">
        <v>17</v>
      </c>
      <c r="C132" s="4">
        <v>44771.098903611113</v>
      </c>
      <c r="D132" t="s">
        <v>777</v>
      </c>
      <c r="E132" t="s">
        <v>22</v>
      </c>
      <c r="F132" t="s">
        <v>52</v>
      </c>
      <c r="G132" t="s">
        <v>160</v>
      </c>
      <c r="H132" t="s">
        <v>25</v>
      </c>
      <c r="I132" t="s">
        <v>21</v>
      </c>
    </row>
    <row r="133" spans="1:10" x14ac:dyDescent="0.25">
      <c r="A133">
        <v>27815108</v>
      </c>
      <c r="B133" t="s">
        <v>17</v>
      </c>
      <c r="C133" s="4">
        <v>44771.260724699066</v>
      </c>
      <c r="D133" t="s">
        <v>747</v>
      </c>
      <c r="E133" t="s">
        <v>254</v>
      </c>
      <c r="F133" t="s">
        <v>49</v>
      </c>
      <c r="G133" t="s">
        <v>218</v>
      </c>
      <c r="H133" t="s">
        <v>40</v>
      </c>
      <c r="I133" t="s">
        <v>21</v>
      </c>
      <c r="J133" t="s">
        <v>179</v>
      </c>
    </row>
    <row r="134" spans="1:10" x14ac:dyDescent="0.25">
      <c r="A134">
        <v>27815129</v>
      </c>
      <c r="B134" t="s">
        <v>17</v>
      </c>
      <c r="C134" s="4">
        <v>44771.261099629628</v>
      </c>
      <c r="D134" t="s">
        <v>747</v>
      </c>
      <c r="E134" t="s">
        <v>254</v>
      </c>
      <c r="F134" t="s">
        <v>49</v>
      </c>
      <c r="G134" t="s">
        <v>218</v>
      </c>
      <c r="H134" t="s">
        <v>25</v>
      </c>
      <c r="I134" t="s">
        <v>21</v>
      </c>
      <c r="J134" t="s">
        <v>179</v>
      </c>
    </row>
    <row r="135" spans="1:10" x14ac:dyDescent="0.25">
      <c r="A135">
        <v>27806287</v>
      </c>
      <c r="B135" t="s">
        <v>17</v>
      </c>
      <c r="C135" s="4">
        <v>44771.099054062499</v>
      </c>
      <c r="D135" t="s">
        <v>727</v>
      </c>
      <c r="E135" t="s">
        <v>62</v>
      </c>
      <c r="F135" t="s">
        <v>57</v>
      </c>
      <c r="G135" t="s">
        <v>221</v>
      </c>
      <c r="H135" t="s">
        <v>25</v>
      </c>
      <c r="I135" t="s">
        <v>21</v>
      </c>
      <c r="J135" t="s">
        <v>566</v>
      </c>
    </row>
    <row r="136" spans="1:10" x14ac:dyDescent="0.25">
      <c r="A136">
        <v>27815142</v>
      </c>
      <c r="B136" t="s">
        <v>17</v>
      </c>
      <c r="C136" s="4">
        <v>44771.261137164351</v>
      </c>
      <c r="D136" t="s">
        <v>779</v>
      </c>
      <c r="E136" t="s">
        <v>72</v>
      </c>
      <c r="F136" t="s">
        <v>49</v>
      </c>
      <c r="G136" t="s">
        <v>73</v>
      </c>
      <c r="H136" t="s">
        <v>42</v>
      </c>
      <c r="I136" t="s">
        <v>21</v>
      </c>
      <c r="J136" t="s">
        <v>231</v>
      </c>
    </row>
    <row r="137" spans="1:10" x14ac:dyDescent="0.25">
      <c r="A137">
        <v>27815152</v>
      </c>
      <c r="B137" t="s">
        <v>17</v>
      </c>
      <c r="C137" s="4">
        <v>44771.261300925929</v>
      </c>
      <c r="D137" t="s">
        <v>780</v>
      </c>
      <c r="E137" t="s">
        <v>123</v>
      </c>
      <c r="F137" t="s">
        <v>49</v>
      </c>
      <c r="G137" t="s">
        <v>146</v>
      </c>
      <c r="H137" t="s">
        <v>42</v>
      </c>
      <c r="I137" t="s">
        <v>21</v>
      </c>
      <c r="J137" t="s">
        <v>781</v>
      </c>
    </row>
    <row r="138" spans="1:10" x14ac:dyDescent="0.25">
      <c r="A138">
        <v>27815155</v>
      </c>
      <c r="B138" t="s">
        <v>17</v>
      </c>
      <c r="C138" s="4">
        <v>44771.261497129628</v>
      </c>
      <c r="D138" t="s">
        <v>782</v>
      </c>
      <c r="E138" t="s">
        <v>22</v>
      </c>
      <c r="F138" t="s">
        <v>31</v>
      </c>
      <c r="G138" t="s">
        <v>153</v>
      </c>
      <c r="H138" t="s">
        <v>29</v>
      </c>
      <c r="I138" t="s">
        <v>21</v>
      </c>
      <c r="J138" t="s">
        <v>216</v>
      </c>
    </row>
    <row r="139" spans="1:10" x14ac:dyDescent="0.25">
      <c r="A139">
        <v>27815214</v>
      </c>
      <c r="B139" t="s">
        <v>17</v>
      </c>
      <c r="C139" s="4">
        <v>44771.262793819442</v>
      </c>
      <c r="D139" t="s">
        <v>783</v>
      </c>
      <c r="E139" t="s">
        <v>38</v>
      </c>
      <c r="F139" t="s">
        <v>52</v>
      </c>
      <c r="G139" t="s">
        <v>77</v>
      </c>
      <c r="H139" t="s">
        <v>29</v>
      </c>
      <c r="I139" t="s">
        <v>21</v>
      </c>
      <c r="J139" t="s">
        <v>784</v>
      </c>
    </row>
    <row r="140" spans="1:10" x14ac:dyDescent="0.25">
      <c r="A140">
        <v>27815225</v>
      </c>
      <c r="B140" t="s">
        <v>17</v>
      </c>
      <c r="C140" s="4">
        <v>44771.262982789347</v>
      </c>
      <c r="D140" t="s">
        <v>785</v>
      </c>
      <c r="E140" t="s">
        <v>38</v>
      </c>
      <c r="F140" t="s">
        <v>55</v>
      </c>
      <c r="G140" t="s">
        <v>99</v>
      </c>
      <c r="H140" t="s">
        <v>29</v>
      </c>
      <c r="I140" t="s">
        <v>21</v>
      </c>
    </row>
    <row r="141" spans="1:10" x14ac:dyDescent="0.25">
      <c r="A141">
        <v>27815228</v>
      </c>
      <c r="B141" t="s">
        <v>17</v>
      </c>
      <c r="C141" s="4">
        <v>44771.263085046303</v>
      </c>
      <c r="D141" t="s">
        <v>755</v>
      </c>
      <c r="E141" t="s">
        <v>129</v>
      </c>
      <c r="F141" t="s">
        <v>49</v>
      </c>
      <c r="G141" t="s">
        <v>106</v>
      </c>
      <c r="H141" t="s">
        <v>54</v>
      </c>
      <c r="I141" t="s">
        <v>21</v>
      </c>
      <c r="J141" t="s">
        <v>245</v>
      </c>
    </row>
    <row r="142" spans="1:10" x14ac:dyDescent="0.25">
      <c r="A142">
        <v>27815257</v>
      </c>
      <c r="B142" t="s">
        <v>17</v>
      </c>
      <c r="C142" s="4">
        <v>44771.263789733799</v>
      </c>
      <c r="D142" t="s">
        <v>786</v>
      </c>
      <c r="E142" t="s">
        <v>129</v>
      </c>
      <c r="F142" t="s">
        <v>49</v>
      </c>
      <c r="G142" t="s">
        <v>84</v>
      </c>
      <c r="H142" t="s">
        <v>42</v>
      </c>
      <c r="I142" t="s">
        <v>21</v>
      </c>
      <c r="J142" t="s">
        <v>214</v>
      </c>
    </row>
    <row r="143" spans="1:10" x14ac:dyDescent="0.25">
      <c r="A143">
        <v>27815274</v>
      </c>
      <c r="B143" t="s">
        <v>17</v>
      </c>
      <c r="C143" s="4">
        <v>44771.264194201387</v>
      </c>
      <c r="D143" t="s">
        <v>787</v>
      </c>
      <c r="E143" t="s">
        <v>22</v>
      </c>
      <c r="F143" t="s">
        <v>57</v>
      </c>
      <c r="G143" t="s">
        <v>426</v>
      </c>
      <c r="H143" t="s">
        <v>42</v>
      </c>
      <c r="I143" t="s">
        <v>21</v>
      </c>
      <c r="J143" t="s">
        <v>97</v>
      </c>
    </row>
    <row r="144" spans="1:10" x14ac:dyDescent="0.25">
      <c r="A144">
        <v>27806320</v>
      </c>
      <c r="B144" t="s">
        <v>17</v>
      </c>
      <c r="C144" s="4">
        <v>44771.099898402783</v>
      </c>
      <c r="D144" t="s">
        <v>788</v>
      </c>
      <c r="E144" t="s">
        <v>30</v>
      </c>
      <c r="F144" t="s">
        <v>31</v>
      </c>
      <c r="G144" t="s">
        <v>32</v>
      </c>
      <c r="H144" t="s">
        <v>42</v>
      </c>
      <c r="I144" t="s">
        <v>21</v>
      </c>
      <c r="J144" t="s">
        <v>60</v>
      </c>
    </row>
    <row r="145" spans="1:10" x14ac:dyDescent="0.25">
      <c r="A145">
        <v>27815290</v>
      </c>
      <c r="B145" t="s">
        <v>17</v>
      </c>
      <c r="C145" s="4">
        <v>44771.264493807867</v>
      </c>
      <c r="D145" t="s">
        <v>755</v>
      </c>
      <c r="E145" t="s">
        <v>129</v>
      </c>
      <c r="F145" t="s">
        <v>49</v>
      </c>
      <c r="G145" t="s">
        <v>106</v>
      </c>
      <c r="H145" t="s">
        <v>40</v>
      </c>
      <c r="I145" t="s">
        <v>21</v>
      </c>
      <c r="J145" t="s">
        <v>245</v>
      </c>
    </row>
    <row r="146" spans="1:10" x14ac:dyDescent="0.25">
      <c r="A146">
        <v>27815309</v>
      </c>
      <c r="B146" t="s">
        <v>17</v>
      </c>
      <c r="C146" s="4">
        <v>44771.264773506948</v>
      </c>
      <c r="D146" t="s">
        <v>789</v>
      </c>
      <c r="E146" t="s">
        <v>129</v>
      </c>
      <c r="F146" t="s">
        <v>49</v>
      </c>
      <c r="G146" t="s">
        <v>359</v>
      </c>
      <c r="H146" t="s">
        <v>42</v>
      </c>
      <c r="I146" t="s">
        <v>21</v>
      </c>
      <c r="J146" t="s">
        <v>251</v>
      </c>
    </row>
    <row r="147" spans="1:10" x14ac:dyDescent="0.25">
      <c r="A147">
        <v>27815318</v>
      </c>
      <c r="B147" t="s">
        <v>17</v>
      </c>
      <c r="C147" s="4">
        <v>44771.265108599539</v>
      </c>
      <c r="D147" t="s">
        <v>755</v>
      </c>
      <c r="E147" t="s">
        <v>129</v>
      </c>
      <c r="F147" t="s">
        <v>49</v>
      </c>
      <c r="G147" t="s">
        <v>106</v>
      </c>
      <c r="H147" t="s">
        <v>25</v>
      </c>
      <c r="I147" t="s">
        <v>21</v>
      </c>
      <c r="J147" t="s">
        <v>245</v>
      </c>
    </row>
    <row r="148" spans="1:10" x14ac:dyDescent="0.25">
      <c r="A148">
        <v>27815328</v>
      </c>
      <c r="B148" t="s">
        <v>17</v>
      </c>
      <c r="C148" s="4">
        <v>44771.265117546303</v>
      </c>
      <c r="F148" t="s">
        <v>23</v>
      </c>
      <c r="G148" t="s">
        <v>194</v>
      </c>
      <c r="H148" t="s">
        <v>20</v>
      </c>
      <c r="I148" t="s">
        <v>21</v>
      </c>
    </row>
    <row r="149" spans="1:10" x14ac:dyDescent="0.25">
      <c r="A149">
        <v>27815345</v>
      </c>
      <c r="B149" t="s">
        <v>17</v>
      </c>
      <c r="C149" s="4">
        <v>44771.265192511572</v>
      </c>
      <c r="D149" t="s">
        <v>790</v>
      </c>
      <c r="E149" t="s">
        <v>38</v>
      </c>
      <c r="F149" t="s">
        <v>23</v>
      </c>
      <c r="G149" t="s">
        <v>194</v>
      </c>
      <c r="H149" t="s">
        <v>118</v>
      </c>
      <c r="I149" t="s">
        <v>36</v>
      </c>
      <c r="J149" t="s">
        <v>791</v>
      </c>
    </row>
    <row r="150" spans="1:10" x14ac:dyDescent="0.25">
      <c r="A150">
        <v>27806327</v>
      </c>
      <c r="B150" t="s">
        <v>17</v>
      </c>
      <c r="C150" s="4">
        <v>44771.099995775461</v>
      </c>
      <c r="D150" t="s">
        <v>743</v>
      </c>
      <c r="E150" t="s">
        <v>38</v>
      </c>
      <c r="F150" t="s">
        <v>52</v>
      </c>
      <c r="G150" t="s">
        <v>229</v>
      </c>
      <c r="H150" t="s">
        <v>40</v>
      </c>
      <c r="I150" t="s">
        <v>21</v>
      </c>
      <c r="J150" t="s">
        <v>489</v>
      </c>
    </row>
    <row r="151" spans="1:10" x14ac:dyDescent="0.25">
      <c r="A151">
        <v>27806332</v>
      </c>
      <c r="B151" t="s">
        <v>17</v>
      </c>
      <c r="C151" s="4">
        <v>44771.100392233799</v>
      </c>
      <c r="D151" t="s">
        <v>778</v>
      </c>
      <c r="E151" t="s">
        <v>38</v>
      </c>
      <c r="F151" t="s">
        <v>31</v>
      </c>
      <c r="G151" t="s">
        <v>150</v>
      </c>
      <c r="H151" t="s">
        <v>54</v>
      </c>
      <c r="I151" t="s">
        <v>21</v>
      </c>
      <c r="J151" t="s">
        <v>485</v>
      </c>
    </row>
    <row r="152" spans="1:10" x14ac:dyDescent="0.25">
      <c r="A152">
        <v>27806336</v>
      </c>
      <c r="B152" t="s">
        <v>17</v>
      </c>
      <c r="C152" s="4">
        <v>44771.100493865742</v>
      </c>
      <c r="D152" t="s">
        <v>743</v>
      </c>
      <c r="E152" t="s">
        <v>38</v>
      </c>
      <c r="F152" t="s">
        <v>52</v>
      </c>
      <c r="G152" t="s">
        <v>229</v>
      </c>
      <c r="H152" t="s">
        <v>25</v>
      </c>
      <c r="I152" t="s">
        <v>21</v>
      </c>
      <c r="J152" t="s">
        <v>489</v>
      </c>
    </row>
    <row r="153" spans="1:10" x14ac:dyDescent="0.25">
      <c r="A153">
        <v>27815354</v>
      </c>
      <c r="B153" t="s">
        <v>17</v>
      </c>
      <c r="C153" s="4">
        <v>44771.265314652781</v>
      </c>
      <c r="D153" t="s">
        <v>790</v>
      </c>
      <c r="E153" t="s">
        <v>38</v>
      </c>
      <c r="F153" t="s">
        <v>23</v>
      </c>
      <c r="G153" t="s">
        <v>194</v>
      </c>
      <c r="H153" t="s">
        <v>122</v>
      </c>
      <c r="I153" t="s">
        <v>36</v>
      </c>
      <c r="J153" t="s">
        <v>791</v>
      </c>
    </row>
    <row r="154" spans="1:10" x14ac:dyDescent="0.25">
      <c r="A154">
        <v>27815359</v>
      </c>
      <c r="B154" t="s">
        <v>17</v>
      </c>
      <c r="C154" s="4">
        <v>44771.265369629633</v>
      </c>
      <c r="F154" t="s">
        <v>23</v>
      </c>
      <c r="G154" t="s">
        <v>194</v>
      </c>
      <c r="H154" t="s">
        <v>116</v>
      </c>
      <c r="I154" t="s">
        <v>21</v>
      </c>
    </row>
    <row r="155" spans="1:10" x14ac:dyDescent="0.25">
      <c r="A155">
        <v>27815366</v>
      </c>
      <c r="B155" t="s">
        <v>17</v>
      </c>
      <c r="C155" s="4">
        <v>44771.265578298611</v>
      </c>
      <c r="D155" t="s">
        <v>792</v>
      </c>
      <c r="E155" t="s">
        <v>22</v>
      </c>
      <c r="F155" t="s">
        <v>23</v>
      </c>
      <c r="G155" t="s">
        <v>24</v>
      </c>
      <c r="H155" t="s">
        <v>29</v>
      </c>
      <c r="I155" t="s">
        <v>21</v>
      </c>
      <c r="J155" t="s">
        <v>181</v>
      </c>
    </row>
    <row r="156" spans="1:10" x14ac:dyDescent="0.25">
      <c r="A156">
        <v>27815389</v>
      </c>
      <c r="B156" t="s">
        <v>17</v>
      </c>
      <c r="C156" s="4">
        <v>44771.266183055559</v>
      </c>
      <c r="D156" t="s">
        <v>793</v>
      </c>
      <c r="E156" t="s">
        <v>22</v>
      </c>
      <c r="F156" t="s">
        <v>23</v>
      </c>
      <c r="G156" t="s">
        <v>140</v>
      </c>
      <c r="H156" t="s">
        <v>29</v>
      </c>
      <c r="I156" t="s">
        <v>21</v>
      </c>
      <c r="J156" t="s">
        <v>794</v>
      </c>
    </row>
    <row r="157" spans="1:10" x14ac:dyDescent="0.25">
      <c r="A157">
        <v>27815398</v>
      </c>
      <c r="B157" t="s">
        <v>17</v>
      </c>
      <c r="C157" s="4">
        <v>44771.26632934028</v>
      </c>
      <c r="D157" t="s">
        <v>754</v>
      </c>
      <c r="E157" t="s">
        <v>22</v>
      </c>
      <c r="F157" t="s">
        <v>23</v>
      </c>
      <c r="G157" t="s">
        <v>180</v>
      </c>
      <c r="H157" t="s">
        <v>54</v>
      </c>
      <c r="I157" t="s">
        <v>21</v>
      </c>
      <c r="J157" t="s">
        <v>476</v>
      </c>
    </row>
    <row r="158" spans="1:10" x14ac:dyDescent="0.25">
      <c r="A158">
        <v>27815410</v>
      </c>
      <c r="B158" t="s">
        <v>17</v>
      </c>
      <c r="C158" s="4">
        <v>44771.266436087957</v>
      </c>
      <c r="D158" t="s">
        <v>761</v>
      </c>
      <c r="E158" t="s">
        <v>38</v>
      </c>
      <c r="F158" t="s">
        <v>31</v>
      </c>
      <c r="G158" t="s">
        <v>141</v>
      </c>
      <c r="H158" t="s">
        <v>54</v>
      </c>
      <c r="I158" t="s">
        <v>21</v>
      </c>
      <c r="J158" t="s">
        <v>144</v>
      </c>
    </row>
    <row r="159" spans="1:10" x14ac:dyDescent="0.25">
      <c r="A159">
        <v>27815415</v>
      </c>
      <c r="B159" t="s">
        <v>17</v>
      </c>
      <c r="C159" s="4">
        <v>44771.266504837957</v>
      </c>
      <c r="D159" t="s">
        <v>786</v>
      </c>
      <c r="E159" t="s">
        <v>129</v>
      </c>
      <c r="F159" t="s">
        <v>49</v>
      </c>
      <c r="G159" t="s">
        <v>84</v>
      </c>
      <c r="H159" t="s">
        <v>54</v>
      </c>
      <c r="I159" t="s">
        <v>21</v>
      </c>
      <c r="J159" t="s">
        <v>214</v>
      </c>
    </row>
    <row r="160" spans="1:10" x14ac:dyDescent="0.25">
      <c r="A160">
        <v>27815424</v>
      </c>
      <c r="B160" t="s">
        <v>17</v>
      </c>
      <c r="C160" s="4">
        <v>44771.266611909719</v>
      </c>
      <c r="D160" t="s">
        <v>795</v>
      </c>
      <c r="E160" t="s">
        <v>38</v>
      </c>
      <c r="F160" t="s">
        <v>31</v>
      </c>
      <c r="G160" t="s">
        <v>148</v>
      </c>
      <c r="H160" t="s">
        <v>29</v>
      </c>
      <c r="I160" t="s">
        <v>21</v>
      </c>
      <c r="J160" t="s">
        <v>237</v>
      </c>
    </row>
    <row r="161" spans="1:10" x14ac:dyDescent="0.25">
      <c r="A161">
        <v>27815433</v>
      </c>
      <c r="B161" t="s">
        <v>17</v>
      </c>
      <c r="C161" s="4">
        <v>44771.266649398152</v>
      </c>
      <c r="F161" t="s">
        <v>18</v>
      </c>
      <c r="G161" t="s">
        <v>228</v>
      </c>
      <c r="H161" t="s">
        <v>81</v>
      </c>
      <c r="I161" t="s">
        <v>21</v>
      </c>
    </row>
    <row r="162" spans="1:10" x14ac:dyDescent="0.25">
      <c r="A162">
        <v>27815435</v>
      </c>
      <c r="B162" t="s">
        <v>17</v>
      </c>
      <c r="C162" s="4">
        <v>44771.266649606478</v>
      </c>
      <c r="F162" t="s">
        <v>18</v>
      </c>
      <c r="G162" t="s">
        <v>228</v>
      </c>
      <c r="H162" t="s">
        <v>93</v>
      </c>
      <c r="I162" t="s">
        <v>21</v>
      </c>
    </row>
    <row r="163" spans="1:10" x14ac:dyDescent="0.25">
      <c r="A163">
        <v>27815451</v>
      </c>
      <c r="B163" t="s">
        <v>17</v>
      </c>
      <c r="C163" s="4">
        <v>44771.267041574072</v>
      </c>
      <c r="D163" t="s">
        <v>773</v>
      </c>
      <c r="E163" t="s">
        <v>44</v>
      </c>
      <c r="F163" t="s">
        <v>49</v>
      </c>
      <c r="G163" t="s">
        <v>74</v>
      </c>
      <c r="H163" t="s">
        <v>40</v>
      </c>
      <c r="I163" t="s">
        <v>21</v>
      </c>
      <c r="J163" t="s">
        <v>774</v>
      </c>
    </row>
    <row r="164" spans="1:10" x14ac:dyDescent="0.25">
      <c r="A164">
        <v>27815466</v>
      </c>
      <c r="B164" t="s">
        <v>17</v>
      </c>
      <c r="C164" s="4">
        <v>44771.26736445602</v>
      </c>
      <c r="D164" t="s">
        <v>796</v>
      </c>
      <c r="E164" t="s">
        <v>38</v>
      </c>
      <c r="F164" t="s">
        <v>33</v>
      </c>
      <c r="G164" t="s">
        <v>407</v>
      </c>
      <c r="H164" t="s">
        <v>29</v>
      </c>
      <c r="I164" t="s">
        <v>21</v>
      </c>
      <c r="J164" t="s">
        <v>597</v>
      </c>
    </row>
    <row r="165" spans="1:10" x14ac:dyDescent="0.25">
      <c r="A165">
        <v>27806400</v>
      </c>
      <c r="B165" t="s">
        <v>17</v>
      </c>
      <c r="C165" s="4">
        <v>44771.101634664352</v>
      </c>
      <c r="D165" t="s">
        <v>797</v>
      </c>
      <c r="E165" t="s">
        <v>22</v>
      </c>
      <c r="F165" t="s">
        <v>23</v>
      </c>
      <c r="G165" t="s">
        <v>170</v>
      </c>
      <c r="H165" t="s">
        <v>42</v>
      </c>
      <c r="I165" t="s">
        <v>21</v>
      </c>
      <c r="J165" t="s">
        <v>493</v>
      </c>
    </row>
    <row r="166" spans="1:10" x14ac:dyDescent="0.25">
      <c r="A166">
        <v>27815478</v>
      </c>
      <c r="B166" t="s">
        <v>17</v>
      </c>
      <c r="C166" s="4">
        <v>44771.267410023152</v>
      </c>
      <c r="D166" t="s">
        <v>773</v>
      </c>
      <c r="E166" t="s">
        <v>44</v>
      </c>
      <c r="F166" t="s">
        <v>49</v>
      </c>
      <c r="G166" t="s">
        <v>74</v>
      </c>
      <c r="H166" t="s">
        <v>25</v>
      </c>
      <c r="I166" t="s">
        <v>21</v>
      </c>
      <c r="J166" t="s">
        <v>774</v>
      </c>
    </row>
    <row r="167" spans="1:10" x14ac:dyDescent="0.25">
      <c r="A167">
        <v>27815499</v>
      </c>
      <c r="B167" t="s">
        <v>17</v>
      </c>
      <c r="C167" s="4">
        <v>44771.267585740738</v>
      </c>
      <c r="D167" t="s">
        <v>779</v>
      </c>
      <c r="E167" t="s">
        <v>72</v>
      </c>
      <c r="F167" t="s">
        <v>49</v>
      </c>
      <c r="G167" t="s">
        <v>73</v>
      </c>
      <c r="H167" t="s">
        <v>54</v>
      </c>
      <c r="I167" t="s">
        <v>21</v>
      </c>
      <c r="J167" t="s">
        <v>231</v>
      </c>
    </row>
    <row r="168" spans="1:10" x14ac:dyDescent="0.25">
      <c r="A168">
        <v>27815506</v>
      </c>
      <c r="B168" t="s">
        <v>17</v>
      </c>
      <c r="C168" s="4">
        <v>44771.267605891197</v>
      </c>
      <c r="D168" t="s">
        <v>798</v>
      </c>
      <c r="E168" t="s">
        <v>62</v>
      </c>
      <c r="F168" t="s">
        <v>18</v>
      </c>
      <c r="G168" t="s">
        <v>102</v>
      </c>
      <c r="H168" t="s">
        <v>42</v>
      </c>
      <c r="I168" t="s">
        <v>21</v>
      </c>
      <c r="J168" t="s">
        <v>799</v>
      </c>
    </row>
    <row r="169" spans="1:10" x14ac:dyDescent="0.25">
      <c r="A169">
        <v>27806425</v>
      </c>
      <c r="B169" t="s">
        <v>17</v>
      </c>
      <c r="C169" s="4">
        <v>44771.102328993053</v>
      </c>
      <c r="D169" t="s">
        <v>800</v>
      </c>
      <c r="E169" t="s">
        <v>38</v>
      </c>
      <c r="F169" t="s">
        <v>23</v>
      </c>
      <c r="G169" t="s">
        <v>355</v>
      </c>
      <c r="H169" t="s">
        <v>42</v>
      </c>
      <c r="I169" t="s">
        <v>21</v>
      </c>
      <c r="J169" t="s">
        <v>801</v>
      </c>
    </row>
    <row r="170" spans="1:10" x14ac:dyDescent="0.25">
      <c r="A170">
        <v>27815513</v>
      </c>
      <c r="B170" t="s">
        <v>17</v>
      </c>
      <c r="C170" s="4">
        <v>44771.267667824082</v>
      </c>
      <c r="D170" t="s">
        <v>798</v>
      </c>
      <c r="E170" t="s">
        <v>62</v>
      </c>
      <c r="F170" t="s">
        <v>18</v>
      </c>
      <c r="G170" t="s">
        <v>102</v>
      </c>
      <c r="H170" t="s">
        <v>54</v>
      </c>
      <c r="I170" t="s">
        <v>21</v>
      </c>
      <c r="J170" t="s">
        <v>799</v>
      </c>
    </row>
    <row r="171" spans="1:10" x14ac:dyDescent="0.25">
      <c r="A171">
        <v>27815518</v>
      </c>
      <c r="B171" t="s">
        <v>17</v>
      </c>
      <c r="C171" s="4">
        <v>44771.267691111112</v>
      </c>
      <c r="D171" t="s">
        <v>798</v>
      </c>
      <c r="E171" t="s">
        <v>62</v>
      </c>
      <c r="F171" t="s">
        <v>18</v>
      </c>
      <c r="G171" t="s">
        <v>102</v>
      </c>
      <c r="H171" t="s">
        <v>118</v>
      </c>
      <c r="I171" t="s">
        <v>36</v>
      </c>
      <c r="J171" t="s">
        <v>799</v>
      </c>
    </row>
    <row r="172" spans="1:10" x14ac:dyDescent="0.25">
      <c r="A172">
        <v>27815529</v>
      </c>
      <c r="B172" t="s">
        <v>17</v>
      </c>
      <c r="C172" s="4">
        <v>44771.26772447917</v>
      </c>
      <c r="D172" t="s">
        <v>802</v>
      </c>
      <c r="E172" t="s">
        <v>27</v>
      </c>
      <c r="F172" t="s">
        <v>57</v>
      </c>
      <c r="G172" t="s">
        <v>76</v>
      </c>
      <c r="H172" t="s">
        <v>42</v>
      </c>
      <c r="I172" t="s">
        <v>21</v>
      </c>
      <c r="J172" t="s">
        <v>803</v>
      </c>
    </row>
    <row r="173" spans="1:10" x14ac:dyDescent="0.25">
      <c r="A173">
        <v>27815540</v>
      </c>
      <c r="B173" t="s">
        <v>17</v>
      </c>
      <c r="C173" s="4">
        <v>44771.267840486107</v>
      </c>
      <c r="D173" t="s">
        <v>804</v>
      </c>
      <c r="E173" t="s">
        <v>72</v>
      </c>
      <c r="F173" t="s">
        <v>18</v>
      </c>
      <c r="G173" t="s">
        <v>236</v>
      </c>
      <c r="H173" t="s">
        <v>42</v>
      </c>
      <c r="I173" t="s">
        <v>21</v>
      </c>
      <c r="J173" t="s">
        <v>805</v>
      </c>
    </row>
    <row r="174" spans="1:10" x14ac:dyDescent="0.25">
      <c r="A174">
        <v>27815545</v>
      </c>
      <c r="B174" t="s">
        <v>17</v>
      </c>
      <c r="C174" s="4">
        <v>44771.267870347219</v>
      </c>
      <c r="D174" t="s">
        <v>798</v>
      </c>
      <c r="E174" t="s">
        <v>62</v>
      </c>
      <c r="F174" t="s">
        <v>18</v>
      </c>
      <c r="G174" t="s">
        <v>102</v>
      </c>
      <c r="H174" t="s">
        <v>35</v>
      </c>
      <c r="I174" t="s">
        <v>36</v>
      </c>
      <c r="J174" t="s">
        <v>799</v>
      </c>
    </row>
    <row r="175" spans="1:10" x14ac:dyDescent="0.25">
      <c r="A175">
        <v>27815549</v>
      </c>
      <c r="B175" t="s">
        <v>17</v>
      </c>
      <c r="C175" s="4">
        <v>44771.267890300929</v>
      </c>
      <c r="D175" t="s">
        <v>804</v>
      </c>
      <c r="E175" t="s">
        <v>72</v>
      </c>
      <c r="F175" t="s">
        <v>18</v>
      </c>
      <c r="G175" t="s">
        <v>236</v>
      </c>
      <c r="H175" t="s">
        <v>54</v>
      </c>
      <c r="I175" t="s">
        <v>21</v>
      </c>
      <c r="J175" t="s">
        <v>805</v>
      </c>
    </row>
    <row r="176" spans="1:10" x14ac:dyDescent="0.25">
      <c r="A176">
        <v>27806445</v>
      </c>
      <c r="B176" t="s">
        <v>17</v>
      </c>
      <c r="C176" s="4">
        <v>44771.10301215278</v>
      </c>
      <c r="D176" t="s">
        <v>800</v>
      </c>
      <c r="E176" t="s">
        <v>38</v>
      </c>
      <c r="F176" t="s">
        <v>23</v>
      </c>
      <c r="G176" t="s">
        <v>355</v>
      </c>
      <c r="H176" t="s">
        <v>54</v>
      </c>
      <c r="I176" t="s">
        <v>21</v>
      </c>
      <c r="J176" t="s">
        <v>801</v>
      </c>
    </row>
    <row r="177" spans="1:10" x14ac:dyDescent="0.25">
      <c r="A177">
        <v>27806453</v>
      </c>
      <c r="B177" t="s">
        <v>17</v>
      </c>
      <c r="C177" s="4">
        <v>44771.103373240738</v>
      </c>
      <c r="D177" t="s">
        <v>750</v>
      </c>
      <c r="E177" t="s">
        <v>38</v>
      </c>
      <c r="F177" t="s">
        <v>57</v>
      </c>
      <c r="G177" t="s">
        <v>190</v>
      </c>
      <c r="H177" t="s">
        <v>54</v>
      </c>
      <c r="I177" t="s">
        <v>21</v>
      </c>
      <c r="J177" t="s">
        <v>751</v>
      </c>
    </row>
    <row r="178" spans="1:10" x14ac:dyDescent="0.25">
      <c r="A178">
        <v>27806457</v>
      </c>
      <c r="B178" t="s">
        <v>17</v>
      </c>
      <c r="C178" s="4">
        <v>44771.103421666667</v>
      </c>
      <c r="D178" t="s">
        <v>750</v>
      </c>
      <c r="E178" t="s">
        <v>38</v>
      </c>
      <c r="F178" t="s">
        <v>57</v>
      </c>
      <c r="G178" t="s">
        <v>190</v>
      </c>
      <c r="H178" t="s">
        <v>40</v>
      </c>
      <c r="I178" t="s">
        <v>21</v>
      </c>
      <c r="J178" t="s">
        <v>751</v>
      </c>
    </row>
    <row r="179" spans="1:10" x14ac:dyDescent="0.25">
      <c r="A179">
        <v>27815603</v>
      </c>
      <c r="B179" t="s">
        <v>17</v>
      </c>
      <c r="C179" s="4">
        <v>44771.270001539349</v>
      </c>
      <c r="D179" t="s">
        <v>779</v>
      </c>
      <c r="E179" t="s">
        <v>72</v>
      </c>
      <c r="F179" t="s">
        <v>49</v>
      </c>
      <c r="G179" t="s">
        <v>73</v>
      </c>
      <c r="H179" t="s">
        <v>40</v>
      </c>
      <c r="I179" t="s">
        <v>21</v>
      </c>
      <c r="J179" t="s">
        <v>231</v>
      </c>
    </row>
    <row r="180" spans="1:10" x14ac:dyDescent="0.25">
      <c r="A180">
        <v>27806473</v>
      </c>
      <c r="B180" t="s">
        <v>17</v>
      </c>
      <c r="C180" s="4">
        <v>44771.103949594908</v>
      </c>
      <c r="D180" t="s">
        <v>806</v>
      </c>
      <c r="E180" t="s">
        <v>22</v>
      </c>
      <c r="F180" t="s">
        <v>23</v>
      </c>
      <c r="G180" t="s">
        <v>225</v>
      </c>
      <c r="H180" t="s">
        <v>42</v>
      </c>
      <c r="I180" t="s">
        <v>21</v>
      </c>
      <c r="J180" t="s">
        <v>281</v>
      </c>
    </row>
    <row r="181" spans="1:10" x14ac:dyDescent="0.25">
      <c r="A181">
        <v>27806476</v>
      </c>
      <c r="B181" t="s">
        <v>17</v>
      </c>
      <c r="C181" s="4">
        <v>44771.104022951389</v>
      </c>
      <c r="D181" t="s">
        <v>797</v>
      </c>
      <c r="E181" t="s">
        <v>22</v>
      </c>
      <c r="F181" t="s">
        <v>23</v>
      </c>
      <c r="G181" t="s">
        <v>170</v>
      </c>
      <c r="H181" t="s">
        <v>54</v>
      </c>
      <c r="I181" t="s">
        <v>21</v>
      </c>
      <c r="J181" t="s">
        <v>493</v>
      </c>
    </row>
    <row r="182" spans="1:10" x14ac:dyDescent="0.25">
      <c r="A182">
        <v>27815609</v>
      </c>
      <c r="B182" t="s">
        <v>17</v>
      </c>
      <c r="C182" s="4">
        <v>44771.270180983804</v>
      </c>
      <c r="D182" t="s">
        <v>807</v>
      </c>
      <c r="E182" t="s">
        <v>22</v>
      </c>
      <c r="F182" t="s">
        <v>18</v>
      </c>
      <c r="G182" t="s">
        <v>429</v>
      </c>
      <c r="H182" t="s">
        <v>29</v>
      </c>
      <c r="I182" t="s">
        <v>21</v>
      </c>
    </row>
    <row r="183" spans="1:10" x14ac:dyDescent="0.25">
      <c r="A183">
        <v>27815617</v>
      </c>
      <c r="B183" t="s">
        <v>17</v>
      </c>
      <c r="C183" s="4">
        <v>44771.270374050917</v>
      </c>
      <c r="D183" t="s">
        <v>779</v>
      </c>
      <c r="E183" t="s">
        <v>72</v>
      </c>
      <c r="F183" t="s">
        <v>49</v>
      </c>
      <c r="G183" t="s">
        <v>73</v>
      </c>
      <c r="H183" t="s">
        <v>25</v>
      </c>
      <c r="I183" t="s">
        <v>21</v>
      </c>
      <c r="J183" t="s">
        <v>231</v>
      </c>
    </row>
    <row r="184" spans="1:10" x14ac:dyDescent="0.25">
      <c r="A184">
        <v>27817882</v>
      </c>
      <c r="B184" t="s">
        <v>17</v>
      </c>
      <c r="C184" s="4">
        <v>44771.308104722222</v>
      </c>
      <c r="D184" t="s">
        <v>713</v>
      </c>
      <c r="E184" t="s">
        <v>38</v>
      </c>
      <c r="F184" t="s">
        <v>31</v>
      </c>
      <c r="G184" t="s">
        <v>159</v>
      </c>
      <c r="H184" t="s">
        <v>40</v>
      </c>
      <c r="I184" t="s">
        <v>21</v>
      </c>
      <c r="J184" t="s">
        <v>288</v>
      </c>
    </row>
    <row r="185" spans="1:10" x14ac:dyDescent="0.25">
      <c r="A185">
        <v>27815646</v>
      </c>
      <c r="B185" t="s">
        <v>17</v>
      </c>
      <c r="C185" s="4">
        <v>44771.270921574083</v>
      </c>
      <c r="D185" t="s">
        <v>789</v>
      </c>
      <c r="E185" t="s">
        <v>129</v>
      </c>
      <c r="F185" t="s">
        <v>49</v>
      </c>
      <c r="G185" t="s">
        <v>359</v>
      </c>
      <c r="H185" t="s">
        <v>239</v>
      </c>
      <c r="I185" t="s">
        <v>21</v>
      </c>
      <c r="J185" t="s">
        <v>251</v>
      </c>
    </row>
    <row r="186" spans="1:10" x14ac:dyDescent="0.25">
      <c r="A186">
        <v>27815649</v>
      </c>
      <c r="B186" t="s">
        <v>17</v>
      </c>
      <c r="C186" s="4">
        <v>44771.270929351849</v>
      </c>
      <c r="D186" t="s">
        <v>789</v>
      </c>
      <c r="E186" t="s">
        <v>129</v>
      </c>
      <c r="F186" t="s">
        <v>49</v>
      </c>
      <c r="G186" t="s">
        <v>359</v>
      </c>
      <c r="H186" t="s">
        <v>240</v>
      </c>
      <c r="I186" t="s">
        <v>21</v>
      </c>
      <c r="J186" t="s">
        <v>251</v>
      </c>
    </row>
    <row r="187" spans="1:10" x14ac:dyDescent="0.25">
      <c r="A187">
        <v>27815652</v>
      </c>
      <c r="B187" t="s">
        <v>17</v>
      </c>
      <c r="C187" s="4">
        <v>44771.270946168981</v>
      </c>
      <c r="F187" t="s">
        <v>55</v>
      </c>
      <c r="G187" t="s">
        <v>403</v>
      </c>
      <c r="H187" t="s">
        <v>81</v>
      </c>
      <c r="I187" t="s">
        <v>21</v>
      </c>
    </row>
    <row r="188" spans="1:10" x14ac:dyDescent="0.25">
      <c r="A188">
        <v>27815654</v>
      </c>
      <c r="B188" t="s">
        <v>17</v>
      </c>
      <c r="C188" s="4">
        <v>44771.270946400473</v>
      </c>
      <c r="F188" t="s">
        <v>55</v>
      </c>
      <c r="G188" t="s">
        <v>403</v>
      </c>
      <c r="H188" t="s">
        <v>93</v>
      </c>
      <c r="I188" t="s">
        <v>21</v>
      </c>
    </row>
    <row r="189" spans="1:10" x14ac:dyDescent="0.25">
      <c r="A189">
        <v>27815673</v>
      </c>
      <c r="B189" t="s">
        <v>17</v>
      </c>
      <c r="C189" s="4">
        <v>44771.271126145832</v>
      </c>
      <c r="F189" t="s">
        <v>52</v>
      </c>
      <c r="G189" t="s">
        <v>69</v>
      </c>
      <c r="H189" t="s">
        <v>81</v>
      </c>
      <c r="I189" t="s">
        <v>21</v>
      </c>
      <c r="J189" t="s">
        <v>808</v>
      </c>
    </row>
    <row r="190" spans="1:10" x14ac:dyDescent="0.25">
      <c r="A190">
        <v>27815676</v>
      </c>
      <c r="B190" t="s">
        <v>17</v>
      </c>
      <c r="C190" s="4">
        <v>44771.27112662037</v>
      </c>
      <c r="D190" t="s">
        <v>754</v>
      </c>
      <c r="E190" t="s">
        <v>22</v>
      </c>
      <c r="F190" t="s">
        <v>23</v>
      </c>
      <c r="G190" t="s">
        <v>180</v>
      </c>
      <c r="H190" t="s">
        <v>222</v>
      </c>
      <c r="I190" t="s">
        <v>21</v>
      </c>
      <c r="J190" t="s">
        <v>476</v>
      </c>
    </row>
    <row r="191" spans="1:10" x14ac:dyDescent="0.25">
      <c r="A191">
        <v>27815678</v>
      </c>
      <c r="B191" t="s">
        <v>17</v>
      </c>
      <c r="C191" s="4">
        <v>44771.271126724539</v>
      </c>
      <c r="F191" t="s">
        <v>52</v>
      </c>
      <c r="G191" t="s">
        <v>69</v>
      </c>
      <c r="H191" t="s">
        <v>93</v>
      </c>
      <c r="I191" t="s">
        <v>21</v>
      </c>
    </row>
    <row r="192" spans="1:10" x14ac:dyDescent="0.25">
      <c r="A192">
        <v>27815682</v>
      </c>
      <c r="B192" t="s">
        <v>17</v>
      </c>
      <c r="C192" s="4">
        <v>44771.271128402783</v>
      </c>
      <c r="D192" t="s">
        <v>809</v>
      </c>
      <c r="E192" t="s">
        <v>22</v>
      </c>
      <c r="F192" t="s">
        <v>57</v>
      </c>
      <c r="G192" t="s">
        <v>270</v>
      </c>
      <c r="H192" t="s">
        <v>126</v>
      </c>
      <c r="I192" t="s">
        <v>21</v>
      </c>
      <c r="J192" t="s">
        <v>488</v>
      </c>
    </row>
    <row r="193" spans="1:10" x14ac:dyDescent="0.25">
      <c r="A193">
        <v>27815684</v>
      </c>
      <c r="B193" t="s">
        <v>17</v>
      </c>
      <c r="C193" s="4">
        <v>44771.271129305547</v>
      </c>
      <c r="D193" t="s">
        <v>754</v>
      </c>
      <c r="E193" t="s">
        <v>22</v>
      </c>
      <c r="F193" t="s">
        <v>23</v>
      </c>
      <c r="G193" t="s">
        <v>180</v>
      </c>
      <c r="H193" t="s">
        <v>223</v>
      </c>
      <c r="I193" t="s">
        <v>21</v>
      </c>
      <c r="J193" t="s">
        <v>476</v>
      </c>
    </row>
    <row r="194" spans="1:10" x14ac:dyDescent="0.25">
      <c r="A194">
        <v>27815685</v>
      </c>
      <c r="B194" t="s">
        <v>17</v>
      </c>
      <c r="C194" s="4">
        <v>44771.27113108796</v>
      </c>
      <c r="D194" t="s">
        <v>809</v>
      </c>
      <c r="E194" t="s">
        <v>22</v>
      </c>
      <c r="F194" t="s">
        <v>57</v>
      </c>
      <c r="G194" t="s">
        <v>270</v>
      </c>
      <c r="H194" t="s">
        <v>127</v>
      </c>
      <c r="I194" t="s">
        <v>21</v>
      </c>
    </row>
    <row r="195" spans="1:10" x14ac:dyDescent="0.25">
      <c r="A195">
        <v>27815702</v>
      </c>
      <c r="B195" t="s">
        <v>17</v>
      </c>
      <c r="C195" s="4">
        <v>44771.271135162038</v>
      </c>
      <c r="E195" t="s">
        <v>38</v>
      </c>
      <c r="F195" t="s">
        <v>33</v>
      </c>
      <c r="G195" t="s">
        <v>34</v>
      </c>
      <c r="H195" t="s">
        <v>126</v>
      </c>
      <c r="I195" t="s">
        <v>21</v>
      </c>
    </row>
    <row r="196" spans="1:10" x14ac:dyDescent="0.25">
      <c r="A196">
        <v>27815704</v>
      </c>
      <c r="B196" t="s">
        <v>17</v>
      </c>
      <c r="C196" s="4">
        <v>44771.271135844909</v>
      </c>
      <c r="E196" t="s">
        <v>38</v>
      </c>
      <c r="F196" t="s">
        <v>33</v>
      </c>
      <c r="G196" t="s">
        <v>34</v>
      </c>
      <c r="H196" t="s">
        <v>127</v>
      </c>
      <c r="I196" t="s">
        <v>21</v>
      </c>
    </row>
    <row r="197" spans="1:10" x14ac:dyDescent="0.25">
      <c r="A197">
        <v>27815707</v>
      </c>
      <c r="B197" t="s">
        <v>17</v>
      </c>
      <c r="C197" s="4">
        <v>44771.27113966435</v>
      </c>
      <c r="D197" t="s">
        <v>810</v>
      </c>
      <c r="E197" t="s">
        <v>22</v>
      </c>
      <c r="F197" t="s">
        <v>23</v>
      </c>
      <c r="G197" t="s">
        <v>24</v>
      </c>
      <c r="H197" t="s">
        <v>42</v>
      </c>
      <c r="I197" t="s">
        <v>21</v>
      </c>
      <c r="J197" t="s">
        <v>522</v>
      </c>
    </row>
    <row r="198" spans="1:10" x14ac:dyDescent="0.25">
      <c r="A198">
        <v>27815716</v>
      </c>
      <c r="B198" t="s">
        <v>17</v>
      </c>
      <c r="C198" s="4">
        <v>44771.271295115737</v>
      </c>
      <c r="D198" t="s">
        <v>761</v>
      </c>
      <c r="E198" t="s">
        <v>38</v>
      </c>
      <c r="F198" t="s">
        <v>31</v>
      </c>
      <c r="G198" t="s">
        <v>141</v>
      </c>
      <c r="H198" t="s">
        <v>40</v>
      </c>
      <c r="I198" t="s">
        <v>21</v>
      </c>
      <c r="J198" t="s">
        <v>144</v>
      </c>
    </row>
    <row r="199" spans="1:10" x14ac:dyDescent="0.25">
      <c r="A199">
        <v>27815719</v>
      </c>
      <c r="B199" t="s">
        <v>17</v>
      </c>
      <c r="C199" s="4">
        <v>44771.271335763893</v>
      </c>
      <c r="D199" t="s">
        <v>811</v>
      </c>
      <c r="E199" t="s">
        <v>62</v>
      </c>
      <c r="F199" t="s">
        <v>57</v>
      </c>
      <c r="G199" t="s">
        <v>292</v>
      </c>
      <c r="H199" t="s">
        <v>29</v>
      </c>
      <c r="I199" t="s">
        <v>21</v>
      </c>
      <c r="J199" t="s">
        <v>812</v>
      </c>
    </row>
    <row r="200" spans="1:10" x14ac:dyDescent="0.25">
      <c r="A200">
        <v>27806501</v>
      </c>
      <c r="B200" t="s">
        <v>17</v>
      </c>
      <c r="C200" s="4">
        <v>44771.104424340279</v>
      </c>
      <c r="D200" t="s">
        <v>750</v>
      </c>
      <c r="E200" t="s">
        <v>38</v>
      </c>
      <c r="F200" t="s">
        <v>57</v>
      </c>
      <c r="G200" t="s">
        <v>190</v>
      </c>
      <c r="H200" t="s">
        <v>25</v>
      </c>
      <c r="I200" t="s">
        <v>21</v>
      </c>
      <c r="J200" t="s">
        <v>751</v>
      </c>
    </row>
    <row r="201" spans="1:10" x14ac:dyDescent="0.25">
      <c r="A201">
        <v>27815734</v>
      </c>
      <c r="B201" t="s">
        <v>17</v>
      </c>
      <c r="C201" s="4">
        <v>44771.271414432871</v>
      </c>
      <c r="F201" t="s">
        <v>52</v>
      </c>
      <c r="G201" t="s">
        <v>53</v>
      </c>
      <c r="H201" t="s">
        <v>81</v>
      </c>
      <c r="I201" t="s">
        <v>21</v>
      </c>
      <c r="J201" t="s">
        <v>813</v>
      </c>
    </row>
    <row r="202" spans="1:10" x14ac:dyDescent="0.25">
      <c r="A202">
        <v>27815736</v>
      </c>
      <c r="B202" t="s">
        <v>17</v>
      </c>
      <c r="C202" s="4">
        <v>44771.271414803239</v>
      </c>
      <c r="F202" t="s">
        <v>52</v>
      </c>
      <c r="G202" t="s">
        <v>53</v>
      </c>
      <c r="H202" t="s">
        <v>93</v>
      </c>
      <c r="I202" t="s">
        <v>21</v>
      </c>
    </row>
    <row r="203" spans="1:10" x14ac:dyDescent="0.25">
      <c r="A203">
        <v>27815754</v>
      </c>
      <c r="B203" t="s">
        <v>17</v>
      </c>
      <c r="C203" s="4">
        <v>44771.271670567126</v>
      </c>
      <c r="D203" t="s">
        <v>761</v>
      </c>
      <c r="E203" t="s">
        <v>38</v>
      </c>
      <c r="F203" t="s">
        <v>31</v>
      </c>
      <c r="G203" t="s">
        <v>141</v>
      </c>
      <c r="H203" t="s">
        <v>25</v>
      </c>
      <c r="I203" t="s">
        <v>21</v>
      </c>
      <c r="J203" t="s">
        <v>144</v>
      </c>
    </row>
    <row r="204" spans="1:10" x14ac:dyDescent="0.25">
      <c r="A204">
        <v>27815767</v>
      </c>
      <c r="B204" t="s">
        <v>17</v>
      </c>
      <c r="C204" s="4">
        <v>44771.271901354157</v>
      </c>
      <c r="D204" t="s">
        <v>780</v>
      </c>
      <c r="E204" t="s">
        <v>123</v>
      </c>
      <c r="F204" t="s">
        <v>49</v>
      </c>
      <c r="G204" t="s">
        <v>146</v>
      </c>
      <c r="H204" t="s">
        <v>54</v>
      </c>
      <c r="I204" t="s">
        <v>21</v>
      </c>
      <c r="J204" t="s">
        <v>781</v>
      </c>
    </row>
    <row r="205" spans="1:10" x14ac:dyDescent="0.25">
      <c r="A205">
        <v>27815778</v>
      </c>
      <c r="B205" t="s">
        <v>17</v>
      </c>
      <c r="C205" s="4">
        <v>44771.272110659716</v>
      </c>
      <c r="D205" t="s">
        <v>786</v>
      </c>
      <c r="E205" t="s">
        <v>129</v>
      </c>
      <c r="F205" t="s">
        <v>49</v>
      </c>
      <c r="G205" t="s">
        <v>84</v>
      </c>
      <c r="H205" t="s">
        <v>40</v>
      </c>
      <c r="I205" t="s">
        <v>21</v>
      </c>
      <c r="J205" t="s">
        <v>214</v>
      </c>
    </row>
    <row r="206" spans="1:10" x14ac:dyDescent="0.25">
      <c r="A206">
        <v>27815804</v>
      </c>
      <c r="B206" t="s">
        <v>17</v>
      </c>
      <c r="C206" s="4">
        <v>44771.272650659717</v>
      </c>
      <c r="D206" t="s">
        <v>786</v>
      </c>
      <c r="E206" t="s">
        <v>129</v>
      </c>
      <c r="F206" t="s">
        <v>49</v>
      </c>
      <c r="G206" t="s">
        <v>84</v>
      </c>
      <c r="H206" t="s">
        <v>25</v>
      </c>
      <c r="I206" t="s">
        <v>21</v>
      </c>
      <c r="J206" t="s">
        <v>214</v>
      </c>
    </row>
    <row r="207" spans="1:10" x14ac:dyDescent="0.25">
      <c r="A207">
        <v>27815821</v>
      </c>
      <c r="B207" t="s">
        <v>17</v>
      </c>
      <c r="C207" s="4">
        <v>44771.272842384256</v>
      </c>
      <c r="D207" t="s">
        <v>780</v>
      </c>
      <c r="E207" t="s">
        <v>123</v>
      </c>
      <c r="F207" t="s">
        <v>49</v>
      </c>
      <c r="G207" t="s">
        <v>146</v>
      </c>
      <c r="H207" t="s">
        <v>40</v>
      </c>
      <c r="I207" t="s">
        <v>21</v>
      </c>
      <c r="J207" t="s">
        <v>781</v>
      </c>
    </row>
    <row r="208" spans="1:10" x14ac:dyDescent="0.25">
      <c r="A208">
        <v>27815830</v>
      </c>
      <c r="B208" t="s">
        <v>17</v>
      </c>
      <c r="C208" s="4">
        <v>44771.273238298607</v>
      </c>
      <c r="D208" t="s">
        <v>814</v>
      </c>
      <c r="E208" t="s">
        <v>38</v>
      </c>
      <c r="F208" t="s">
        <v>31</v>
      </c>
      <c r="G208" t="s">
        <v>112</v>
      </c>
      <c r="H208" t="s">
        <v>29</v>
      </c>
      <c r="I208" t="s">
        <v>21</v>
      </c>
      <c r="J208" t="s">
        <v>815</v>
      </c>
    </row>
    <row r="209" spans="1:10" x14ac:dyDescent="0.25">
      <c r="A209">
        <v>27815840</v>
      </c>
      <c r="B209" t="s">
        <v>17</v>
      </c>
      <c r="C209" s="4">
        <v>44771.273281875001</v>
      </c>
      <c r="D209" t="s">
        <v>780</v>
      </c>
      <c r="E209" t="s">
        <v>123</v>
      </c>
      <c r="F209" t="s">
        <v>49</v>
      </c>
      <c r="G209" t="s">
        <v>146</v>
      </c>
      <c r="H209" t="s">
        <v>25</v>
      </c>
      <c r="I209" t="s">
        <v>21</v>
      </c>
      <c r="J209" t="s">
        <v>781</v>
      </c>
    </row>
    <row r="210" spans="1:10" x14ac:dyDescent="0.25">
      <c r="A210">
        <v>27815864</v>
      </c>
      <c r="B210" t="s">
        <v>17</v>
      </c>
      <c r="C210" s="4">
        <v>44771.273685555563</v>
      </c>
      <c r="D210" t="s">
        <v>798</v>
      </c>
      <c r="E210" t="s">
        <v>62</v>
      </c>
      <c r="F210" t="s">
        <v>18</v>
      </c>
      <c r="G210" t="s">
        <v>102</v>
      </c>
      <c r="H210" t="s">
        <v>40</v>
      </c>
      <c r="I210" t="s">
        <v>21</v>
      </c>
      <c r="J210" t="s">
        <v>799</v>
      </c>
    </row>
    <row r="211" spans="1:10" x14ac:dyDescent="0.25">
      <c r="A211">
        <v>27815873</v>
      </c>
      <c r="B211" t="s">
        <v>17</v>
      </c>
      <c r="C211" s="4">
        <v>44771.273994421303</v>
      </c>
      <c r="D211" t="s">
        <v>789</v>
      </c>
      <c r="E211" t="s">
        <v>129</v>
      </c>
      <c r="F211" t="s">
        <v>49</v>
      </c>
      <c r="G211" t="s">
        <v>359</v>
      </c>
      <c r="H211" t="s">
        <v>40</v>
      </c>
      <c r="I211" t="s">
        <v>21</v>
      </c>
      <c r="J211" t="s">
        <v>251</v>
      </c>
    </row>
    <row r="212" spans="1:10" x14ac:dyDescent="0.25">
      <c r="A212">
        <v>27815880</v>
      </c>
      <c r="B212" t="s">
        <v>17</v>
      </c>
      <c r="C212" s="4">
        <v>44771.274148379627</v>
      </c>
      <c r="D212" t="s">
        <v>816</v>
      </c>
      <c r="E212" t="s">
        <v>27</v>
      </c>
      <c r="F212" t="s">
        <v>18</v>
      </c>
      <c r="G212" t="s">
        <v>415</v>
      </c>
      <c r="H212" t="s">
        <v>42</v>
      </c>
      <c r="I212" t="s">
        <v>21</v>
      </c>
      <c r="J212" t="s">
        <v>125</v>
      </c>
    </row>
    <row r="213" spans="1:10" x14ac:dyDescent="0.25">
      <c r="A213">
        <v>27815890</v>
      </c>
      <c r="B213" t="s">
        <v>17</v>
      </c>
      <c r="C213" s="4">
        <v>44771.274296400457</v>
      </c>
      <c r="D213" t="s">
        <v>817</v>
      </c>
      <c r="E213" t="s">
        <v>38</v>
      </c>
      <c r="F213" t="s">
        <v>31</v>
      </c>
      <c r="G213" t="s">
        <v>86</v>
      </c>
      <c r="H213" t="s">
        <v>29</v>
      </c>
      <c r="I213" t="s">
        <v>21</v>
      </c>
      <c r="J213" t="s">
        <v>104</v>
      </c>
    </row>
    <row r="214" spans="1:10" x14ac:dyDescent="0.25">
      <c r="A214">
        <v>27815901</v>
      </c>
      <c r="B214" t="s">
        <v>17</v>
      </c>
      <c r="C214" s="4">
        <v>44771.274344872683</v>
      </c>
      <c r="D214" t="s">
        <v>798</v>
      </c>
      <c r="E214" t="s">
        <v>62</v>
      </c>
      <c r="F214" t="s">
        <v>18</v>
      </c>
      <c r="G214" t="s">
        <v>102</v>
      </c>
      <c r="H214" t="s">
        <v>25</v>
      </c>
      <c r="I214" t="s">
        <v>21</v>
      </c>
      <c r="J214" t="s">
        <v>799</v>
      </c>
    </row>
    <row r="215" spans="1:10" x14ac:dyDescent="0.25">
      <c r="A215">
        <v>27818045</v>
      </c>
      <c r="B215" t="s">
        <v>17</v>
      </c>
      <c r="C215" s="4">
        <v>44771.310711331018</v>
      </c>
      <c r="D215" t="s">
        <v>723</v>
      </c>
      <c r="E215" t="s">
        <v>129</v>
      </c>
      <c r="F215" t="s">
        <v>49</v>
      </c>
      <c r="G215" t="s">
        <v>50</v>
      </c>
      <c r="H215" t="s">
        <v>40</v>
      </c>
      <c r="I215" t="s">
        <v>21</v>
      </c>
      <c r="J215" t="s">
        <v>724</v>
      </c>
    </row>
    <row r="216" spans="1:10" x14ac:dyDescent="0.25">
      <c r="A216">
        <v>27818048</v>
      </c>
      <c r="B216" t="s">
        <v>17</v>
      </c>
      <c r="C216" s="4">
        <v>44771.310839259262</v>
      </c>
      <c r="D216" t="s">
        <v>730</v>
      </c>
      <c r="E216" t="s">
        <v>27</v>
      </c>
      <c r="F216" t="s">
        <v>18</v>
      </c>
      <c r="G216" t="s">
        <v>380</v>
      </c>
      <c r="H216" t="s">
        <v>40</v>
      </c>
      <c r="I216" t="s">
        <v>21</v>
      </c>
      <c r="J216" t="s">
        <v>731</v>
      </c>
    </row>
    <row r="217" spans="1:10" x14ac:dyDescent="0.25">
      <c r="A217">
        <v>27815924</v>
      </c>
      <c r="B217" t="s">
        <v>17</v>
      </c>
      <c r="C217" s="4">
        <v>44771.274509178242</v>
      </c>
      <c r="D217" t="s">
        <v>816</v>
      </c>
      <c r="E217" t="s">
        <v>27</v>
      </c>
      <c r="F217" t="s">
        <v>18</v>
      </c>
      <c r="G217" t="s">
        <v>415</v>
      </c>
      <c r="H217" t="s">
        <v>54</v>
      </c>
      <c r="I217" t="s">
        <v>21</v>
      </c>
      <c r="J217" t="s">
        <v>125</v>
      </c>
    </row>
    <row r="218" spans="1:10" x14ac:dyDescent="0.25">
      <c r="A218">
        <v>27815933</v>
      </c>
      <c r="B218" t="s">
        <v>17</v>
      </c>
      <c r="C218" s="4">
        <v>44771.27460109954</v>
      </c>
      <c r="D218" t="s">
        <v>818</v>
      </c>
      <c r="E218" t="s">
        <v>22</v>
      </c>
      <c r="F218" t="s">
        <v>31</v>
      </c>
      <c r="G218" t="s">
        <v>209</v>
      </c>
      <c r="H218" t="s">
        <v>29</v>
      </c>
      <c r="I218" t="s">
        <v>21</v>
      </c>
    </row>
    <row r="219" spans="1:10" x14ac:dyDescent="0.25">
      <c r="A219">
        <v>27815936</v>
      </c>
      <c r="B219" t="s">
        <v>17</v>
      </c>
      <c r="C219" s="4">
        <v>44771.274609560183</v>
      </c>
      <c r="D219" t="s">
        <v>789</v>
      </c>
      <c r="E219" t="s">
        <v>129</v>
      </c>
      <c r="F219" t="s">
        <v>49</v>
      </c>
      <c r="G219" t="s">
        <v>359</v>
      </c>
      <c r="H219" t="s">
        <v>25</v>
      </c>
      <c r="I219" t="s">
        <v>21</v>
      </c>
      <c r="J219" t="s">
        <v>251</v>
      </c>
    </row>
    <row r="220" spans="1:10" x14ac:dyDescent="0.25">
      <c r="A220">
        <v>27806526</v>
      </c>
      <c r="B220" t="s">
        <v>17</v>
      </c>
      <c r="C220" s="4">
        <v>44771.10476746528</v>
      </c>
      <c r="D220" t="s">
        <v>806</v>
      </c>
      <c r="E220" t="s">
        <v>22</v>
      </c>
      <c r="F220" t="s">
        <v>23</v>
      </c>
      <c r="G220" t="s">
        <v>225</v>
      </c>
      <c r="H220" t="s">
        <v>54</v>
      </c>
      <c r="I220" t="s">
        <v>21</v>
      </c>
      <c r="J220" t="s">
        <v>281</v>
      </c>
    </row>
    <row r="221" spans="1:10" x14ac:dyDescent="0.25">
      <c r="A221">
        <v>27806578</v>
      </c>
      <c r="B221" t="s">
        <v>17</v>
      </c>
      <c r="C221" s="4">
        <v>44771.106782210649</v>
      </c>
      <c r="D221" t="s">
        <v>788</v>
      </c>
      <c r="E221" t="s">
        <v>30</v>
      </c>
      <c r="F221" t="s">
        <v>31</v>
      </c>
      <c r="G221" t="s">
        <v>32</v>
      </c>
      <c r="H221" t="s">
        <v>54</v>
      </c>
      <c r="I221" t="s">
        <v>21</v>
      </c>
      <c r="J221" t="s">
        <v>60</v>
      </c>
    </row>
    <row r="222" spans="1:10" x14ac:dyDescent="0.25">
      <c r="A222">
        <v>27806589</v>
      </c>
      <c r="B222" t="s">
        <v>17</v>
      </c>
      <c r="C222" s="4">
        <v>44771.10702693287</v>
      </c>
      <c r="D222" t="s">
        <v>769</v>
      </c>
      <c r="E222" t="s">
        <v>38</v>
      </c>
      <c r="F222" t="s">
        <v>52</v>
      </c>
      <c r="G222" t="s">
        <v>206</v>
      </c>
      <c r="H222" t="s">
        <v>40</v>
      </c>
      <c r="I222" t="s">
        <v>21</v>
      </c>
      <c r="J222" t="s">
        <v>482</v>
      </c>
    </row>
    <row r="223" spans="1:10" x14ac:dyDescent="0.25">
      <c r="A223">
        <v>27806593</v>
      </c>
      <c r="B223" t="s">
        <v>17</v>
      </c>
      <c r="C223" s="4">
        <v>44771.107192175929</v>
      </c>
      <c r="D223" t="s">
        <v>797</v>
      </c>
      <c r="E223" t="s">
        <v>22</v>
      </c>
      <c r="F223" t="s">
        <v>23</v>
      </c>
      <c r="G223" t="s">
        <v>170</v>
      </c>
      <c r="H223" t="s">
        <v>40</v>
      </c>
      <c r="I223" t="s">
        <v>21</v>
      </c>
      <c r="J223" t="s">
        <v>493</v>
      </c>
    </row>
    <row r="224" spans="1:10" x14ac:dyDescent="0.25">
      <c r="A224">
        <v>27806599</v>
      </c>
      <c r="B224" t="s">
        <v>17</v>
      </c>
      <c r="C224" s="4">
        <v>44771.107323715281</v>
      </c>
      <c r="D224" t="s">
        <v>788</v>
      </c>
      <c r="E224" t="s">
        <v>30</v>
      </c>
      <c r="F224" t="s">
        <v>31</v>
      </c>
      <c r="G224" t="s">
        <v>32</v>
      </c>
      <c r="H224" t="s">
        <v>40</v>
      </c>
      <c r="I224" t="s">
        <v>21</v>
      </c>
      <c r="J224" t="s">
        <v>60</v>
      </c>
    </row>
    <row r="225" spans="1:10" x14ac:dyDescent="0.25">
      <c r="A225">
        <v>27806603</v>
      </c>
      <c r="B225" t="s">
        <v>17</v>
      </c>
      <c r="C225" s="4">
        <v>44771.107448437499</v>
      </c>
      <c r="D225" t="s">
        <v>769</v>
      </c>
      <c r="E225" t="s">
        <v>38</v>
      </c>
      <c r="F225" t="s">
        <v>52</v>
      </c>
      <c r="G225" t="s">
        <v>206</v>
      </c>
      <c r="H225" t="s">
        <v>25</v>
      </c>
      <c r="I225" t="s">
        <v>21</v>
      </c>
      <c r="J225" t="s">
        <v>482</v>
      </c>
    </row>
    <row r="226" spans="1:10" x14ac:dyDescent="0.25">
      <c r="A226">
        <v>27806628</v>
      </c>
      <c r="B226" t="s">
        <v>17</v>
      </c>
      <c r="C226" s="4">
        <v>44771.107656030093</v>
      </c>
      <c r="D226" t="s">
        <v>797</v>
      </c>
      <c r="E226" t="s">
        <v>22</v>
      </c>
      <c r="F226" t="s">
        <v>23</v>
      </c>
      <c r="G226" t="s">
        <v>170</v>
      </c>
      <c r="H226" t="s">
        <v>25</v>
      </c>
      <c r="I226" t="s">
        <v>21</v>
      </c>
      <c r="J226" t="s">
        <v>493</v>
      </c>
    </row>
    <row r="227" spans="1:10" x14ac:dyDescent="0.25">
      <c r="A227">
        <v>27816063</v>
      </c>
      <c r="B227" t="s">
        <v>17</v>
      </c>
      <c r="C227" s="4">
        <v>44771.275189780092</v>
      </c>
      <c r="D227" t="s">
        <v>819</v>
      </c>
      <c r="E227" t="s">
        <v>38</v>
      </c>
      <c r="F227" t="s">
        <v>31</v>
      </c>
      <c r="G227" t="s">
        <v>137</v>
      </c>
      <c r="H227" t="s">
        <v>42</v>
      </c>
      <c r="I227" t="s">
        <v>21</v>
      </c>
      <c r="J227" t="s">
        <v>820</v>
      </c>
    </row>
    <row r="228" spans="1:10" x14ac:dyDescent="0.25">
      <c r="A228">
        <v>27816071</v>
      </c>
      <c r="B228" t="s">
        <v>17</v>
      </c>
      <c r="C228" s="4">
        <v>44771.275295613428</v>
      </c>
      <c r="D228" t="s">
        <v>819</v>
      </c>
      <c r="E228" t="s">
        <v>38</v>
      </c>
      <c r="F228" t="s">
        <v>31</v>
      </c>
      <c r="G228" t="s">
        <v>137</v>
      </c>
      <c r="H228" t="s">
        <v>54</v>
      </c>
      <c r="I228" t="s">
        <v>21</v>
      </c>
      <c r="J228" t="s">
        <v>820</v>
      </c>
    </row>
    <row r="229" spans="1:10" x14ac:dyDescent="0.25">
      <c r="A229">
        <v>27816076</v>
      </c>
      <c r="B229" t="s">
        <v>17</v>
      </c>
      <c r="C229" s="4">
        <v>44771.275402708343</v>
      </c>
      <c r="D229" t="s">
        <v>754</v>
      </c>
      <c r="E229" t="s">
        <v>22</v>
      </c>
      <c r="F229" t="s">
        <v>23</v>
      </c>
      <c r="G229" t="s">
        <v>180</v>
      </c>
      <c r="H229" t="s">
        <v>40</v>
      </c>
      <c r="I229" t="s">
        <v>21</v>
      </c>
      <c r="J229" t="s">
        <v>476</v>
      </c>
    </row>
    <row r="230" spans="1:10" x14ac:dyDescent="0.25">
      <c r="A230">
        <v>27806649</v>
      </c>
      <c r="B230" t="s">
        <v>17</v>
      </c>
      <c r="C230" s="4">
        <v>44771.107768657414</v>
      </c>
      <c r="D230" t="s">
        <v>821</v>
      </c>
      <c r="E230" t="s">
        <v>62</v>
      </c>
      <c r="F230" t="s">
        <v>57</v>
      </c>
      <c r="G230" t="s">
        <v>63</v>
      </c>
      <c r="H230" t="s">
        <v>42</v>
      </c>
      <c r="I230" t="s">
        <v>21</v>
      </c>
      <c r="J230" t="s">
        <v>592</v>
      </c>
    </row>
    <row r="231" spans="1:10" x14ac:dyDescent="0.25">
      <c r="A231">
        <v>27806653</v>
      </c>
      <c r="B231" t="s">
        <v>17</v>
      </c>
      <c r="C231" s="4">
        <v>44771.10781789352</v>
      </c>
      <c r="D231" t="s">
        <v>788</v>
      </c>
      <c r="E231" t="s">
        <v>30</v>
      </c>
      <c r="F231" t="s">
        <v>31</v>
      </c>
      <c r="G231" t="s">
        <v>32</v>
      </c>
      <c r="H231" t="s">
        <v>25</v>
      </c>
      <c r="I231" t="s">
        <v>21</v>
      </c>
      <c r="J231" t="s">
        <v>60</v>
      </c>
    </row>
    <row r="232" spans="1:10" x14ac:dyDescent="0.25">
      <c r="A232">
        <v>27816099</v>
      </c>
      <c r="B232" t="s">
        <v>17</v>
      </c>
      <c r="C232" s="4">
        <v>44771.275765289349</v>
      </c>
      <c r="D232" t="s">
        <v>822</v>
      </c>
      <c r="E232" t="s">
        <v>27</v>
      </c>
      <c r="F232" t="s">
        <v>18</v>
      </c>
      <c r="G232" t="s">
        <v>28</v>
      </c>
      <c r="H232" t="s">
        <v>42</v>
      </c>
      <c r="I232" t="s">
        <v>21</v>
      </c>
      <c r="J232" t="s">
        <v>823</v>
      </c>
    </row>
    <row r="233" spans="1:10" x14ac:dyDescent="0.25">
      <c r="A233">
        <v>27816108</v>
      </c>
      <c r="B233" t="s">
        <v>17</v>
      </c>
      <c r="C233" s="4">
        <v>44771.275953032397</v>
      </c>
      <c r="D233" t="s">
        <v>822</v>
      </c>
      <c r="E233" t="s">
        <v>27</v>
      </c>
      <c r="F233" t="s">
        <v>18</v>
      </c>
      <c r="G233" t="s">
        <v>28</v>
      </c>
      <c r="H233" t="s">
        <v>54</v>
      </c>
      <c r="I233" t="s">
        <v>21</v>
      </c>
      <c r="J233" t="s">
        <v>823</v>
      </c>
    </row>
    <row r="234" spans="1:10" x14ac:dyDescent="0.25">
      <c r="A234">
        <v>27816113</v>
      </c>
      <c r="B234" t="s">
        <v>17</v>
      </c>
      <c r="C234" s="4">
        <v>44771.276029108798</v>
      </c>
      <c r="D234" t="s">
        <v>824</v>
      </c>
      <c r="E234" t="s">
        <v>22</v>
      </c>
      <c r="F234" t="s">
        <v>23</v>
      </c>
      <c r="G234" t="s">
        <v>170</v>
      </c>
      <c r="H234" t="s">
        <v>29</v>
      </c>
      <c r="I234" t="s">
        <v>21</v>
      </c>
      <c r="J234" t="s">
        <v>243</v>
      </c>
    </row>
    <row r="235" spans="1:10" x14ac:dyDescent="0.25">
      <c r="A235">
        <v>27816122</v>
      </c>
      <c r="B235" t="s">
        <v>17</v>
      </c>
      <c r="C235" s="4">
        <v>44771.276113807871</v>
      </c>
      <c r="D235" t="s">
        <v>754</v>
      </c>
      <c r="E235" t="s">
        <v>22</v>
      </c>
      <c r="F235" t="s">
        <v>23</v>
      </c>
      <c r="G235" t="s">
        <v>180</v>
      </c>
      <c r="H235" t="s">
        <v>25</v>
      </c>
      <c r="I235" t="s">
        <v>21</v>
      </c>
      <c r="J235" t="s">
        <v>476</v>
      </c>
    </row>
    <row r="236" spans="1:10" x14ac:dyDescent="0.25">
      <c r="A236">
        <v>27806680</v>
      </c>
      <c r="B236" t="s">
        <v>17</v>
      </c>
      <c r="C236" s="4">
        <v>44771.108115949071</v>
      </c>
      <c r="D236" t="s">
        <v>825</v>
      </c>
      <c r="E236" t="s">
        <v>38</v>
      </c>
      <c r="F236" t="s">
        <v>52</v>
      </c>
      <c r="G236" t="s">
        <v>91</v>
      </c>
      <c r="H236" t="s">
        <v>42</v>
      </c>
      <c r="I236" t="s">
        <v>21</v>
      </c>
      <c r="J236" t="s">
        <v>456</v>
      </c>
    </row>
    <row r="237" spans="1:10" x14ac:dyDescent="0.25">
      <c r="A237">
        <v>27806688</v>
      </c>
      <c r="B237" t="s">
        <v>17</v>
      </c>
      <c r="C237" s="4">
        <v>44771.108378854173</v>
      </c>
      <c r="D237" t="s">
        <v>778</v>
      </c>
      <c r="E237" t="s">
        <v>38</v>
      </c>
      <c r="F237" t="s">
        <v>31</v>
      </c>
      <c r="G237" t="s">
        <v>150</v>
      </c>
      <c r="H237" t="s">
        <v>40</v>
      </c>
      <c r="I237" t="s">
        <v>21</v>
      </c>
      <c r="J237" t="s">
        <v>485</v>
      </c>
    </row>
    <row r="238" spans="1:10" x14ac:dyDescent="0.25">
      <c r="A238">
        <v>27806703</v>
      </c>
      <c r="B238" t="s">
        <v>17</v>
      </c>
      <c r="C238" s="4">
        <v>44771.108832673614</v>
      </c>
      <c r="D238" t="s">
        <v>825</v>
      </c>
      <c r="E238" t="s">
        <v>38</v>
      </c>
      <c r="F238" t="s">
        <v>52</v>
      </c>
      <c r="G238" t="s">
        <v>91</v>
      </c>
      <c r="H238" t="s">
        <v>54</v>
      </c>
      <c r="I238" t="s">
        <v>21</v>
      </c>
      <c r="J238" t="s">
        <v>456</v>
      </c>
    </row>
    <row r="239" spans="1:10" x14ac:dyDescent="0.25">
      <c r="A239">
        <v>27806705</v>
      </c>
      <c r="B239" t="s">
        <v>17</v>
      </c>
      <c r="C239" s="4">
        <v>44771.108855949067</v>
      </c>
      <c r="D239" t="s">
        <v>778</v>
      </c>
      <c r="E239" t="s">
        <v>38</v>
      </c>
      <c r="F239" t="s">
        <v>31</v>
      </c>
      <c r="G239" t="s">
        <v>150</v>
      </c>
      <c r="H239" t="s">
        <v>25</v>
      </c>
      <c r="I239" t="s">
        <v>21</v>
      </c>
      <c r="J239" t="s">
        <v>485</v>
      </c>
    </row>
    <row r="240" spans="1:10" x14ac:dyDescent="0.25">
      <c r="A240">
        <v>27806726</v>
      </c>
      <c r="B240" t="s">
        <v>17</v>
      </c>
      <c r="C240" s="4">
        <v>44771.109142141213</v>
      </c>
      <c r="D240" t="s">
        <v>800</v>
      </c>
      <c r="E240" t="s">
        <v>38</v>
      </c>
      <c r="F240" t="s">
        <v>23</v>
      </c>
      <c r="G240" t="s">
        <v>355</v>
      </c>
      <c r="H240" t="s">
        <v>40</v>
      </c>
      <c r="I240" t="s">
        <v>21</v>
      </c>
      <c r="J240" t="s">
        <v>801</v>
      </c>
    </row>
    <row r="241" spans="1:10" x14ac:dyDescent="0.25">
      <c r="A241">
        <v>27806729</v>
      </c>
      <c r="B241" t="s">
        <v>17</v>
      </c>
      <c r="C241" s="4">
        <v>44771.109393472223</v>
      </c>
      <c r="D241" t="s">
        <v>826</v>
      </c>
      <c r="E241" t="s">
        <v>22</v>
      </c>
      <c r="F241" t="s">
        <v>52</v>
      </c>
      <c r="G241" t="s">
        <v>410</v>
      </c>
      <c r="H241" t="s">
        <v>29</v>
      </c>
      <c r="I241" t="s">
        <v>21</v>
      </c>
    </row>
    <row r="242" spans="1:10" x14ac:dyDescent="0.25">
      <c r="A242">
        <v>27816140</v>
      </c>
      <c r="B242" t="s">
        <v>17</v>
      </c>
      <c r="C242" s="4">
        <v>44771.276204606482</v>
      </c>
      <c r="D242" t="s">
        <v>787</v>
      </c>
      <c r="E242" t="s">
        <v>22</v>
      </c>
      <c r="F242" t="s">
        <v>57</v>
      </c>
      <c r="G242" t="s">
        <v>426</v>
      </c>
      <c r="H242" t="s">
        <v>54</v>
      </c>
      <c r="I242" t="s">
        <v>21</v>
      </c>
      <c r="J242" t="s">
        <v>97</v>
      </c>
    </row>
    <row r="243" spans="1:10" x14ac:dyDescent="0.25">
      <c r="A243">
        <v>27816150</v>
      </c>
      <c r="B243" t="s">
        <v>17</v>
      </c>
      <c r="C243" s="4">
        <v>44771.276639490738</v>
      </c>
      <c r="D243" t="s">
        <v>827</v>
      </c>
      <c r="E243" t="s">
        <v>38</v>
      </c>
      <c r="F243" t="s">
        <v>23</v>
      </c>
      <c r="G243" t="s">
        <v>172</v>
      </c>
      <c r="H243" t="s">
        <v>29</v>
      </c>
      <c r="I243" t="s">
        <v>21</v>
      </c>
      <c r="J243" t="s">
        <v>828</v>
      </c>
    </row>
    <row r="244" spans="1:10" x14ac:dyDescent="0.25">
      <c r="A244">
        <v>27806737</v>
      </c>
      <c r="B244" t="s">
        <v>17</v>
      </c>
      <c r="C244" s="4">
        <v>44771.109594837973</v>
      </c>
      <c r="D244" t="s">
        <v>800</v>
      </c>
      <c r="E244" t="s">
        <v>38</v>
      </c>
      <c r="F244" t="s">
        <v>23</v>
      </c>
      <c r="G244" t="s">
        <v>355</v>
      </c>
      <c r="H244" t="s">
        <v>25</v>
      </c>
      <c r="I244" t="s">
        <v>21</v>
      </c>
      <c r="J244" t="s">
        <v>801</v>
      </c>
    </row>
    <row r="245" spans="1:10" x14ac:dyDescent="0.25">
      <c r="A245">
        <v>27816169</v>
      </c>
      <c r="B245" t="s">
        <v>17</v>
      </c>
      <c r="C245" s="4">
        <v>44771.277086481481</v>
      </c>
      <c r="D245" t="s">
        <v>804</v>
      </c>
      <c r="E245" t="s">
        <v>72</v>
      </c>
      <c r="F245" t="s">
        <v>18</v>
      </c>
      <c r="G245" t="s">
        <v>236</v>
      </c>
      <c r="H245" t="s">
        <v>40</v>
      </c>
      <c r="I245" t="s">
        <v>21</v>
      </c>
      <c r="J245" t="s">
        <v>805</v>
      </c>
    </row>
    <row r="246" spans="1:10" x14ac:dyDescent="0.25">
      <c r="A246">
        <v>27816185</v>
      </c>
      <c r="B246" t="s">
        <v>17</v>
      </c>
      <c r="C246" s="4">
        <v>44771.277516909722</v>
      </c>
      <c r="D246" t="s">
        <v>804</v>
      </c>
      <c r="E246" t="s">
        <v>72</v>
      </c>
      <c r="F246" t="s">
        <v>18</v>
      </c>
      <c r="G246" t="s">
        <v>236</v>
      </c>
      <c r="H246" t="s">
        <v>25</v>
      </c>
      <c r="I246" t="s">
        <v>21</v>
      </c>
      <c r="J246" t="s">
        <v>805</v>
      </c>
    </row>
    <row r="247" spans="1:10" x14ac:dyDescent="0.25">
      <c r="A247">
        <v>27816200</v>
      </c>
      <c r="B247" t="s">
        <v>17</v>
      </c>
      <c r="C247" s="4">
        <v>44771.277748495369</v>
      </c>
      <c r="D247" t="s">
        <v>816</v>
      </c>
      <c r="E247" t="s">
        <v>27</v>
      </c>
      <c r="F247" t="s">
        <v>18</v>
      </c>
      <c r="G247" t="s">
        <v>415</v>
      </c>
      <c r="H247" t="s">
        <v>40</v>
      </c>
      <c r="I247" t="s">
        <v>21</v>
      </c>
      <c r="J247" t="s">
        <v>125</v>
      </c>
    </row>
    <row r="248" spans="1:10" x14ac:dyDescent="0.25">
      <c r="A248">
        <v>27806749</v>
      </c>
      <c r="B248" t="s">
        <v>17</v>
      </c>
      <c r="C248" s="4">
        <v>44771.109621307871</v>
      </c>
      <c r="D248" t="s">
        <v>829</v>
      </c>
      <c r="E248" t="s">
        <v>27</v>
      </c>
      <c r="F248" t="s">
        <v>18</v>
      </c>
      <c r="G248" t="s">
        <v>273</v>
      </c>
      <c r="H248" t="s">
        <v>42</v>
      </c>
      <c r="I248" t="s">
        <v>21</v>
      </c>
      <c r="J248" t="s">
        <v>830</v>
      </c>
    </row>
    <row r="249" spans="1:10" x14ac:dyDescent="0.25">
      <c r="A249">
        <v>27806752</v>
      </c>
      <c r="B249" t="s">
        <v>17</v>
      </c>
      <c r="C249" s="4">
        <v>44771.10962638889</v>
      </c>
      <c r="D249" t="s">
        <v>831</v>
      </c>
      <c r="E249" t="s">
        <v>72</v>
      </c>
      <c r="F249" t="s">
        <v>49</v>
      </c>
      <c r="G249" t="s">
        <v>106</v>
      </c>
      <c r="H249" t="s">
        <v>29</v>
      </c>
      <c r="I249" t="s">
        <v>21</v>
      </c>
      <c r="J249" t="s">
        <v>832</v>
      </c>
    </row>
    <row r="250" spans="1:10" x14ac:dyDescent="0.25">
      <c r="A250">
        <v>27816223</v>
      </c>
      <c r="B250" t="s">
        <v>17</v>
      </c>
      <c r="C250" s="4">
        <v>44771.278044942133</v>
      </c>
      <c r="D250" t="s">
        <v>816</v>
      </c>
      <c r="E250" t="s">
        <v>27</v>
      </c>
      <c r="F250" t="s">
        <v>18</v>
      </c>
      <c r="G250" t="s">
        <v>415</v>
      </c>
      <c r="H250" t="s">
        <v>25</v>
      </c>
      <c r="I250" t="s">
        <v>21</v>
      </c>
      <c r="J250" t="s">
        <v>125</v>
      </c>
    </row>
    <row r="251" spans="1:10" x14ac:dyDescent="0.25">
      <c r="A251">
        <v>27816240</v>
      </c>
      <c r="B251" t="s">
        <v>17</v>
      </c>
      <c r="C251" s="4">
        <v>44771.278099861112</v>
      </c>
      <c r="D251" t="s">
        <v>833</v>
      </c>
      <c r="E251" t="s">
        <v>72</v>
      </c>
      <c r="F251" t="s">
        <v>49</v>
      </c>
      <c r="G251" t="s">
        <v>250</v>
      </c>
      <c r="H251" t="s">
        <v>29</v>
      </c>
      <c r="I251" t="s">
        <v>21</v>
      </c>
      <c r="J251" t="s">
        <v>834</v>
      </c>
    </row>
    <row r="252" spans="1:10" x14ac:dyDescent="0.25">
      <c r="A252">
        <v>27817897</v>
      </c>
      <c r="B252" t="s">
        <v>17</v>
      </c>
      <c r="C252" s="4">
        <v>44771.308357916663</v>
      </c>
      <c r="D252" t="s">
        <v>835</v>
      </c>
      <c r="E252" t="s">
        <v>62</v>
      </c>
      <c r="F252" t="s">
        <v>57</v>
      </c>
      <c r="G252" t="s">
        <v>421</v>
      </c>
      <c r="H252" t="s">
        <v>29</v>
      </c>
      <c r="I252" t="s">
        <v>21</v>
      </c>
      <c r="J252" t="s">
        <v>836</v>
      </c>
    </row>
    <row r="253" spans="1:10" x14ac:dyDescent="0.25">
      <c r="A253">
        <v>27816291</v>
      </c>
      <c r="B253" t="s">
        <v>17</v>
      </c>
      <c r="C253" s="4">
        <v>44771.278823356479</v>
      </c>
      <c r="D253" t="s">
        <v>837</v>
      </c>
      <c r="E253" t="s">
        <v>38</v>
      </c>
      <c r="F253" t="s">
        <v>31</v>
      </c>
      <c r="G253" t="s">
        <v>215</v>
      </c>
      <c r="H253" t="s">
        <v>29</v>
      </c>
      <c r="I253" t="s">
        <v>21</v>
      </c>
      <c r="J253" t="s">
        <v>136</v>
      </c>
    </row>
    <row r="254" spans="1:10" x14ac:dyDescent="0.25">
      <c r="A254">
        <v>27816301</v>
      </c>
      <c r="B254" t="s">
        <v>17</v>
      </c>
      <c r="C254" s="4">
        <v>44771.278886967593</v>
      </c>
      <c r="D254" t="s">
        <v>802</v>
      </c>
      <c r="E254" t="s">
        <v>27</v>
      </c>
      <c r="F254" t="s">
        <v>57</v>
      </c>
      <c r="G254" t="s">
        <v>76</v>
      </c>
      <c r="H254" t="s">
        <v>54</v>
      </c>
      <c r="I254" t="s">
        <v>21</v>
      </c>
      <c r="J254" t="s">
        <v>803</v>
      </c>
    </row>
    <row r="255" spans="1:10" x14ac:dyDescent="0.25">
      <c r="A255">
        <v>27816307</v>
      </c>
      <c r="B255" t="s">
        <v>17</v>
      </c>
      <c r="C255" s="4">
        <v>44771.278949942127</v>
      </c>
      <c r="D255" t="s">
        <v>802</v>
      </c>
      <c r="E255" t="s">
        <v>27</v>
      </c>
      <c r="F255" t="s">
        <v>57</v>
      </c>
      <c r="G255" t="s">
        <v>76</v>
      </c>
      <c r="H255" t="s">
        <v>40</v>
      </c>
      <c r="I255" t="s">
        <v>21</v>
      </c>
      <c r="J255" t="s">
        <v>803</v>
      </c>
    </row>
    <row r="256" spans="1:10" x14ac:dyDescent="0.25">
      <c r="A256">
        <v>27816313</v>
      </c>
      <c r="B256" t="s">
        <v>17</v>
      </c>
      <c r="C256" s="4">
        <v>44771.279188287037</v>
      </c>
      <c r="D256" t="s">
        <v>838</v>
      </c>
      <c r="E256" t="s">
        <v>129</v>
      </c>
      <c r="F256" t="s">
        <v>49</v>
      </c>
      <c r="G256" t="s">
        <v>192</v>
      </c>
      <c r="H256" t="s">
        <v>29</v>
      </c>
      <c r="I256" t="s">
        <v>21</v>
      </c>
      <c r="J256" t="s">
        <v>82</v>
      </c>
    </row>
    <row r="257" spans="1:10" x14ac:dyDescent="0.25">
      <c r="A257">
        <v>27816324</v>
      </c>
      <c r="B257" t="s">
        <v>17</v>
      </c>
      <c r="C257" s="4">
        <v>44771.279347175929</v>
      </c>
      <c r="D257" t="s">
        <v>802</v>
      </c>
      <c r="E257" t="s">
        <v>27</v>
      </c>
      <c r="F257" t="s">
        <v>57</v>
      </c>
      <c r="G257" t="s">
        <v>76</v>
      </c>
      <c r="H257" t="s">
        <v>25</v>
      </c>
      <c r="I257" t="s">
        <v>21</v>
      </c>
      <c r="J257" t="s">
        <v>803</v>
      </c>
    </row>
    <row r="258" spans="1:10" x14ac:dyDescent="0.25">
      <c r="A258">
        <v>27816341</v>
      </c>
      <c r="B258" t="s">
        <v>17</v>
      </c>
      <c r="C258" s="4">
        <v>44771.279414282413</v>
      </c>
      <c r="D258" t="s">
        <v>839</v>
      </c>
      <c r="E258" t="s">
        <v>587</v>
      </c>
      <c r="F258" t="s">
        <v>49</v>
      </c>
      <c r="G258" t="s">
        <v>201</v>
      </c>
      <c r="H258" t="s">
        <v>42</v>
      </c>
      <c r="I258" t="s">
        <v>21</v>
      </c>
      <c r="J258" t="s">
        <v>840</v>
      </c>
    </row>
    <row r="259" spans="1:10" x14ac:dyDescent="0.25">
      <c r="A259">
        <v>27816350</v>
      </c>
      <c r="B259" t="s">
        <v>17</v>
      </c>
      <c r="C259" s="4">
        <v>44771.279530266213</v>
      </c>
      <c r="D259" t="s">
        <v>841</v>
      </c>
      <c r="E259" t="s">
        <v>842</v>
      </c>
      <c r="F259" t="s">
        <v>18</v>
      </c>
      <c r="G259" t="s">
        <v>413</v>
      </c>
      <c r="H259" t="s">
        <v>42</v>
      </c>
      <c r="I259" t="s">
        <v>21</v>
      </c>
      <c r="J259" t="s">
        <v>843</v>
      </c>
    </row>
    <row r="260" spans="1:10" x14ac:dyDescent="0.25">
      <c r="A260">
        <v>27816359</v>
      </c>
      <c r="B260" t="s">
        <v>17</v>
      </c>
      <c r="C260" s="4">
        <v>44771.279811689812</v>
      </c>
      <c r="D260" t="s">
        <v>841</v>
      </c>
      <c r="E260" t="s">
        <v>842</v>
      </c>
      <c r="F260" t="s">
        <v>18</v>
      </c>
      <c r="G260" t="s">
        <v>413</v>
      </c>
      <c r="H260" t="s">
        <v>54</v>
      </c>
      <c r="I260" t="s">
        <v>21</v>
      </c>
      <c r="J260" t="s">
        <v>843</v>
      </c>
    </row>
    <row r="261" spans="1:10" x14ac:dyDescent="0.25">
      <c r="A261">
        <v>27816364</v>
      </c>
      <c r="B261" t="s">
        <v>17</v>
      </c>
      <c r="C261" s="4">
        <v>44771.279877835637</v>
      </c>
      <c r="D261" t="s">
        <v>841</v>
      </c>
      <c r="E261" t="s">
        <v>842</v>
      </c>
      <c r="F261" t="s">
        <v>18</v>
      </c>
      <c r="G261" t="s">
        <v>413</v>
      </c>
      <c r="H261" t="s">
        <v>118</v>
      </c>
      <c r="I261" t="s">
        <v>36</v>
      </c>
      <c r="J261" t="s">
        <v>843</v>
      </c>
    </row>
    <row r="262" spans="1:10" x14ac:dyDescent="0.25">
      <c r="A262">
        <v>27817899</v>
      </c>
      <c r="B262" t="s">
        <v>17</v>
      </c>
      <c r="C262" s="4">
        <v>44771.308360451389</v>
      </c>
      <c r="D262" t="s">
        <v>844</v>
      </c>
      <c r="E262" t="s">
        <v>30</v>
      </c>
      <c r="F262" t="s">
        <v>31</v>
      </c>
      <c r="G262" t="s">
        <v>32</v>
      </c>
      <c r="H262" t="s">
        <v>42</v>
      </c>
      <c r="I262" t="s">
        <v>21</v>
      </c>
      <c r="J262" t="s">
        <v>305</v>
      </c>
    </row>
    <row r="263" spans="1:10" x14ac:dyDescent="0.25">
      <c r="A263">
        <v>27806763</v>
      </c>
      <c r="B263" t="s">
        <v>17</v>
      </c>
      <c r="C263" s="4">
        <v>44771.109663229166</v>
      </c>
      <c r="D263" t="s">
        <v>829</v>
      </c>
      <c r="E263" t="s">
        <v>27</v>
      </c>
      <c r="F263" t="s">
        <v>18</v>
      </c>
      <c r="G263" t="s">
        <v>273</v>
      </c>
      <c r="H263" t="s">
        <v>54</v>
      </c>
      <c r="I263" t="s">
        <v>21</v>
      </c>
      <c r="J263" t="s">
        <v>830</v>
      </c>
    </row>
    <row r="264" spans="1:10" x14ac:dyDescent="0.25">
      <c r="A264">
        <v>27816401</v>
      </c>
      <c r="B264" t="s">
        <v>17</v>
      </c>
      <c r="C264" s="4">
        <v>44771.281126979156</v>
      </c>
      <c r="D264" t="s">
        <v>839</v>
      </c>
      <c r="E264" t="s">
        <v>587</v>
      </c>
      <c r="F264" t="s">
        <v>49</v>
      </c>
      <c r="G264" t="s">
        <v>201</v>
      </c>
      <c r="H264" t="s">
        <v>54</v>
      </c>
      <c r="I264" t="s">
        <v>21</v>
      </c>
      <c r="J264" t="s">
        <v>840</v>
      </c>
    </row>
    <row r="265" spans="1:10" x14ac:dyDescent="0.25">
      <c r="A265">
        <v>27806771</v>
      </c>
      <c r="B265" t="s">
        <v>17</v>
      </c>
      <c r="C265" s="4">
        <v>44771.109704641203</v>
      </c>
      <c r="D265" t="s">
        <v>806</v>
      </c>
      <c r="E265" t="s">
        <v>22</v>
      </c>
      <c r="F265" t="s">
        <v>23</v>
      </c>
      <c r="G265" t="s">
        <v>225</v>
      </c>
      <c r="H265" t="s">
        <v>40</v>
      </c>
      <c r="I265" t="s">
        <v>21</v>
      </c>
      <c r="J265" t="s">
        <v>281</v>
      </c>
    </row>
    <row r="266" spans="1:10" x14ac:dyDescent="0.25">
      <c r="A266">
        <v>27816448</v>
      </c>
      <c r="B266" t="s">
        <v>17</v>
      </c>
      <c r="C266" s="4">
        <v>44771.2821425</v>
      </c>
      <c r="F266" t="s">
        <v>52</v>
      </c>
      <c r="G266" t="s">
        <v>220</v>
      </c>
      <c r="H266" t="s">
        <v>20</v>
      </c>
      <c r="I266" t="s">
        <v>21</v>
      </c>
    </row>
    <row r="267" spans="1:10" x14ac:dyDescent="0.25">
      <c r="A267">
        <v>27806790</v>
      </c>
      <c r="B267" t="s">
        <v>17</v>
      </c>
      <c r="C267" s="4">
        <v>44771.110488726852</v>
      </c>
      <c r="D267" t="s">
        <v>845</v>
      </c>
      <c r="E267" t="s">
        <v>38</v>
      </c>
      <c r="F267" t="s">
        <v>52</v>
      </c>
      <c r="G267" t="s">
        <v>220</v>
      </c>
      <c r="H267" t="s">
        <v>42</v>
      </c>
      <c r="I267" t="s">
        <v>21</v>
      </c>
      <c r="J267" t="s">
        <v>233</v>
      </c>
    </row>
    <row r="268" spans="1:10" x14ac:dyDescent="0.25">
      <c r="A268">
        <v>27806792</v>
      </c>
      <c r="B268" t="s">
        <v>17</v>
      </c>
      <c r="C268" s="4">
        <v>44771.110489444443</v>
      </c>
      <c r="D268" t="s">
        <v>806</v>
      </c>
      <c r="E268" t="s">
        <v>22</v>
      </c>
      <c r="F268" t="s">
        <v>23</v>
      </c>
      <c r="G268" t="s">
        <v>225</v>
      </c>
      <c r="H268" t="s">
        <v>25</v>
      </c>
      <c r="I268" t="s">
        <v>21</v>
      </c>
      <c r="J268" t="s">
        <v>281</v>
      </c>
    </row>
    <row r="269" spans="1:10" x14ac:dyDescent="0.25">
      <c r="A269">
        <v>27816455</v>
      </c>
      <c r="B269" t="s">
        <v>17</v>
      </c>
      <c r="C269" s="4">
        <v>44771.282259976862</v>
      </c>
      <c r="D269" t="s">
        <v>810</v>
      </c>
      <c r="E269" t="s">
        <v>22</v>
      </c>
      <c r="F269" t="s">
        <v>23</v>
      </c>
      <c r="G269" t="s">
        <v>24</v>
      </c>
      <c r="H269" t="s">
        <v>54</v>
      </c>
      <c r="I269" t="s">
        <v>21</v>
      </c>
      <c r="J269" t="s">
        <v>522</v>
      </c>
    </row>
    <row r="270" spans="1:10" x14ac:dyDescent="0.25">
      <c r="A270">
        <v>27816468</v>
      </c>
      <c r="B270" t="s">
        <v>17</v>
      </c>
      <c r="C270" s="4">
        <v>44771.282586944442</v>
      </c>
      <c r="D270" t="s">
        <v>846</v>
      </c>
      <c r="E270" t="s">
        <v>72</v>
      </c>
      <c r="F270" t="s">
        <v>49</v>
      </c>
      <c r="G270" t="s">
        <v>359</v>
      </c>
      <c r="H270" t="s">
        <v>29</v>
      </c>
      <c r="I270" t="s">
        <v>21</v>
      </c>
      <c r="J270" t="s">
        <v>847</v>
      </c>
    </row>
    <row r="271" spans="1:10" x14ac:dyDescent="0.25">
      <c r="A271">
        <v>27816498</v>
      </c>
      <c r="B271" t="s">
        <v>17</v>
      </c>
      <c r="C271" s="4">
        <v>44771.283175729157</v>
      </c>
      <c r="D271" t="s">
        <v>848</v>
      </c>
      <c r="E271" t="s">
        <v>22</v>
      </c>
      <c r="F271" t="s">
        <v>57</v>
      </c>
      <c r="G271" t="s">
        <v>383</v>
      </c>
      <c r="H271" t="s">
        <v>42</v>
      </c>
      <c r="I271" t="s">
        <v>21</v>
      </c>
      <c r="J271" t="s">
        <v>849</v>
      </c>
    </row>
    <row r="272" spans="1:10" x14ac:dyDescent="0.25">
      <c r="A272">
        <v>27817908</v>
      </c>
      <c r="B272" t="s">
        <v>17</v>
      </c>
      <c r="C272" s="4">
        <v>44771.308458368047</v>
      </c>
      <c r="D272" t="s">
        <v>713</v>
      </c>
      <c r="E272" t="s">
        <v>38</v>
      </c>
      <c r="F272" t="s">
        <v>31</v>
      </c>
      <c r="G272" t="s">
        <v>159</v>
      </c>
      <c r="H272" t="s">
        <v>25</v>
      </c>
      <c r="I272" t="s">
        <v>21</v>
      </c>
      <c r="J272" t="s">
        <v>288</v>
      </c>
    </row>
    <row r="273" spans="1:10" x14ac:dyDescent="0.25">
      <c r="A273">
        <v>27816508</v>
      </c>
      <c r="B273" t="s">
        <v>17</v>
      </c>
      <c r="C273" s="4">
        <v>44771.283292071763</v>
      </c>
      <c r="D273" t="s">
        <v>850</v>
      </c>
      <c r="E273" t="s">
        <v>27</v>
      </c>
      <c r="F273" t="s">
        <v>18</v>
      </c>
      <c r="G273" t="s">
        <v>285</v>
      </c>
      <c r="H273" t="s">
        <v>42</v>
      </c>
      <c r="I273" t="s">
        <v>21</v>
      </c>
      <c r="J273" t="s">
        <v>851</v>
      </c>
    </row>
    <row r="274" spans="1:10" x14ac:dyDescent="0.25">
      <c r="A274">
        <v>27816514</v>
      </c>
      <c r="B274" t="s">
        <v>17</v>
      </c>
      <c r="C274" s="4">
        <v>44771.283374803243</v>
      </c>
      <c r="D274" t="s">
        <v>852</v>
      </c>
      <c r="E274" t="s">
        <v>38</v>
      </c>
      <c r="F274" t="s">
        <v>23</v>
      </c>
      <c r="G274" t="s">
        <v>337</v>
      </c>
      <c r="H274" t="s">
        <v>29</v>
      </c>
      <c r="I274" t="s">
        <v>21</v>
      </c>
      <c r="J274" t="s">
        <v>853</v>
      </c>
    </row>
    <row r="275" spans="1:10" x14ac:dyDescent="0.25">
      <c r="A275">
        <v>27806811</v>
      </c>
      <c r="B275" t="s">
        <v>17</v>
      </c>
      <c r="C275" s="4">
        <v>44771.110604814807</v>
      </c>
      <c r="D275" t="s">
        <v>854</v>
      </c>
      <c r="E275" t="s">
        <v>27</v>
      </c>
      <c r="F275" t="s">
        <v>57</v>
      </c>
      <c r="G275" t="s">
        <v>416</v>
      </c>
      <c r="H275" t="s">
        <v>42</v>
      </c>
      <c r="I275" t="s">
        <v>21</v>
      </c>
      <c r="J275" t="s">
        <v>855</v>
      </c>
    </row>
    <row r="276" spans="1:10" x14ac:dyDescent="0.25">
      <c r="A276">
        <v>27816529</v>
      </c>
      <c r="B276" t="s">
        <v>17</v>
      </c>
      <c r="C276" s="4">
        <v>44771.283465185188</v>
      </c>
      <c r="D276" t="s">
        <v>684</v>
      </c>
      <c r="E276" t="s">
        <v>72</v>
      </c>
      <c r="F276" t="s">
        <v>49</v>
      </c>
      <c r="G276" t="s">
        <v>50</v>
      </c>
      <c r="H276" t="s">
        <v>42</v>
      </c>
      <c r="I276" t="s">
        <v>21</v>
      </c>
      <c r="J276" t="s">
        <v>246</v>
      </c>
    </row>
    <row r="277" spans="1:10" x14ac:dyDescent="0.25">
      <c r="A277">
        <v>27816534</v>
      </c>
      <c r="B277" t="s">
        <v>17</v>
      </c>
      <c r="C277" s="4">
        <v>44771.283572916669</v>
      </c>
      <c r="D277" t="s">
        <v>822</v>
      </c>
      <c r="E277" t="s">
        <v>27</v>
      </c>
      <c r="F277" t="s">
        <v>18</v>
      </c>
      <c r="G277" t="s">
        <v>28</v>
      </c>
      <c r="H277" t="s">
        <v>40</v>
      </c>
      <c r="I277" t="s">
        <v>21</v>
      </c>
      <c r="J277" t="s">
        <v>823</v>
      </c>
    </row>
    <row r="278" spans="1:10" x14ac:dyDescent="0.25">
      <c r="A278">
        <v>27816543</v>
      </c>
      <c r="B278" t="s">
        <v>17</v>
      </c>
      <c r="C278" s="4">
        <v>44771.28406489583</v>
      </c>
      <c r="D278" t="s">
        <v>822</v>
      </c>
      <c r="E278" t="s">
        <v>27</v>
      </c>
      <c r="F278" t="s">
        <v>18</v>
      </c>
      <c r="G278" t="s">
        <v>28</v>
      </c>
      <c r="H278" t="s">
        <v>25</v>
      </c>
      <c r="I278" t="s">
        <v>21</v>
      </c>
      <c r="J278" t="s">
        <v>823</v>
      </c>
    </row>
    <row r="279" spans="1:10" x14ac:dyDescent="0.25">
      <c r="A279">
        <v>27816560</v>
      </c>
      <c r="B279" t="s">
        <v>17</v>
      </c>
      <c r="C279" s="4">
        <v>44771.284159814822</v>
      </c>
      <c r="D279" t="s">
        <v>693</v>
      </c>
      <c r="E279" t="s">
        <v>129</v>
      </c>
      <c r="F279" t="s">
        <v>49</v>
      </c>
      <c r="G279" t="s">
        <v>74</v>
      </c>
      <c r="H279" t="s">
        <v>42</v>
      </c>
      <c r="I279" t="s">
        <v>21</v>
      </c>
      <c r="J279" t="s">
        <v>289</v>
      </c>
    </row>
    <row r="280" spans="1:10" x14ac:dyDescent="0.25">
      <c r="A280">
        <v>27816564</v>
      </c>
      <c r="B280" t="s">
        <v>17</v>
      </c>
      <c r="C280" s="4">
        <v>44771.284238136577</v>
      </c>
      <c r="D280" t="s">
        <v>856</v>
      </c>
      <c r="E280" t="s">
        <v>72</v>
      </c>
      <c r="F280" t="s">
        <v>49</v>
      </c>
      <c r="G280" t="s">
        <v>247</v>
      </c>
      <c r="H280" t="s">
        <v>29</v>
      </c>
      <c r="I280" t="s">
        <v>21</v>
      </c>
      <c r="J280" t="s">
        <v>857</v>
      </c>
    </row>
    <row r="281" spans="1:10" x14ac:dyDescent="0.25">
      <c r="A281">
        <v>27816580</v>
      </c>
      <c r="B281" t="s">
        <v>17</v>
      </c>
      <c r="C281" s="4">
        <v>44771.284409108797</v>
      </c>
      <c r="D281" t="s">
        <v>810</v>
      </c>
      <c r="E281" t="s">
        <v>22</v>
      </c>
      <c r="F281" t="s">
        <v>23</v>
      </c>
      <c r="G281" t="s">
        <v>24</v>
      </c>
      <c r="H281" t="s">
        <v>40</v>
      </c>
      <c r="I281" t="s">
        <v>21</v>
      </c>
      <c r="J281" t="s">
        <v>522</v>
      </c>
    </row>
    <row r="282" spans="1:10" x14ac:dyDescent="0.25">
      <c r="A282">
        <v>27806840</v>
      </c>
      <c r="B282" t="s">
        <v>17</v>
      </c>
      <c r="C282" s="4">
        <v>44771.111408078701</v>
      </c>
      <c r="D282" t="s">
        <v>821</v>
      </c>
      <c r="E282" t="s">
        <v>62</v>
      </c>
      <c r="F282" t="s">
        <v>57</v>
      </c>
      <c r="G282" t="s">
        <v>63</v>
      </c>
      <c r="H282" t="s">
        <v>54</v>
      </c>
      <c r="I282" t="s">
        <v>21</v>
      </c>
      <c r="J282" t="s">
        <v>592</v>
      </c>
    </row>
    <row r="283" spans="1:10" x14ac:dyDescent="0.25">
      <c r="A283">
        <v>27806843</v>
      </c>
      <c r="B283" t="s">
        <v>17</v>
      </c>
      <c r="C283" s="4">
        <v>44771.111414930558</v>
      </c>
      <c r="D283" t="s">
        <v>858</v>
      </c>
      <c r="E283" t="s">
        <v>22</v>
      </c>
      <c r="F283" t="s">
        <v>57</v>
      </c>
      <c r="G283" t="s">
        <v>270</v>
      </c>
      <c r="H283" t="s">
        <v>42</v>
      </c>
      <c r="I283" t="s">
        <v>21</v>
      </c>
      <c r="J283" t="s">
        <v>532</v>
      </c>
    </row>
    <row r="284" spans="1:10" x14ac:dyDescent="0.25">
      <c r="A284">
        <v>27816583</v>
      </c>
      <c r="B284" t="s">
        <v>17</v>
      </c>
      <c r="C284" s="4">
        <v>44771.284559074084</v>
      </c>
      <c r="D284" t="s">
        <v>850</v>
      </c>
      <c r="E284" t="s">
        <v>27</v>
      </c>
      <c r="F284" t="s">
        <v>18</v>
      </c>
      <c r="G284" t="s">
        <v>285</v>
      </c>
      <c r="H284" t="s">
        <v>54</v>
      </c>
      <c r="I284" t="s">
        <v>21</v>
      </c>
      <c r="J284" t="s">
        <v>851</v>
      </c>
    </row>
    <row r="285" spans="1:10" x14ac:dyDescent="0.25">
      <c r="A285">
        <v>27816595</v>
      </c>
      <c r="B285" t="s">
        <v>17</v>
      </c>
      <c r="C285" s="4">
        <v>44771.284724942132</v>
      </c>
      <c r="D285" t="s">
        <v>819</v>
      </c>
      <c r="E285" t="s">
        <v>38</v>
      </c>
      <c r="F285" t="s">
        <v>31</v>
      </c>
      <c r="G285" t="s">
        <v>137</v>
      </c>
      <c r="H285" t="s">
        <v>40</v>
      </c>
      <c r="I285" t="s">
        <v>21</v>
      </c>
      <c r="J285" t="s">
        <v>820</v>
      </c>
    </row>
    <row r="286" spans="1:10" x14ac:dyDescent="0.25">
      <c r="A286">
        <v>27806852</v>
      </c>
      <c r="B286" t="s">
        <v>17</v>
      </c>
      <c r="C286" s="4">
        <v>44771.111514236109</v>
      </c>
      <c r="D286" t="s">
        <v>829</v>
      </c>
      <c r="E286" t="s">
        <v>27</v>
      </c>
      <c r="F286" t="s">
        <v>18</v>
      </c>
      <c r="G286" t="s">
        <v>273</v>
      </c>
      <c r="H286" t="s">
        <v>40</v>
      </c>
      <c r="I286" t="s">
        <v>21</v>
      </c>
      <c r="J286" t="s">
        <v>830</v>
      </c>
    </row>
    <row r="287" spans="1:10" x14ac:dyDescent="0.25">
      <c r="A287">
        <v>27806863</v>
      </c>
      <c r="B287" t="s">
        <v>17</v>
      </c>
      <c r="C287" s="4">
        <v>44771.111885555547</v>
      </c>
      <c r="D287" t="s">
        <v>829</v>
      </c>
      <c r="E287" t="s">
        <v>27</v>
      </c>
      <c r="F287" t="s">
        <v>18</v>
      </c>
      <c r="G287" t="s">
        <v>273</v>
      </c>
      <c r="H287" t="s">
        <v>25</v>
      </c>
      <c r="I287" t="s">
        <v>21</v>
      </c>
      <c r="J287" t="s">
        <v>830</v>
      </c>
    </row>
    <row r="288" spans="1:10" x14ac:dyDescent="0.25">
      <c r="A288">
        <v>27816596</v>
      </c>
      <c r="B288" t="s">
        <v>17</v>
      </c>
      <c r="C288" s="4">
        <v>44771.284731261578</v>
      </c>
      <c r="D288" t="s">
        <v>841</v>
      </c>
      <c r="E288" t="s">
        <v>842</v>
      </c>
      <c r="F288" t="s">
        <v>18</v>
      </c>
      <c r="G288" t="s">
        <v>413</v>
      </c>
      <c r="H288" t="s">
        <v>122</v>
      </c>
      <c r="I288" t="s">
        <v>36</v>
      </c>
      <c r="J288" t="s">
        <v>843</v>
      </c>
    </row>
    <row r="289" spans="1:10" x14ac:dyDescent="0.25">
      <c r="A289">
        <v>27802424</v>
      </c>
      <c r="B289" t="s">
        <v>17</v>
      </c>
      <c r="C289" s="4">
        <v>44771.000098877317</v>
      </c>
      <c r="F289" t="s">
        <v>55</v>
      </c>
      <c r="G289" t="s">
        <v>152</v>
      </c>
      <c r="H289" t="s">
        <v>116</v>
      </c>
      <c r="I289" t="s">
        <v>21</v>
      </c>
    </row>
    <row r="290" spans="1:10" x14ac:dyDescent="0.25">
      <c r="A290">
        <v>27802439</v>
      </c>
      <c r="B290" t="s">
        <v>17</v>
      </c>
      <c r="C290" s="4">
        <v>44771.00035195602</v>
      </c>
      <c r="D290" t="s">
        <v>859</v>
      </c>
      <c r="E290" t="s">
        <v>72</v>
      </c>
      <c r="F290" t="s">
        <v>49</v>
      </c>
      <c r="G290" t="s">
        <v>74</v>
      </c>
      <c r="H290" t="s">
        <v>239</v>
      </c>
      <c r="I290" t="s">
        <v>21</v>
      </c>
      <c r="J290" t="s">
        <v>513</v>
      </c>
    </row>
    <row r="291" spans="1:10" x14ac:dyDescent="0.25">
      <c r="A291">
        <v>27802440</v>
      </c>
      <c r="B291" t="s">
        <v>17</v>
      </c>
      <c r="C291" s="4">
        <v>44771.00036322917</v>
      </c>
      <c r="D291" t="s">
        <v>859</v>
      </c>
      <c r="E291" t="s">
        <v>72</v>
      </c>
      <c r="F291" t="s">
        <v>49</v>
      </c>
      <c r="G291" t="s">
        <v>74</v>
      </c>
      <c r="H291" t="s">
        <v>240</v>
      </c>
      <c r="I291" t="s">
        <v>21</v>
      </c>
      <c r="J291" t="s">
        <v>513</v>
      </c>
    </row>
    <row r="292" spans="1:10" x14ac:dyDescent="0.25">
      <c r="A292">
        <v>27802445</v>
      </c>
      <c r="B292" t="s">
        <v>17</v>
      </c>
      <c r="C292" s="4">
        <v>44771.000525856478</v>
      </c>
      <c r="D292" t="s">
        <v>860</v>
      </c>
      <c r="E292" t="s">
        <v>38</v>
      </c>
      <c r="F292" t="s">
        <v>31</v>
      </c>
      <c r="G292" t="s">
        <v>161</v>
      </c>
      <c r="H292" t="s">
        <v>25</v>
      </c>
      <c r="I292" t="s">
        <v>21</v>
      </c>
    </row>
    <row r="293" spans="1:10" x14ac:dyDescent="0.25">
      <c r="A293">
        <v>27816609</v>
      </c>
      <c r="B293" t="s">
        <v>17</v>
      </c>
      <c r="C293" s="4">
        <v>44771.284795405103</v>
      </c>
      <c r="D293" t="s">
        <v>841</v>
      </c>
      <c r="E293" t="s">
        <v>842</v>
      </c>
      <c r="F293" t="s">
        <v>18</v>
      </c>
      <c r="G293" t="s">
        <v>413</v>
      </c>
      <c r="H293" t="s">
        <v>42</v>
      </c>
      <c r="I293" t="s">
        <v>21</v>
      </c>
      <c r="J293" t="s">
        <v>843</v>
      </c>
    </row>
    <row r="294" spans="1:10" x14ac:dyDescent="0.25">
      <c r="A294">
        <v>27802458</v>
      </c>
      <c r="B294" t="s">
        <v>17</v>
      </c>
      <c r="C294" s="4">
        <v>44771.000591620374</v>
      </c>
      <c r="D294" t="s">
        <v>861</v>
      </c>
      <c r="E294" t="s">
        <v>38</v>
      </c>
      <c r="F294" t="s">
        <v>52</v>
      </c>
      <c r="G294" t="s">
        <v>77</v>
      </c>
      <c r="H294" t="s">
        <v>42</v>
      </c>
      <c r="I294" t="s">
        <v>21</v>
      </c>
      <c r="J294" t="s">
        <v>381</v>
      </c>
    </row>
    <row r="295" spans="1:10" x14ac:dyDescent="0.25">
      <c r="A295">
        <v>27802481</v>
      </c>
      <c r="B295" t="s">
        <v>17</v>
      </c>
      <c r="C295" s="4">
        <v>44771.001343807868</v>
      </c>
      <c r="D295" t="s">
        <v>862</v>
      </c>
      <c r="E295" t="s">
        <v>38</v>
      </c>
      <c r="F295" t="s">
        <v>52</v>
      </c>
      <c r="G295" t="s">
        <v>91</v>
      </c>
      <c r="H295" t="s">
        <v>42</v>
      </c>
      <c r="I295" t="s">
        <v>21</v>
      </c>
      <c r="J295" t="s">
        <v>516</v>
      </c>
    </row>
    <row r="296" spans="1:10" x14ac:dyDescent="0.25">
      <c r="A296">
        <v>27802493</v>
      </c>
      <c r="B296" t="s">
        <v>17</v>
      </c>
      <c r="C296" s="4">
        <v>44771.001575127317</v>
      </c>
      <c r="D296" t="s">
        <v>863</v>
      </c>
      <c r="E296" t="s">
        <v>38</v>
      </c>
      <c r="F296" t="s">
        <v>52</v>
      </c>
      <c r="G296" t="s">
        <v>145</v>
      </c>
      <c r="H296" t="s">
        <v>42</v>
      </c>
      <c r="I296" t="s">
        <v>21</v>
      </c>
      <c r="J296" t="s">
        <v>864</v>
      </c>
    </row>
    <row r="297" spans="1:10" x14ac:dyDescent="0.25">
      <c r="A297">
        <v>27802506</v>
      </c>
      <c r="B297" t="s">
        <v>17</v>
      </c>
      <c r="C297" s="4">
        <v>44771.002059560182</v>
      </c>
      <c r="D297" t="s">
        <v>865</v>
      </c>
      <c r="E297" t="s">
        <v>22</v>
      </c>
      <c r="F297" t="s">
        <v>52</v>
      </c>
      <c r="G297" t="s">
        <v>160</v>
      </c>
      <c r="H297" t="s">
        <v>29</v>
      </c>
      <c r="I297" t="s">
        <v>21</v>
      </c>
      <c r="J297" t="s">
        <v>390</v>
      </c>
    </row>
    <row r="298" spans="1:10" x14ac:dyDescent="0.25">
      <c r="A298">
        <v>27802513</v>
      </c>
      <c r="B298" t="s">
        <v>17</v>
      </c>
      <c r="C298" s="4">
        <v>44771.002121516212</v>
      </c>
      <c r="D298" t="s">
        <v>862</v>
      </c>
      <c r="E298" t="s">
        <v>38</v>
      </c>
      <c r="F298" t="s">
        <v>52</v>
      </c>
      <c r="G298" t="s">
        <v>91</v>
      </c>
      <c r="H298" t="s">
        <v>54</v>
      </c>
      <c r="I298" t="s">
        <v>21</v>
      </c>
      <c r="J298" t="s">
        <v>516</v>
      </c>
    </row>
    <row r="299" spans="1:10" x14ac:dyDescent="0.25">
      <c r="A299">
        <v>27802516</v>
      </c>
      <c r="B299" t="s">
        <v>17</v>
      </c>
      <c r="C299" s="4">
        <v>44771.002160289347</v>
      </c>
      <c r="D299" t="s">
        <v>861</v>
      </c>
      <c r="E299" t="s">
        <v>38</v>
      </c>
      <c r="F299" t="s">
        <v>52</v>
      </c>
      <c r="G299" t="s">
        <v>77</v>
      </c>
      <c r="H299" t="s">
        <v>54</v>
      </c>
      <c r="I299" t="s">
        <v>21</v>
      </c>
      <c r="J299" t="s">
        <v>381</v>
      </c>
    </row>
    <row r="300" spans="1:10" x14ac:dyDescent="0.25">
      <c r="A300">
        <v>27816618</v>
      </c>
      <c r="B300" t="s">
        <v>17</v>
      </c>
      <c r="C300" s="4">
        <v>44771.284850578697</v>
      </c>
      <c r="D300" t="s">
        <v>841</v>
      </c>
      <c r="E300" t="s">
        <v>842</v>
      </c>
      <c r="F300" t="s">
        <v>18</v>
      </c>
      <c r="G300" t="s">
        <v>413</v>
      </c>
      <c r="H300" t="s">
        <v>54</v>
      </c>
      <c r="I300" t="s">
        <v>21</v>
      </c>
      <c r="J300" t="s">
        <v>843</v>
      </c>
    </row>
    <row r="301" spans="1:10" x14ac:dyDescent="0.25">
      <c r="A301">
        <v>27802521</v>
      </c>
      <c r="B301" t="s">
        <v>17</v>
      </c>
      <c r="C301" s="4">
        <v>44771.002439965283</v>
      </c>
      <c r="D301" t="s">
        <v>863</v>
      </c>
      <c r="E301" t="s">
        <v>38</v>
      </c>
      <c r="F301" t="s">
        <v>52</v>
      </c>
      <c r="G301" t="s">
        <v>145</v>
      </c>
      <c r="H301" t="s">
        <v>54</v>
      </c>
      <c r="I301" t="s">
        <v>21</v>
      </c>
      <c r="J301" t="s">
        <v>864</v>
      </c>
    </row>
    <row r="302" spans="1:10" x14ac:dyDescent="0.25">
      <c r="A302">
        <v>27802530</v>
      </c>
      <c r="B302" t="s">
        <v>17</v>
      </c>
      <c r="C302" s="4">
        <v>44771.003137719897</v>
      </c>
      <c r="D302" t="s">
        <v>866</v>
      </c>
      <c r="E302" t="s">
        <v>38</v>
      </c>
      <c r="F302" t="s">
        <v>31</v>
      </c>
      <c r="G302" t="s">
        <v>39</v>
      </c>
      <c r="H302" t="s">
        <v>42</v>
      </c>
      <c r="I302" t="s">
        <v>21</v>
      </c>
      <c r="J302" t="s">
        <v>564</v>
      </c>
    </row>
    <row r="303" spans="1:10" x14ac:dyDescent="0.25">
      <c r="A303">
        <v>27802540</v>
      </c>
      <c r="B303" t="s">
        <v>17</v>
      </c>
      <c r="C303" s="4">
        <v>44771.003528402784</v>
      </c>
      <c r="D303" t="s">
        <v>867</v>
      </c>
      <c r="E303" t="s">
        <v>27</v>
      </c>
      <c r="F303" t="s">
        <v>18</v>
      </c>
      <c r="G303" t="s">
        <v>83</v>
      </c>
      <c r="H303" t="s">
        <v>40</v>
      </c>
      <c r="I303" t="s">
        <v>21</v>
      </c>
      <c r="J303" t="s">
        <v>868</v>
      </c>
    </row>
    <row r="304" spans="1:10" x14ac:dyDescent="0.25">
      <c r="A304">
        <v>27802550</v>
      </c>
      <c r="B304" t="s">
        <v>17</v>
      </c>
      <c r="C304" s="4">
        <v>44771.003615972222</v>
      </c>
      <c r="D304" t="s">
        <v>869</v>
      </c>
      <c r="E304" t="s">
        <v>38</v>
      </c>
      <c r="F304" t="s">
        <v>52</v>
      </c>
      <c r="G304" t="s">
        <v>328</v>
      </c>
      <c r="H304" t="s">
        <v>40</v>
      </c>
      <c r="I304" t="s">
        <v>21</v>
      </c>
    </row>
    <row r="305" spans="1:10" x14ac:dyDescent="0.25">
      <c r="A305">
        <v>27802556</v>
      </c>
      <c r="B305" t="s">
        <v>17</v>
      </c>
      <c r="C305" s="4">
        <v>44771.00403142361</v>
      </c>
      <c r="D305" t="s">
        <v>867</v>
      </c>
      <c r="E305" t="s">
        <v>27</v>
      </c>
      <c r="F305" t="s">
        <v>18</v>
      </c>
      <c r="G305" t="s">
        <v>83</v>
      </c>
      <c r="H305" t="s">
        <v>25</v>
      </c>
      <c r="I305" t="s">
        <v>21</v>
      </c>
      <c r="J305" t="s">
        <v>868</v>
      </c>
    </row>
    <row r="306" spans="1:10" x14ac:dyDescent="0.25">
      <c r="A306">
        <v>27802571</v>
      </c>
      <c r="B306" t="s">
        <v>17</v>
      </c>
      <c r="C306" s="4">
        <v>44771.004232002313</v>
      </c>
      <c r="D306" t="s">
        <v>869</v>
      </c>
      <c r="E306" t="s">
        <v>38</v>
      </c>
      <c r="F306" t="s">
        <v>52</v>
      </c>
      <c r="G306" t="s">
        <v>328</v>
      </c>
      <c r="H306" t="s">
        <v>25</v>
      </c>
      <c r="I306" t="s">
        <v>21</v>
      </c>
    </row>
    <row r="307" spans="1:10" x14ac:dyDescent="0.25">
      <c r="A307">
        <v>27802599</v>
      </c>
      <c r="B307" t="s">
        <v>17</v>
      </c>
      <c r="C307" s="4">
        <v>44771.005257256948</v>
      </c>
      <c r="D307" t="s">
        <v>861</v>
      </c>
      <c r="E307" t="s">
        <v>38</v>
      </c>
      <c r="F307" t="s">
        <v>52</v>
      </c>
      <c r="G307" t="s">
        <v>77</v>
      </c>
      <c r="H307" t="s">
        <v>40</v>
      </c>
      <c r="I307" t="s">
        <v>21</v>
      </c>
      <c r="J307" t="s">
        <v>381</v>
      </c>
    </row>
    <row r="308" spans="1:10" x14ac:dyDescent="0.25">
      <c r="A308">
        <v>27806879</v>
      </c>
      <c r="B308" t="s">
        <v>17</v>
      </c>
      <c r="C308" s="4">
        <v>44771.11199391204</v>
      </c>
      <c r="D308" t="s">
        <v>785</v>
      </c>
      <c r="E308" t="s">
        <v>38</v>
      </c>
      <c r="F308" t="s">
        <v>55</v>
      </c>
      <c r="G308" t="s">
        <v>99</v>
      </c>
      <c r="H308" t="s">
        <v>42</v>
      </c>
      <c r="I308" t="s">
        <v>21</v>
      </c>
      <c r="J308" t="s">
        <v>70</v>
      </c>
    </row>
    <row r="309" spans="1:10" x14ac:dyDescent="0.25">
      <c r="A309">
        <v>27802611</v>
      </c>
      <c r="B309" t="s">
        <v>17</v>
      </c>
      <c r="C309" s="4">
        <v>44771.005649479157</v>
      </c>
      <c r="D309" t="s">
        <v>861</v>
      </c>
      <c r="E309" t="s">
        <v>38</v>
      </c>
      <c r="F309" t="s">
        <v>52</v>
      </c>
      <c r="G309" t="s">
        <v>77</v>
      </c>
      <c r="H309" t="s">
        <v>25</v>
      </c>
      <c r="I309" t="s">
        <v>21</v>
      </c>
      <c r="J309" t="s">
        <v>381</v>
      </c>
    </row>
    <row r="310" spans="1:10" x14ac:dyDescent="0.25">
      <c r="A310">
        <v>27802629</v>
      </c>
      <c r="B310" t="s">
        <v>17</v>
      </c>
      <c r="C310" s="4">
        <v>44771.00604601852</v>
      </c>
      <c r="D310" t="s">
        <v>870</v>
      </c>
      <c r="E310" t="s">
        <v>38</v>
      </c>
      <c r="F310" t="s">
        <v>52</v>
      </c>
      <c r="G310" t="s">
        <v>229</v>
      </c>
      <c r="H310" t="s">
        <v>29</v>
      </c>
      <c r="I310" t="s">
        <v>21</v>
      </c>
      <c r="J310" t="s">
        <v>520</v>
      </c>
    </row>
    <row r="311" spans="1:10" x14ac:dyDescent="0.25">
      <c r="A311">
        <v>27816621</v>
      </c>
      <c r="B311" t="s">
        <v>17</v>
      </c>
      <c r="C311" s="4">
        <v>44771.284893692129</v>
      </c>
      <c r="D311" t="s">
        <v>841</v>
      </c>
      <c r="E311" t="s">
        <v>842</v>
      </c>
      <c r="F311" t="s">
        <v>18</v>
      </c>
      <c r="G311" t="s">
        <v>413</v>
      </c>
      <c r="H311" t="s">
        <v>118</v>
      </c>
      <c r="I311" t="s">
        <v>36</v>
      </c>
      <c r="J311" t="s">
        <v>843</v>
      </c>
    </row>
    <row r="312" spans="1:10" x14ac:dyDescent="0.25">
      <c r="A312">
        <v>27802645</v>
      </c>
      <c r="B312" t="s">
        <v>17</v>
      </c>
      <c r="C312" s="4">
        <v>44771.00679871528</v>
      </c>
      <c r="F312" t="s">
        <v>18</v>
      </c>
      <c r="G312" t="s">
        <v>285</v>
      </c>
      <c r="H312" t="s">
        <v>67</v>
      </c>
      <c r="I312" t="s">
        <v>21</v>
      </c>
    </row>
    <row r="313" spans="1:10" x14ac:dyDescent="0.25">
      <c r="A313">
        <v>27802648</v>
      </c>
      <c r="B313" t="s">
        <v>17</v>
      </c>
      <c r="C313" s="4">
        <v>44771.006921828703</v>
      </c>
      <c r="D313" t="s">
        <v>866</v>
      </c>
      <c r="E313" t="s">
        <v>38</v>
      </c>
      <c r="F313" t="s">
        <v>31</v>
      </c>
      <c r="G313" t="s">
        <v>39</v>
      </c>
      <c r="H313" t="s">
        <v>54</v>
      </c>
      <c r="I313" t="s">
        <v>21</v>
      </c>
      <c r="J313" t="s">
        <v>564</v>
      </c>
    </row>
    <row r="314" spans="1:10" x14ac:dyDescent="0.25">
      <c r="A314">
        <v>27802659</v>
      </c>
      <c r="B314" t="s">
        <v>17</v>
      </c>
      <c r="C314" s="4">
        <v>44771.007147604163</v>
      </c>
      <c r="F314" t="s">
        <v>18</v>
      </c>
      <c r="G314" t="s">
        <v>285</v>
      </c>
      <c r="H314" t="s">
        <v>68</v>
      </c>
      <c r="I314" t="s">
        <v>21</v>
      </c>
    </row>
    <row r="315" spans="1:10" x14ac:dyDescent="0.25">
      <c r="A315">
        <v>27802663</v>
      </c>
      <c r="B315" t="s">
        <v>17</v>
      </c>
      <c r="C315" s="4">
        <v>44771.007209131953</v>
      </c>
      <c r="F315" t="s">
        <v>18</v>
      </c>
      <c r="G315" t="s">
        <v>285</v>
      </c>
      <c r="H315" t="s">
        <v>67</v>
      </c>
      <c r="I315" t="s">
        <v>21</v>
      </c>
    </row>
    <row r="316" spans="1:10" x14ac:dyDescent="0.25">
      <c r="A316">
        <v>27802680</v>
      </c>
      <c r="B316" t="s">
        <v>17</v>
      </c>
      <c r="C316" s="4">
        <v>44771.007907002313</v>
      </c>
      <c r="D316" t="s">
        <v>859</v>
      </c>
      <c r="E316" t="s">
        <v>72</v>
      </c>
      <c r="F316" t="s">
        <v>49</v>
      </c>
      <c r="G316" t="s">
        <v>74</v>
      </c>
      <c r="H316" t="s">
        <v>40</v>
      </c>
      <c r="I316" t="s">
        <v>21</v>
      </c>
      <c r="J316" t="s">
        <v>513</v>
      </c>
    </row>
    <row r="317" spans="1:10" x14ac:dyDescent="0.25">
      <c r="A317">
        <v>27802685</v>
      </c>
      <c r="B317" t="s">
        <v>17</v>
      </c>
      <c r="C317" s="4">
        <v>44771.008089143521</v>
      </c>
      <c r="D317" t="s">
        <v>792</v>
      </c>
      <c r="E317" t="s">
        <v>22</v>
      </c>
      <c r="F317" t="s">
        <v>23</v>
      </c>
      <c r="G317" t="s">
        <v>24</v>
      </c>
      <c r="H317" t="s">
        <v>40</v>
      </c>
      <c r="I317" t="s">
        <v>21</v>
      </c>
      <c r="J317" t="s">
        <v>181</v>
      </c>
    </row>
    <row r="318" spans="1:10" x14ac:dyDescent="0.25">
      <c r="A318">
        <v>27802687</v>
      </c>
      <c r="B318" t="s">
        <v>17</v>
      </c>
      <c r="C318" s="4">
        <v>44771.008195451388</v>
      </c>
      <c r="F318" t="s">
        <v>18</v>
      </c>
      <c r="G318" t="s">
        <v>285</v>
      </c>
      <c r="H318" t="s">
        <v>68</v>
      </c>
      <c r="I318" t="s">
        <v>21</v>
      </c>
    </row>
    <row r="319" spans="1:10" x14ac:dyDescent="0.25">
      <c r="A319">
        <v>27802690</v>
      </c>
      <c r="B319" t="s">
        <v>17</v>
      </c>
      <c r="C319" s="4">
        <v>44771.008199594908</v>
      </c>
      <c r="D319" t="s">
        <v>871</v>
      </c>
      <c r="E319" t="s">
        <v>38</v>
      </c>
      <c r="F319" t="s">
        <v>52</v>
      </c>
      <c r="G319" t="s">
        <v>206</v>
      </c>
      <c r="H319" t="s">
        <v>29</v>
      </c>
      <c r="I319" t="s">
        <v>21</v>
      </c>
      <c r="J319" t="s">
        <v>872</v>
      </c>
    </row>
    <row r="320" spans="1:10" x14ac:dyDescent="0.25">
      <c r="A320">
        <v>27802700</v>
      </c>
      <c r="B320" t="s">
        <v>17</v>
      </c>
      <c r="C320" s="4">
        <v>44771.008339467589</v>
      </c>
      <c r="D320" t="s">
        <v>859</v>
      </c>
      <c r="E320" t="s">
        <v>72</v>
      </c>
      <c r="F320" t="s">
        <v>49</v>
      </c>
      <c r="G320" t="s">
        <v>74</v>
      </c>
      <c r="H320" t="s">
        <v>25</v>
      </c>
      <c r="I320" t="s">
        <v>21</v>
      </c>
      <c r="J320" t="s">
        <v>513</v>
      </c>
    </row>
    <row r="321" spans="1:10" x14ac:dyDescent="0.25">
      <c r="A321">
        <v>27802711</v>
      </c>
      <c r="B321" t="s">
        <v>17</v>
      </c>
      <c r="C321" s="4">
        <v>44771.008428159723</v>
      </c>
      <c r="F321" t="s">
        <v>18</v>
      </c>
      <c r="G321" t="s">
        <v>285</v>
      </c>
      <c r="H321" t="s">
        <v>20</v>
      </c>
      <c r="I321" t="s">
        <v>21</v>
      </c>
    </row>
    <row r="322" spans="1:10" x14ac:dyDescent="0.25">
      <c r="A322">
        <v>27802716</v>
      </c>
      <c r="B322" t="s">
        <v>17</v>
      </c>
      <c r="C322" s="4">
        <v>44771.00849177083</v>
      </c>
      <c r="D322" t="s">
        <v>873</v>
      </c>
      <c r="E322" t="s">
        <v>874</v>
      </c>
      <c r="F322" t="s">
        <v>18</v>
      </c>
      <c r="G322" t="s">
        <v>285</v>
      </c>
      <c r="H322" t="s">
        <v>118</v>
      </c>
      <c r="I322" t="s">
        <v>36</v>
      </c>
    </row>
    <row r="323" spans="1:10" x14ac:dyDescent="0.25">
      <c r="A323">
        <v>27816625</v>
      </c>
      <c r="B323" t="s">
        <v>17</v>
      </c>
      <c r="C323" s="4">
        <v>44771.284929965281</v>
      </c>
      <c r="D323" t="s">
        <v>810</v>
      </c>
      <c r="E323" t="s">
        <v>22</v>
      </c>
      <c r="F323" t="s">
        <v>23</v>
      </c>
      <c r="G323" t="s">
        <v>24</v>
      </c>
      <c r="H323" t="s">
        <v>25</v>
      </c>
      <c r="I323" t="s">
        <v>21</v>
      </c>
      <c r="J323" t="s">
        <v>522</v>
      </c>
    </row>
    <row r="324" spans="1:10" x14ac:dyDescent="0.25">
      <c r="A324">
        <v>27802721</v>
      </c>
      <c r="B324" t="s">
        <v>17</v>
      </c>
      <c r="C324" s="4">
        <v>44771.008616342588</v>
      </c>
      <c r="D324" t="s">
        <v>873</v>
      </c>
      <c r="E324" t="s">
        <v>874</v>
      </c>
      <c r="F324" t="s">
        <v>18</v>
      </c>
      <c r="G324" t="s">
        <v>285</v>
      </c>
      <c r="H324" t="s">
        <v>35</v>
      </c>
      <c r="I324" t="s">
        <v>36</v>
      </c>
    </row>
    <row r="325" spans="1:10" x14ac:dyDescent="0.25">
      <c r="A325">
        <v>27802726</v>
      </c>
      <c r="B325" t="s">
        <v>17</v>
      </c>
      <c r="C325" s="4">
        <v>44771.008732974537</v>
      </c>
      <c r="D325" t="s">
        <v>873</v>
      </c>
      <c r="E325" t="s">
        <v>874</v>
      </c>
      <c r="F325" t="s">
        <v>18</v>
      </c>
      <c r="G325" t="s">
        <v>285</v>
      </c>
      <c r="H325" t="s">
        <v>267</v>
      </c>
      <c r="I325" t="s">
        <v>21</v>
      </c>
    </row>
    <row r="326" spans="1:10" x14ac:dyDescent="0.25">
      <c r="A326">
        <v>27802731</v>
      </c>
      <c r="B326" t="s">
        <v>17</v>
      </c>
      <c r="C326" s="4">
        <v>44771.00876931713</v>
      </c>
      <c r="D326" t="s">
        <v>875</v>
      </c>
      <c r="E326" t="s">
        <v>72</v>
      </c>
      <c r="F326" t="s">
        <v>49</v>
      </c>
      <c r="G326" t="s">
        <v>247</v>
      </c>
      <c r="H326" t="s">
        <v>29</v>
      </c>
      <c r="I326" t="s">
        <v>21</v>
      </c>
      <c r="J326" t="s">
        <v>876</v>
      </c>
    </row>
    <row r="327" spans="1:10" x14ac:dyDescent="0.25">
      <c r="A327">
        <v>27802738</v>
      </c>
      <c r="B327" t="s">
        <v>17</v>
      </c>
      <c r="C327" s="4">
        <v>44771.008829375001</v>
      </c>
      <c r="D327" t="s">
        <v>792</v>
      </c>
      <c r="E327" t="s">
        <v>22</v>
      </c>
      <c r="F327" t="s">
        <v>23</v>
      </c>
      <c r="G327" t="s">
        <v>24</v>
      </c>
      <c r="H327" t="s">
        <v>25</v>
      </c>
      <c r="I327" t="s">
        <v>21</v>
      </c>
      <c r="J327" t="s">
        <v>181</v>
      </c>
    </row>
    <row r="328" spans="1:10" x14ac:dyDescent="0.25">
      <c r="A328">
        <v>27802749</v>
      </c>
      <c r="B328" t="s">
        <v>17</v>
      </c>
      <c r="C328" s="4">
        <v>44771.008911701392</v>
      </c>
      <c r="D328" t="s">
        <v>873</v>
      </c>
      <c r="E328" t="s">
        <v>874</v>
      </c>
      <c r="F328" t="s">
        <v>18</v>
      </c>
      <c r="G328" t="s">
        <v>285</v>
      </c>
      <c r="H328" t="s">
        <v>196</v>
      </c>
      <c r="I328" t="s">
        <v>21</v>
      </c>
    </row>
    <row r="329" spans="1:10" x14ac:dyDescent="0.25">
      <c r="A329">
        <v>27802758</v>
      </c>
      <c r="B329" t="s">
        <v>17</v>
      </c>
      <c r="C329" s="4">
        <v>44771.009052280089</v>
      </c>
      <c r="D329" t="s">
        <v>877</v>
      </c>
      <c r="E329" t="s">
        <v>38</v>
      </c>
      <c r="F329" t="s">
        <v>52</v>
      </c>
      <c r="G329" t="s">
        <v>408</v>
      </c>
      <c r="H329" t="s">
        <v>42</v>
      </c>
      <c r="I329" t="s">
        <v>21</v>
      </c>
      <c r="J329" t="s">
        <v>521</v>
      </c>
    </row>
    <row r="330" spans="1:10" x14ac:dyDescent="0.25">
      <c r="A330">
        <v>27802777</v>
      </c>
      <c r="B330" t="s">
        <v>17</v>
      </c>
      <c r="C330" s="4">
        <v>44771.009330000001</v>
      </c>
      <c r="D330" t="s">
        <v>878</v>
      </c>
      <c r="E330" t="s">
        <v>129</v>
      </c>
      <c r="F330" t="s">
        <v>49</v>
      </c>
      <c r="G330" t="s">
        <v>80</v>
      </c>
      <c r="H330" t="s">
        <v>42</v>
      </c>
      <c r="I330" t="s">
        <v>21</v>
      </c>
      <c r="J330" t="s">
        <v>514</v>
      </c>
    </row>
    <row r="331" spans="1:10" x14ac:dyDescent="0.25">
      <c r="A331">
        <v>27806886</v>
      </c>
      <c r="B331" t="s">
        <v>17</v>
      </c>
      <c r="C331" s="4">
        <v>44771.112177384261</v>
      </c>
      <c r="D331" t="s">
        <v>845</v>
      </c>
      <c r="E331" t="s">
        <v>38</v>
      </c>
      <c r="F331" t="s">
        <v>52</v>
      </c>
      <c r="G331" t="s">
        <v>220</v>
      </c>
      <c r="H331" t="s">
        <v>54</v>
      </c>
      <c r="I331" t="s">
        <v>21</v>
      </c>
      <c r="J331" t="s">
        <v>233</v>
      </c>
    </row>
    <row r="332" spans="1:10" x14ac:dyDescent="0.25">
      <c r="A332">
        <v>27802792</v>
      </c>
      <c r="B332" t="s">
        <v>17</v>
      </c>
      <c r="C332" s="4">
        <v>44771.010231342603</v>
      </c>
      <c r="D332" t="s">
        <v>877</v>
      </c>
      <c r="E332" t="s">
        <v>38</v>
      </c>
      <c r="F332" t="s">
        <v>52</v>
      </c>
      <c r="G332" t="s">
        <v>408</v>
      </c>
      <c r="H332" t="s">
        <v>54</v>
      </c>
      <c r="I332" t="s">
        <v>21</v>
      </c>
      <c r="J332" t="s">
        <v>521</v>
      </c>
    </row>
    <row r="333" spans="1:10" x14ac:dyDescent="0.25">
      <c r="A333">
        <v>27802795</v>
      </c>
      <c r="B333" t="s">
        <v>17</v>
      </c>
      <c r="C333" s="4">
        <v>44771.010245115744</v>
      </c>
      <c r="D333" t="s">
        <v>862</v>
      </c>
      <c r="E333" t="s">
        <v>38</v>
      </c>
      <c r="F333" t="s">
        <v>52</v>
      </c>
      <c r="G333" t="s">
        <v>91</v>
      </c>
      <c r="H333" t="s">
        <v>40</v>
      </c>
      <c r="I333" t="s">
        <v>21</v>
      </c>
      <c r="J333" t="s">
        <v>516</v>
      </c>
    </row>
    <row r="334" spans="1:10" x14ac:dyDescent="0.25">
      <c r="A334">
        <v>27802802</v>
      </c>
      <c r="B334" t="s">
        <v>17</v>
      </c>
      <c r="C334" s="4">
        <v>44771.010371701392</v>
      </c>
      <c r="D334" t="s">
        <v>879</v>
      </c>
      <c r="E334" t="s">
        <v>38</v>
      </c>
      <c r="F334" t="s">
        <v>23</v>
      </c>
      <c r="G334" t="s">
        <v>98</v>
      </c>
      <c r="H334" t="s">
        <v>42</v>
      </c>
      <c r="I334" t="s">
        <v>21</v>
      </c>
      <c r="J334" t="s">
        <v>880</v>
      </c>
    </row>
    <row r="335" spans="1:10" x14ac:dyDescent="0.25">
      <c r="A335">
        <v>27802821</v>
      </c>
      <c r="B335" t="s">
        <v>17</v>
      </c>
      <c r="C335" s="4">
        <v>44771.010842766213</v>
      </c>
      <c r="D335" t="s">
        <v>862</v>
      </c>
      <c r="E335" t="s">
        <v>38</v>
      </c>
      <c r="F335" t="s">
        <v>52</v>
      </c>
      <c r="G335" t="s">
        <v>91</v>
      </c>
      <c r="H335" t="s">
        <v>25</v>
      </c>
      <c r="I335" t="s">
        <v>21</v>
      </c>
      <c r="J335" t="s">
        <v>516</v>
      </c>
    </row>
    <row r="336" spans="1:10" x14ac:dyDescent="0.25">
      <c r="A336">
        <v>27802848</v>
      </c>
      <c r="B336" t="s">
        <v>17</v>
      </c>
      <c r="C336" s="4">
        <v>44771.011355532413</v>
      </c>
      <c r="D336" t="s">
        <v>881</v>
      </c>
      <c r="E336" t="s">
        <v>371</v>
      </c>
      <c r="F336" t="s">
        <v>49</v>
      </c>
      <c r="G336" t="s">
        <v>250</v>
      </c>
      <c r="H336" t="s">
        <v>42</v>
      </c>
      <c r="I336" t="s">
        <v>21</v>
      </c>
      <c r="J336" t="s">
        <v>507</v>
      </c>
    </row>
    <row r="337" spans="1:10" x14ac:dyDescent="0.25">
      <c r="A337">
        <v>27802858</v>
      </c>
      <c r="B337" t="s">
        <v>17</v>
      </c>
      <c r="C337" s="4">
        <v>44771.011656435177</v>
      </c>
      <c r="D337" t="s">
        <v>882</v>
      </c>
      <c r="E337" t="s">
        <v>38</v>
      </c>
      <c r="F337" t="s">
        <v>52</v>
      </c>
      <c r="G337" t="s">
        <v>94</v>
      </c>
      <c r="H337" t="s">
        <v>29</v>
      </c>
      <c r="I337" t="s">
        <v>21</v>
      </c>
      <c r="J337" t="s">
        <v>883</v>
      </c>
    </row>
    <row r="338" spans="1:10" x14ac:dyDescent="0.25">
      <c r="A338">
        <v>27802889</v>
      </c>
      <c r="B338" t="s">
        <v>17</v>
      </c>
      <c r="C338" s="4">
        <v>44771.011948819447</v>
      </c>
      <c r="D338" t="s">
        <v>866</v>
      </c>
      <c r="E338" t="s">
        <v>38</v>
      </c>
      <c r="F338" t="s">
        <v>31</v>
      </c>
      <c r="G338" t="s">
        <v>39</v>
      </c>
      <c r="H338" t="s">
        <v>40</v>
      </c>
      <c r="I338" t="s">
        <v>21</v>
      </c>
      <c r="J338" t="s">
        <v>564</v>
      </c>
    </row>
    <row r="339" spans="1:10" x14ac:dyDescent="0.25">
      <c r="A339">
        <v>27802892</v>
      </c>
      <c r="B339" t="s">
        <v>17</v>
      </c>
      <c r="C339" s="4">
        <v>44771.012159803242</v>
      </c>
      <c r="D339" t="s">
        <v>881</v>
      </c>
      <c r="E339" t="s">
        <v>371</v>
      </c>
      <c r="F339" t="s">
        <v>49</v>
      </c>
      <c r="G339" t="s">
        <v>250</v>
      </c>
      <c r="H339" t="s">
        <v>54</v>
      </c>
      <c r="I339" t="s">
        <v>21</v>
      </c>
      <c r="J339" t="s">
        <v>507</v>
      </c>
    </row>
    <row r="340" spans="1:10" x14ac:dyDescent="0.25">
      <c r="A340">
        <v>27802902</v>
      </c>
      <c r="B340" t="s">
        <v>17</v>
      </c>
      <c r="C340" s="4">
        <v>44771.012574756947</v>
      </c>
      <c r="D340" t="s">
        <v>866</v>
      </c>
      <c r="E340" t="s">
        <v>38</v>
      </c>
      <c r="F340" t="s">
        <v>31</v>
      </c>
      <c r="G340" t="s">
        <v>39</v>
      </c>
      <c r="H340" t="s">
        <v>25</v>
      </c>
      <c r="I340" t="s">
        <v>21</v>
      </c>
      <c r="J340" t="s">
        <v>564</v>
      </c>
    </row>
    <row r="341" spans="1:10" x14ac:dyDescent="0.25">
      <c r="A341">
        <v>27802915</v>
      </c>
      <c r="B341" t="s">
        <v>17</v>
      </c>
      <c r="C341" s="4">
        <v>44771.012688541668</v>
      </c>
      <c r="D341" t="s">
        <v>884</v>
      </c>
      <c r="E341" t="s">
        <v>38</v>
      </c>
      <c r="F341" t="s">
        <v>31</v>
      </c>
      <c r="G341" t="s">
        <v>157</v>
      </c>
      <c r="H341" t="s">
        <v>29</v>
      </c>
      <c r="I341" t="s">
        <v>21</v>
      </c>
      <c r="J341" t="s">
        <v>885</v>
      </c>
    </row>
    <row r="342" spans="1:10" x14ac:dyDescent="0.25">
      <c r="A342">
        <v>27802934</v>
      </c>
      <c r="B342" t="s">
        <v>17</v>
      </c>
      <c r="C342" s="4">
        <v>44771.012918055552</v>
      </c>
      <c r="D342" t="s">
        <v>886</v>
      </c>
      <c r="E342" t="s">
        <v>22</v>
      </c>
      <c r="F342" t="s">
        <v>52</v>
      </c>
      <c r="G342" t="s">
        <v>234</v>
      </c>
      <c r="H342" t="s">
        <v>42</v>
      </c>
      <c r="I342" t="s">
        <v>21</v>
      </c>
      <c r="J342" t="s">
        <v>522</v>
      </c>
    </row>
    <row r="343" spans="1:10" x14ac:dyDescent="0.25">
      <c r="A343">
        <v>27802936</v>
      </c>
      <c r="B343" t="s">
        <v>17</v>
      </c>
      <c r="C343" s="4">
        <v>44771.012925694442</v>
      </c>
      <c r="D343" t="s">
        <v>878</v>
      </c>
      <c r="E343" t="s">
        <v>129</v>
      </c>
      <c r="F343" t="s">
        <v>49</v>
      </c>
      <c r="G343" t="s">
        <v>80</v>
      </c>
      <c r="H343" t="s">
        <v>54</v>
      </c>
      <c r="I343" t="s">
        <v>21</v>
      </c>
      <c r="J343" t="s">
        <v>514</v>
      </c>
    </row>
    <row r="344" spans="1:10" x14ac:dyDescent="0.25">
      <c r="A344">
        <v>27802941</v>
      </c>
      <c r="B344" t="s">
        <v>17</v>
      </c>
      <c r="C344" s="4">
        <v>44771.013011446761</v>
      </c>
      <c r="D344" t="s">
        <v>879</v>
      </c>
      <c r="E344" t="s">
        <v>38</v>
      </c>
      <c r="F344" t="s">
        <v>23</v>
      </c>
      <c r="G344" t="s">
        <v>98</v>
      </c>
      <c r="H344" t="s">
        <v>54</v>
      </c>
      <c r="I344" t="s">
        <v>21</v>
      </c>
      <c r="J344" t="s">
        <v>880</v>
      </c>
    </row>
    <row r="345" spans="1:10" x14ac:dyDescent="0.25">
      <c r="A345">
        <v>27802959</v>
      </c>
      <c r="B345" t="s">
        <v>17</v>
      </c>
      <c r="C345" s="4">
        <v>44771.01353384259</v>
      </c>
      <c r="D345" t="s">
        <v>877</v>
      </c>
      <c r="E345" t="s">
        <v>38</v>
      </c>
      <c r="F345" t="s">
        <v>52</v>
      </c>
      <c r="G345" t="s">
        <v>408</v>
      </c>
      <c r="H345" t="s">
        <v>40</v>
      </c>
      <c r="I345" t="s">
        <v>21</v>
      </c>
      <c r="J345" t="s">
        <v>521</v>
      </c>
    </row>
    <row r="346" spans="1:10" x14ac:dyDescent="0.25">
      <c r="A346">
        <v>27802971</v>
      </c>
      <c r="B346" t="s">
        <v>17</v>
      </c>
      <c r="C346" s="4">
        <v>44771.014004618053</v>
      </c>
      <c r="D346" t="s">
        <v>877</v>
      </c>
      <c r="E346" t="s">
        <v>38</v>
      </c>
      <c r="F346" t="s">
        <v>52</v>
      </c>
      <c r="G346" t="s">
        <v>408</v>
      </c>
      <c r="H346" t="s">
        <v>25</v>
      </c>
      <c r="I346" t="s">
        <v>21</v>
      </c>
      <c r="J346" t="s">
        <v>521</v>
      </c>
    </row>
    <row r="347" spans="1:10" x14ac:dyDescent="0.25">
      <c r="A347">
        <v>27802982</v>
      </c>
      <c r="B347" t="s">
        <v>17</v>
      </c>
      <c r="C347" s="4">
        <v>44771.014017511567</v>
      </c>
      <c r="D347" t="s">
        <v>887</v>
      </c>
      <c r="E347" t="s">
        <v>38</v>
      </c>
      <c r="F347" t="s">
        <v>52</v>
      </c>
      <c r="G347" t="s">
        <v>94</v>
      </c>
      <c r="H347" t="s">
        <v>42</v>
      </c>
      <c r="I347" t="s">
        <v>21</v>
      </c>
      <c r="J347" t="s">
        <v>597</v>
      </c>
    </row>
    <row r="348" spans="1:10" x14ac:dyDescent="0.25">
      <c r="A348">
        <v>27802986</v>
      </c>
      <c r="B348" t="s">
        <v>17</v>
      </c>
      <c r="C348" s="4">
        <v>44771.014061145826</v>
      </c>
      <c r="D348" t="s">
        <v>886</v>
      </c>
      <c r="E348" t="s">
        <v>22</v>
      </c>
      <c r="F348" t="s">
        <v>52</v>
      </c>
      <c r="G348" t="s">
        <v>234</v>
      </c>
      <c r="H348" t="s">
        <v>54</v>
      </c>
      <c r="I348" t="s">
        <v>21</v>
      </c>
      <c r="J348" t="s">
        <v>522</v>
      </c>
    </row>
    <row r="349" spans="1:10" x14ac:dyDescent="0.25">
      <c r="A349">
        <v>27802991</v>
      </c>
      <c r="B349" t="s">
        <v>17</v>
      </c>
      <c r="C349" s="4">
        <v>44771.014168402777</v>
      </c>
      <c r="D349" t="s">
        <v>886</v>
      </c>
      <c r="E349" t="s">
        <v>22</v>
      </c>
      <c r="F349" t="s">
        <v>52</v>
      </c>
      <c r="G349" t="s">
        <v>234</v>
      </c>
      <c r="H349" t="s">
        <v>118</v>
      </c>
      <c r="I349" t="s">
        <v>36</v>
      </c>
      <c r="J349" t="s">
        <v>522</v>
      </c>
    </row>
    <row r="350" spans="1:10" x14ac:dyDescent="0.25">
      <c r="A350">
        <v>27802996</v>
      </c>
      <c r="B350" t="s">
        <v>17</v>
      </c>
      <c r="C350" s="4">
        <v>44771.014300601862</v>
      </c>
      <c r="D350" t="s">
        <v>863</v>
      </c>
      <c r="E350" t="s">
        <v>38</v>
      </c>
      <c r="F350" t="s">
        <v>52</v>
      </c>
      <c r="G350" t="s">
        <v>145</v>
      </c>
      <c r="H350" t="s">
        <v>40</v>
      </c>
      <c r="I350" t="s">
        <v>21</v>
      </c>
      <c r="J350" t="s">
        <v>864</v>
      </c>
    </row>
    <row r="351" spans="1:10" x14ac:dyDescent="0.25">
      <c r="A351">
        <v>27803008</v>
      </c>
      <c r="B351" t="s">
        <v>17</v>
      </c>
      <c r="C351" s="4">
        <v>44771.014741747676</v>
      </c>
      <c r="D351" t="s">
        <v>888</v>
      </c>
      <c r="E351" t="s">
        <v>38</v>
      </c>
      <c r="F351" t="s">
        <v>52</v>
      </c>
      <c r="G351" t="s">
        <v>53</v>
      </c>
      <c r="H351" t="s">
        <v>29</v>
      </c>
      <c r="I351" t="s">
        <v>21</v>
      </c>
      <c r="J351" t="s">
        <v>889</v>
      </c>
    </row>
    <row r="352" spans="1:10" x14ac:dyDescent="0.25">
      <c r="A352">
        <v>27803018</v>
      </c>
      <c r="B352" t="s">
        <v>17</v>
      </c>
      <c r="C352" s="4">
        <v>44771.014978125</v>
      </c>
      <c r="D352" t="s">
        <v>863</v>
      </c>
      <c r="E352" t="s">
        <v>38</v>
      </c>
      <c r="F352" t="s">
        <v>52</v>
      </c>
      <c r="G352" t="s">
        <v>145</v>
      </c>
      <c r="H352" t="s">
        <v>25</v>
      </c>
      <c r="I352" t="s">
        <v>21</v>
      </c>
      <c r="J352" t="s">
        <v>864</v>
      </c>
    </row>
    <row r="353" spans="1:10" x14ac:dyDescent="0.25">
      <c r="A353">
        <v>27803034</v>
      </c>
      <c r="B353" t="s">
        <v>17</v>
      </c>
      <c r="C353" s="4">
        <v>44771.015202268522</v>
      </c>
      <c r="D353" t="s">
        <v>887</v>
      </c>
      <c r="E353" t="s">
        <v>38</v>
      </c>
      <c r="F353" t="s">
        <v>52</v>
      </c>
      <c r="G353" t="s">
        <v>94</v>
      </c>
      <c r="H353" t="s">
        <v>54</v>
      </c>
      <c r="I353" t="s">
        <v>21</v>
      </c>
      <c r="J353" t="s">
        <v>597</v>
      </c>
    </row>
    <row r="354" spans="1:10" x14ac:dyDescent="0.25">
      <c r="A354">
        <v>27803038</v>
      </c>
      <c r="B354" t="s">
        <v>17</v>
      </c>
      <c r="C354" s="4">
        <v>44771.015262488429</v>
      </c>
      <c r="D354" t="s">
        <v>886</v>
      </c>
      <c r="E354" t="s">
        <v>22</v>
      </c>
      <c r="F354" t="s">
        <v>52</v>
      </c>
      <c r="G354" t="s">
        <v>234</v>
      </c>
      <c r="H354" t="s">
        <v>35</v>
      </c>
      <c r="I354" t="s">
        <v>36</v>
      </c>
      <c r="J354" t="s">
        <v>522</v>
      </c>
    </row>
    <row r="355" spans="1:10" x14ac:dyDescent="0.25">
      <c r="A355">
        <v>27803045</v>
      </c>
      <c r="B355" t="s">
        <v>17</v>
      </c>
      <c r="C355" s="4">
        <v>44771.015537939813</v>
      </c>
      <c r="D355" t="s">
        <v>890</v>
      </c>
      <c r="E355" t="s">
        <v>129</v>
      </c>
      <c r="F355" t="s">
        <v>49</v>
      </c>
      <c r="G355" t="s">
        <v>359</v>
      </c>
      <c r="H355" t="s">
        <v>29</v>
      </c>
      <c r="I355" t="s">
        <v>21</v>
      </c>
      <c r="J355" t="s">
        <v>518</v>
      </c>
    </row>
    <row r="356" spans="1:10" x14ac:dyDescent="0.25">
      <c r="A356">
        <v>27803061</v>
      </c>
      <c r="B356" t="s">
        <v>17</v>
      </c>
      <c r="C356" s="4">
        <v>44771.015727939812</v>
      </c>
      <c r="D356" t="s">
        <v>878</v>
      </c>
      <c r="E356" t="s">
        <v>129</v>
      </c>
      <c r="F356" t="s">
        <v>49</v>
      </c>
      <c r="G356" t="s">
        <v>80</v>
      </c>
      <c r="H356" t="s">
        <v>40</v>
      </c>
      <c r="I356" t="s">
        <v>21</v>
      </c>
      <c r="J356" t="s">
        <v>514</v>
      </c>
    </row>
    <row r="357" spans="1:10" x14ac:dyDescent="0.25">
      <c r="A357">
        <v>27803077</v>
      </c>
      <c r="B357" t="s">
        <v>17</v>
      </c>
      <c r="C357" s="4">
        <v>44771.016323171287</v>
      </c>
      <c r="D357" t="s">
        <v>878</v>
      </c>
      <c r="E357" t="s">
        <v>129</v>
      </c>
      <c r="F357" t="s">
        <v>49</v>
      </c>
      <c r="G357" t="s">
        <v>80</v>
      </c>
      <c r="H357" t="s">
        <v>25</v>
      </c>
      <c r="I357" t="s">
        <v>21</v>
      </c>
      <c r="J357" t="s">
        <v>514</v>
      </c>
    </row>
    <row r="358" spans="1:10" x14ac:dyDescent="0.25">
      <c r="A358">
        <v>27803093</v>
      </c>
      <c r="B358" t="s">
        <v>17</v>
      </c>
      <c r="C358" s="4">
        <v>44771.016447824077</v>
      </c>
      <c r="D358" t="s">
        <v>891</v>
      </c>
      <c r="E358" t="s">
        <v>62</v>
      </c>
      <c r="F358" t="s">
        <v>57</v>
      </c>
      <c r="G358" t="s">
        <v>297</v>
      </c>
      <c r="H358" t="s">
        <v>42</v>
      </c>
      <c r="I358" t="s">
        <v>21</v>
      </c>
      <c r="J358" t="s">
        <v>590</v>
      </c>
    </row>
    <row r="359" spans="1:10" x14ac:dyDescent="0.25">
      <c r="A359">
        <v>27803101</v>
      </c>
      <c r="B359" t="s">
        <v>17</v>
      </c>
      <c r="C359" s="4">
        <v>44771.016621840281</v>
      </c>
      <c r="D359" t="s">
        <v>892</v>
      </c>
      <c r="E359" t="s">
        <v>27</v>
      </c>
      <c r="F359" t="s">
        <v>18</v>
      </c>
      <c r="G359" t="s">
        <v>265</v>
      </c>
      <c r="H359" t="s">
        <v>42</v>
      </c>
      <c r="I359" t="s">
        <v>21</v>
      </c>
      <c r="J359" t="s">
        <v>893</v>
      </c>
    </row>
    <row r="360" spans="1:10" x14ac:dyDescent="0.25">
      <c r="A360">
        <v>27806912</v>
      </c>
      <c r="B360" t="s">
        <v>17</v>
      </c>
      <c r="C360" s="4">
        <v>44771.113150914352</v>
      </c>
      <c r="D360" t="s">
        <v>894</v>
      </c>
      <c r="E360" t="s">
        <v>27</v>
      </c>
      <c r="F360" t="s">
        <v>45</v>
      </c>
      <c r="G360" t="s">
        <v>336</v>
      </c>
      <c r="H360" t="s">
        <v>42</v>
      </c>
      <c r="I360" t="s">
        <v>21</v>
      </c>
      <c r="J360" t="s">
        <v>895</v>
      </c>
    </row>
    <row r="361" spans="1:10" x14ac:dyDescent="0.25">
      <c r="A361">
        <v>27803108</v>
      </c>
      <c r="B361" t="s">
        <v>17</v>
      </c>
      <c r="C361" s="4">
        <v>44771.01673984954</v>
      </c>
      <c r="D361" t="s">
        <v>879</v>
      </c>
      <c r="E361" t="s">
        <v>38</v>
      </c>
      <c r="F361" t="s">
        <v>23</v>
      </c>
      <c r="G361" t="s">
        <v>98</v>
      </c>
      <c r="H361" t="s">
        <v>40</v>
      </c>
      <c r="I361" t="s">
        <v>21</v>
      </c>
      <c r="J361" t="s">
        <v>880</v>
      </c>
    </row>
    <row r="362" spans="1:10" x14ac:dyDescent="0.25">
      <c r="A362">
        <v>27803124</v>
      </c>
      <c r="B362" t="s">
        <v>17</v>
      </c>
      <c r="C362" s="4">
        <v>44771.017933634263</v>
      </c>
      <c r="D362" t="s">
        <v>879</v>
      </c>
      <c r="E362" t="s">
        <v>38</v>
      </c>
      <c r="F362" t="s">
        <v>23</v>
      </c>
      <c r="G362" t="s">
        <v>98</v>
      </c>
      <c r="H362" t="s">
        <v>25</v>
      </c>
      <c r="I362" t="s">
        <v>21</v>
      </c>
      <c r="J362" t="s">
        <v>880</v>
      </c>
    </row>
    <row r="363" spans="1:10" x14ac:dyDescent="0.25">
      <c r="A363">
        <v>27803147</v>
      </c>
      <c r="B363" t="s">
        <v>17</v>
      </c>
      <c r="C363" s="4">
        <v>44771.018100995367</v>
      </c>
      <c r="D363" t="s">
        <v>881</v>
      </c>
      <c r="E363" t="s">
        <v>371</v>
      </c>
      <c r="F363" t="s">
        <v>49</v>
      </c>
      <c r="G363" t="s">
        <v>250</v>
      </c>
      <c r="H363" t="s">
        <v>40</v>
      </c>
      <c r="I363" t="s">
        <v>21</v>
      </c>
      <c r="J363" t="s">
        <v>507</v>
      </c>
    </row>
    <row r="364" spans="1:10" x14ac:dyDescent="0.25">
      <c r="A364">
        <v>27803154</v>
      </c>
      <c r="B364" t="s">
        <v>17</v>
      </c>
      <c r="C364" s="4">
        <v>44771.018242210637</v>
      </c>
      <c r="D364" t="s">
        <v>896</v>
      </c>
      <c r="E364" t="s">
        <v>38</v>
      </c>
      <c r="F364" t="s">
        <v>31</v>
      </c>
      <c r="G364" t="s">
        <v>166</v>
      </c>
      <c r="H364" t="s">
        <v>42</v>
      </c>
      <c r="I364" t="s">
        <v>21</v>
      </c>
      <c r="J364" t="s">
        <v>897</v>
      </c>
    </row>
    <row r="365" spans="1:10" x14ac:dyDescent="0.25">
      <c r="A365">
        <v>27803159</v>
      </c>
      <c r="B365" t="s">
        <v>17</v>
      </c>
      <c r="C365" s="4">
        <v>44771.018378993052</v>
      </c>
      <c r="D365" t="s">
        <v>892</v>
      </c>
      <c r="E365" t="s">
        <v>27</v>
      </c>
      <c r="F365" t="s">
        <v>18</v>
      </c>
      <c r="G365" t="s">
        <v>265</v>
      </c>
      <c r="H365" t="s">
        <v>54</v>
      </c>
      <c r="I365" t="s">
        <v>21</v>
      </c>
      <c r="J365" t="s">
        <v>893</v>
      </c>
    </row>
    <row r="366" spans="1:10" x14ac:dyDescent="0.25">
      <c r="A366">
        <v>27803163</v>
      </c>
      <c r="B366" t="s">
        <v>17</v>
      </c>
      <c r="C366" s="4">
        <v>44771.01842940972</v>
      </c>
      <c r="D366" t="s">
        <v>881</v>
      </c>
      <c r="E366" t="s">
        <v>371</v>
      </c>
      <c r="F366" t="s">
        <v>49</v>
      </c>
      <c r="G366" t="s">
        <v>250</v>
      </c>
      <c r="H366" t="s">
        <v>25</v>
      </c>
      <c r="I366" t="s">
        <v>21</v>
      </c>
      <c r="J366" t="s">
        <v>507</v>
      </c>
    </row>
    <row r="367" spans="1:10" x14ac:dyDescent="0.25">
      <c r="A367">
        <v>27816649</v>
      </c>
      <c r="B367" t="s">
        <v>17</v>
      </c>
      <c r="C367" s="4">
        <v>44771.285201516213</v>
      </c>
      <c r="D367" t="s">
        <v>819</v>
      </c>
      <c r="E367" t="s">
        <v>38</v>
      </c>
      <c r="F367" t="s">
        <v>31</v>
      </c>
      <c r="G367" t="s">
        <v>137</v>
      </c>
      <c r="H367" t="s">
        <v>25</v>
      </c>
      <c r="I367" t="s">
        <v>21</v>
      </c>
      <c r="J367" t="s">
        <v>820</v>
      </c>
    </row>
    <row r="368" spans="1:10" x14ac:dyDescent="0.25">
      <c r="A368">
        <v>27803179</v>
      </c>
      <c r="B368" t="s">
        <v>17</v>
      </c>
      <c r="C368" s="4">
        <v>44771.018705104158</v>
      </c>
      <c r="D368" t="s">
        <v>898</v>
      </c>
      <c r="E368" t="s">
        <v>191</v>
      </c>
      <c r="F368" t="s">
        <v>49</v>
      </c>
      <c r="G368" t="s">
        <v>84</v>
      </c>
      <c r="H368" t="s">
        <v>42</v>
      </c>
      <c r="I368" t="s">
        <v>21</v>
      </c>
      <c r="J368" t="s">
        <v>509</v>
      </c>
    </row>
    <row r="369" spans="1:10" x14ac:dyDescent="0.25">
      <c r="A369">
        <v>27803192</v>
      </c>
      <c r="B369" t="s">
        <v>17</v>
      </c>
      <c r="C369" s="4">
        <v>44771.018957928238</v>
      </c>
      <c r="D369" t="s">
        <v>899</v>
      </c>
      <c r="E369" t="s">
        <v>310</v>
      </c>
      <c r="F369" t="s">
        <v>18</v>
      </c>
      <c r="G369" t="s">
        <v>271</v>
      </c>
      <c r="H369" t="s">
        <v>29</v>
      </c>
      <c r="I369" t="s">
        <v>21</v>
      </c>
      <c r="J369" t="s">
        <v>900</v>
      </c>
    </row>
    <row r="370" spans="1:10" x14ac:dyDescent="0.25">
      <c r="A370">
        <v>27803204</v>
      </c>
      <c r="B370" t="s">
        <v>17</v>
      </c>
      <c r="C370" s="4">
        <v>44771.019203946758</v>
      </c>
      <c r="D370" t="s">
        <v>901</v>
      </c>
      <c r="E370" t="s">
        <v>22</v>
      </c>
      <c r="F370" t="s">
        <v>31</v>
      </c>
      <c r="G370" t="s">
        <v>215</v>
      </c>
      <c r="H370" t="s">
        <v>29</v>
      </c>
      <c r="I370" t="s">
        <v>21</v>
      </c>
      <c r="J370" t="s">
        <v>902</v>
      </c>
    </row>
    <row r="371" spans="1:10" x14ac:dyDescent="0.25">
      <c r="A371">
        <v>27803235</v>
      </c>
      <c r="B371" t="s">
        <v>17</v>
      </c>
      <c r="C371" s="4">
        <v>44771.019804895826</v>
      </c>
      <c r="D371" t="s">
        <v>903</v>
      </c>
      <c r="E371" t="s">
        <v>22</v>
      </c>
      <c r="F371" t="s">
        <v>31</v>
      </c>
      <c r="G371" t="s">
        <v>150</v>
      </c>
      <c r="H371" t="s">
        <v>42</v>
      </c>
      <c r="I371" t="s">
        <v>21</v>
      </c>
      <c r="J371" t="s">
        <v>26</v>
      </c>
    </row>
    <row r="372" spans="1:10" x14ac:dyDescent="0.25">
      <c r="A372">
        <v>27803241</v>
      </c>
      <c r="B372" t="s">
        <v>17</v>
      </c>
      <c r="C372" s="4">
        <v>44771.019978449083</v>
      </c>
      <c r="D372" t="s">
        <v>896</v>
      </c>
      <c r="E372" t="s">
        <v>38</v>
      </c>
      <c r="F372" t="s">
        <v>31</v>
      </c>
      <c r="G372" t="s">
        <v>166</v>
      </c>
      <c r="H372" t="s">
        <v>54</v>
      </c>
      <c r="I372" t="s">
        <v>21</v>
      </c>
      <c r="J372" t="s">
        <v>897</v>
      </c>
    </row>
    <row r="373" spans="1:10" x14ac:dyDescent="0.25">
      <c r="A373">
        <v>27803271</v>
      </c>
      <c r="B373" t="s">
        <v>17</v>
      </c>
      <c r="C373" s="4">
        <v>44771.021143043981</v>
      </c>
      <c r="D373" t="s">
        <v>903</v>
      </c>
      <c r="E373" t="s">
        <v>22</v>
      </c>
      <c r="F373" t="s">
        <v>31</v>
      </c>
      <c r="G373" t="s">
        <v>150</v>
      </c>
      <c r="H373" t="s">
        <v>54</v>
      </c>
      <c r="I373" t="s">
        <v>21</v>
      </c>
      <c r="J373" t="s">
        <v>26</v>
      </c>
    </row>
    <row r="374" spans="1:10" x14ac:dyDescent="0.25">
      <c r="A374">
        <v>27803286</v>
      </c>
      <c r="B374" t="s">
        <v>17</v>
      </c>
      <c r="C374" s="4">
        <v>44771.021554212974</v>
      </c>
      <c r="D374" t="s">
        <v>904</v>
      </c>
      <c r="E374" t="s">
        <v>22</v>
      </c>
      <c r="F374" t="s">
        <v>23</v>
      </c>
      <c r="G374" t="s">
        <v>120</v>
      </c>
      <c r="H374" t="s">
        <v>42</v>
      </c>
      <c r="I374" t="s">
        <v>21</v>
      </c>
      <c r="J374" t="s">
        <v>494</v>
      </c>
    </row>
    <row r="375" spans="1:10" x14ac:dyDescent="0.25">
      <c r="A375">
        <v>27803295</v>
      </c>
      <c r="B375" t="s">
        <v>17</v>
      </c>
      <c r="C375" s="4">
        <v>44771.021809363418</v>
      </c>
      <c r="D375" t="s">
        <v>891</v>
      </c>
      <c r="E375" t="s">
        <v>62</v>
      </c>
      <c r="F375" t="s">
        <v>57</v>
      </c>
      <c r="G375" t="s">
        <v>297</v>
      </c>
      <c r="H375" t="s">
        <v>54</v>
      </c>
      <c r="I375" t="s">
        <v>21</v>
      </c>
      <c r="J375" t="s">
        <v>590</v>
      </c>
    </row>
    <row r="376" spans="1:10" x14ac:dyDescent="0.25">
      <c r="A376">
        <v>27803304</v>
      </c>
      <c r="B376" t="s">
        <v>17</v>
      </c>
      <c r="C376" s="4">
        <v>44771.022071377323</v>
      </c>
      <c r="D376" t="s">
        <v>886</v>
      </c>
      <c r="E376" t="s">
        <v>22</v>
      </c>
      <c r="F376" t="s">
        <v>52</v>
      </c>
      <c r="G376" t="s">
        <v>234</v>
      </c>
      <c r="H376" t="s">
        <v>40</v>
      </c>
      <c r="I376" t="s">
        <v>21</v>
      </c>
      <c r="J376" t="s">
        <v>522</v>
      </c>
    </row>
    <row r="377" spans="1:10" x14ac:dyDescent="0.25">
      <c r="A377">
        <v>27803306</v>
      </c>
      <c r="B377" t="s">
        <v>17</v>
      </c>
      <c r="C377" s="4">
        <v>44771.02216349537</v>
      </c>
      <c r="D377" t="s">
        <v>892</v>
      </c>
      <c r="E377" t="s">
        <v>27</v>
      </c>
      <c r="F377" t="s">
        <v>18</v>
      </c>
      <c r="G377" t="s">
        <v>265</v>
      </c>
      <c r="H377" t="s">
        <v>40</v>
      </c>
      <c r="I377" t="s">
        <v>21</v>
      </c>
      <c r="J377" t="s">
        <v>893</v>
      </c>
    </row>
    <row r="378" spans="1:10" x14ac:dyDescent="0.25">
      <c r="A378">
        <v>27803309</v>
      </c>
      <c r="B378" t="s">
        <v>17</v>
      </c>
      <c r="C378" s="4">
        <v>44771.02228665509</v>
      </c>
      <c r="D378" t="s">
        <v>891</v>
      </c>
      <c r="E378" t="s">
        <v>62</v>
      </c>
      <c r="F378" t="s">
        <v>57</v>
      </c>
      <c r="G378" t="s">
        <v>297</v>
      </c>
      <c r="H378" t="s">
        <v>40</v>
      </c>
      <c r="I378" t="s">
        <v>21</v>
      </c>
      <c r="J378" t="s">
        <v>590</v>
      </c>
    </row>
    <row r="379" spans="1:10" x14ac:dyDescent="0.25">
      <c r="A379">
        <v>27803327</v>
      </c>
      <c r="B379" t="s">
        <v>17</v>
      </c>
      <c r="C379" s="4">
        <v>44771.022674803236</v>
      </c>
      <c r="D379" t="s">
        <v>892</v>
      </c>
      <c r="E379" t="s">
        <v>27</v>
      </c>
      <c r="F379" t="s">
        <v>18</v>
      </c>
      <c r="G379" t="s">
        <v>265</v>
      </c>
      <c r="H379" t="s">
        <v>25</v>
      </c>
      <c r="I379" t="s">
        <v>21</v>
      </c>
      <c r="J379" t="s">
        <v>893</v>
      </c>
    </row>
    <row r="380" spans="1:10" x14ac:dyDescent="0.25">
      <c r="A380">
        <v>27803338</v>
      </c>
      <c r="B380" t="s">
        <v>17</v>
      </c>
      <c r="C380" s="4">
        <v>44771.022694039348</v>
      </c>
      <c r="D380" t="s">
        <v>887</v>
      </c>
      <c r="E380" t="s">
        <v>38</v>
      </c>
      <c r="F380" t="s">
        <v>52</v>
      </c>
      <c r="G380" t="s">
        <v>94</v>
      </c>
      <c r="H380" t="s">
        <v>40</v>
      </c>
      <c r="I380" t="s">
        <v>21</v>
      </c>
      <c r="J380" t="s">
        <v>597</v>
      </c>
    </row>
    <row r="381" spans="1:10" x14ac:dyDescent="0.25">
      <c r="A381">
        <v>27803339</v>
      </c>
      <c r="B381" t="s">
        <v>17</v>
      </c>
      <c r="C381" s="4">
        <v>44771.022694606479</v>
      </c>
      <c r="D381" t="s">
        <v>905</v>
      </c>
      <c r="E381" t="s">
        <v>38</v>
      </c>
      <c r="F381" t="s">
        <v>52</v>
      </c>
      <c r="G381" t="s">
        <v>69</v>
      </c>
      <c r="H381" t="s">
        <v>29</v>
      </c>
      <c r="I381" t="s">
        <v>21</v>
      </c>
      <c r="J381" t="s">
        <v>523</v>
      </c>
    </row>
    <row r="382" spans="1:10" x14ac:dyDescent="0.25">
      <c r="A382">
        <v>27803342</v>
      </c>
      <c r="B382" t="s">
        <v>17</v>
      </c>
      <c r="C382" s="4">
        <v>44771.022701180547</v>
      </c>
      <c r="D382" t="s">
        <v>886</v>
      </c>
      <c r="E382" t="s">
        <v>22</v>
      </c>
      <c r="F382" t="s">
        <v>52</v>
      </c>
      <c r="G382" t="s">
        <v>234</v>
      </c>
      <c r="H382" t="s">
        <v>25</v>
      </c>
      <c r="I382" t="s">
        <v>21</v>
      </c>
      <c r="J382" t="s">
        <v>522</v>
      </c>
    </row>
    <row r="383" spans="1:10" x14ac:dyDescent="0.25">
      <c r="A383">
        <v>27803360</v>
      </c>
      <c r="B383" t="s">
        <v>17</v>
      </c>
      <c r="C383" s="4">
        <v>44771.022721793983</v>
      </c>
      <c r="D383" t="s">
        <v>891</v>
      </c>
      <c r="E383" t="s">
        <v>62</v>
      </c>
      <c r="F383" t="s">
        <v>57</v>
      </c>
      <c r="G383" t="s">
        <v>297</v>
      </c>
      <c r="H383" t="s">
        <v>25</v>
      </c>
      <c r="I383" t="s">
        <v>21</v>
      </c>
      <c r="J383" t="s">
        <v>590</v>
      </c>
    </row>
    <row r="384" spans="1:10" x14ac:dyDescent="0.25">
      <c r="A384">
        <v>27803376</v>
      </c>
      <c r="B384" t="s">
        <v>17</v>
      </c>
      <c r="C384" s="4">
        <v>44771.023256250002</v>
      </c>
      <c r="D384" t="s">
        <v>898</v>
      </c>
      <c r="E384" t="s">
        <v>191</v>
      </c>
      <c r="F384" t="s">
        <v>49</v>
      </c>
      <c r="G384" t="s">
        <v>84</v>
      </c>
      <c r="H384" t="s">
        <v>54</v>
      </c>
      <c r="I384" t="s">
        <v>21</v>
      </c>
      <c r="J384" t="s">
        <v>509</v>
      </c>
    </row>
    <row r="385" spans="1:10" x14ac:dyDescent="0.25">
      <c r="A385">
        <v>27803380</v>
      </c>
      <c r="B385" t="s">
        <v>17</v>
      </c>
      <c r="C385" s="4">
        <v>44771.023302604168</v>
      </c>
      <c r="D385" t="s">
        <v>887</v>
      </c>
      <c r="E385" t="s">
        <v>38</v>
      </c>
      <c r="F385" t="s">
        <v>52</v>
      </c>
      <c r="G385" t="s">
        <v>94</v>
      </c>
      <c r="H385" t="s">
        <v>25</v>
      </c>
      <c r="I385" t="s">
        <v>21</v>
      </c>
      <c r="J385" t="s">
        <v>597</v>
      </c>
    </row>
    <row r="386" spans="1:10" x14ac:dyDescent="0.25">
      <c r="A386">
        <v>27803393</v>
      </c>
      <c r="B386" t="s">
        <v>17</v>
      </c>
      <c r="C386" s="4">
        <v>44771.023335150458</v>
      </c>
      <c r="D386" t="s">
        <v>906</v>
      </c>
      <c r="E386" t="s">
        <v>184</v>
      </c>
      <c r="F386" t="s">
        <v>57</v>
      </c>
      <c r="G386" t="s">
        <v>255</v>
      </c>
      <c r="H386" t="s">
        <v>42</v>
      </c>
      <c r="I386" t="s">
        <v>21</v>
      </c>
      <c r="J386" t="s">
        <v>517</v>
      </c>
    </row>
    <row r="387" spans="1:10" x14ac:dyDescent="0.25">
      <c r="A387">
        <v>27803407</v>
      </c>
      <c r="B387" t="s">
        <v>17</v>
      </c>
      <c r="C387" s="4">
        <v>44771.02367736111</v>
      </c>
      <c r="D387" t="s">
        <v>904</v>
      </c>
      <c r="E387" t="s">
        <v>22</v>
      </c>
      <c r="F387" t="s">
        <v>23</v>
      </c>
      <c r="G387" t="s">
        <v>120</v>
      </c>
      <c r="H387" t="s">
        <v>54</v>
      </c>
      <c r="I387" t="s">
        <v>21</v>
      </c>
      <c r="J387" t="s">
        <v>494</v>
      </c>
    </row>
    <row r="388" spans="1:10" x14ac:dyDescent="0.25">
      <c r="A388">
        <v>27803424</v>
      </c>
      <c r="B388" t="s">
        <v>17</v>
      </c>
      <c r="C388" s="4">
        <v>44771.024524687498</v>
      </c>
      <c r="D388" t="s">
        <v>906</v>
      </c>
      <c r="E388" t="s">
        <v>184</v>
      </c>
      <c r="F388" t="s">
        <v>57</v>
      </c>
      <c r="G388" t="s">
        <v>255</v>
      </c>
      <c r="H388" t="s">
        <v>54</v>
      </c>
      <c r="I388" t="s">
        <v>21</v>
      </c>
      <c r="J388" t="s">
        <v>517</v>
      </c>
    </row>
    <row r="389" spans="1:10" x14ac:dyDescent="0.25">
      <c r="A389">
        <v>27806923</v>
      </c>
      <c r="B389" t="s">
        <v>17</v>
      </c>
      <c r="C389" s="4">
        <v>44771.113413263891</v>
      </c>
      <c r="D389" t="s">
        <v>894</v>
      </c>
      <c r="E389" t="s">
        <v>27</v>
      </c>
      <c r="F389" t="s">
        <v>45</v>
      </c>
      <c r="G389" t="s">
        <v>336</v>
      </c>
      <c r="H389" t="s">
        <v>54</v>
      </c>
      <c r="I389" t="s">
        <v>21</v>
      </c>
      <c r="J389" t="s">
        <v>895</v>
      </c>
    </row>
    <row r="390" spans="1:10" x14ac:dyDescent="0.25">
      <c r="A390">
        <v>27803440</v>
      </c>
      <c r="B390" t="s">
        <v>17</v>
      </c>
      <c r="C390" s="4">
        <v>44771.025067766197</v>
      </c>
      <c r="D390" t="s">
        <v>907</v>
      </c>
      <c r="E390" t="s">
        <v>38</v>
      </c>
      <c r="F390" t="s">
        <v>23</v>
      </c>
      <c r="G390" t="s">
        <v>187</v>
      </c>
      <c r="H390" t="s">
        <v>42</v>
      </c>
      <c r="I390" t="s">
        <v>21</v>
      </c>
      <c r="J390" t="s">
        <v>908</v>
      </c>
    </row>
    <row r="391" spans="1:10" x14ac:dyDescent="0.25">
      <c r="A391">
        <v>27803446</v>
      </c>
      <c r="B391" t="s">
        <v>17</v>
      </c>
      <c r="C391" s="4">
        <v>44771.025208877312</v>
      </c>
      <c r="D391" t="s">
        <v>896</v>
      </c>
      <c r="E391" t="s">
        <v>38</v>
      </c>
      <c r="F391" t="s">
        <v>31</v>
      </c>
      <c r="G391" t="s">
        <v>166</v>
      </c>
      <c r="H391" t="s">
        <v>40</v>
      </c>
      <c r="I391" t="s">
        <v>21</v>
      </c>
      <c r="J391" t="s">
        <v>897</v>
      </c>
    </row>
    <row r="392" spans="1:10" x14ac:dyDescent="0.25">
      <c r="A392">
        <v>27803461</v>
      </c>
      <c r="B392" t="s">
        <v>17</v>
      </c>
      <c r="C392" s="4">
        <v>44771.025757673611</v>
      </c>
      <c r="D392" t="s">
        <v>896</v>
      </c>
      <c r="E392" t="s">
        <v>38</v>
      </c>
      <c r="F392" t="s">
        <v>31</v>
      </c>
      <c r="G392" t="s">
        <v>166</v>
      </c>
      <c r="H392" t="s">
        <v>25</v>
      </c>
      <c r="I392" t="s">
        <v>21</v>
      </c>
      <c r="J392" t="s">
        <v>897</v>
      </c>
    </row>
    <row r="393" spans="1:10" x14ac:dyDescent="0.25">
      <c r="A393">
        <v>27803472</v>
      </c>
      <c r="B393" t="s">
        <v>17</v>
      </c>
      <c r="C393" s="4">
        <v>44771.025874166669</v>
      </c>
      <c r="D393" t="s">
        <v>907</v>
      </c>
      <c r="E393" t="s">
        <v>38</v>
      </c>
      <c r="F393" t="s">
        <v>23</v>
      </c>
      <c r="G393" t="s">
        <v>187</v>
      </c>
      <c r="H393" t="s">
        <v>54</v>
      </c>
      <c r="I393" t="s">
        <v>21</v>
      </c>
      <c r="J393" t="s">
        <v>908</v>
      </c>
    </row>
    <row r="394" spans="1:10" x14ac:dyDescent="0.25">
      <c r="A394">
        <v>27803494</v>
      </c>
      <c r="B394" t="s">
        <v>17</v>
      </c>
      <c r="C394" s="4">
        <v>44771.027089780087</v>
      </c>
      <c r="D394" t="s">
        <v>898</v>
      </c>
      <c r="E394" t="s">
        <v>191</v>
      </c>
      <c r="F394" t="s">
        <v>49</v>
      </c>
      <c r="G394" t="s">
        <v>84</v>
      </c>
      <c r="H394" t="s">
        <v>40</v>
      </c>
      <c r="I394" t="s">
        <v>21</v>
      </c>
      <c r="J394" t="s">
        <v>509</v>
      </c>
    </row>
    <row r="395" spans="1:10" x14ac:dyDescent="0.25">
      <c r="A395">
        <v>27803498</v>
      </c>
      <c r="B395" t="s">
        <v>17</v>
      </c>
      <c r="C395" s="4">
        <v>44771.027333414349</v>
      </c>
      <c r="D395" t="s">
        <v>909</v>
      </c>
      <c r="E395" t="s">
        <v>123</v>
      </c>
      <c r="F395" t="s">
        <v>49</v>
      </c>
      <c r="G395" t="s">
        <v>146</v>
      </c>
      <c r="H395" t="s">
        <v>29</v>
      </c>
      <c r="I395" t="s">
        <v>21</v>
      </c>
      <c r="J395" t="s">
        <v>910</v>
      </c>
    </row>
    <row r="396" spans="1:10" x14ac:dyDescent="0.25">
      <c r="A396">
        <v>27803511</v>
      </c>
      <c r="B396" t="s">
        <v>17</v>
      </c>
      <c r="C396" s="4">
        <v>44771.027520358803</v>
      </c>
      <c r="D396" t="s">
        <v>898</v>
      </c>
      <c r="E396" t="s">
        <v>191</v>
      </c>
      <c r="F396" t="s">
        <v>49</v>
      </c>
      <c r="G396" t="s">
        <v>84</v>
      </c>
      <c r="H396" t="s">
        <v>25</v>
      </c>
      <c r="I396" t="s">
        <v>21</v>
      </c>
      <c r="J396" t="s">
        <v>509</v>
      </c>
    </row>
    <row r="397" spans="1:10" x14ac:dyDescent="0.25">
      <c r="A397">
        <v>27803526</v>
      </c>
      <c r="B397" t="s">
        <v>17</v>
      </c>
      <c r="C397" s="4">
        <v>44771.027617430547</v>
      </c>
      <c r="D397" t="s">
        <v>911</v>
      </c>
      <c r="E397" t="s">
        <v>38</v>
      </c>
      <c r="F397" t="s">
        <v>52</v>
      </c>
      <c r="G397" t="s">
        <v>206</v>
      </c>
      <c r="H397" t="s">
        <v>42</v>
      </c>
      <c r="I397" t="s">
        <v>21</v>
      </c>
      <c r="J397" t="s">
        <v>912</v>
      </c>
    </row>
    <row r="398" spans="1:10" x14ac:dyDescent="0.25">
      <c r="A398">
        <v>27806936</v>
      </c>
      <c r="B398" t="s">
        <v>17</v>
      </c>
      <c r="C398" s="4">
        <v>44771.113994467603</v>
      </c>
      <c r="D398" t="s">
        <v>854</v>
      </c>
      <c r="E398" t="s">
        <v>27</v>
      </c>
      <c r="F398" t="s">
        <v>57</v>
      </c>
      <c r="G398" t="s">
        <v>416</v>
      </c>
      <c r="H398" t="s">
        <v>54</v>
      </c>
      <c r="I398" t="s">
        <v>21</v>
      </c>
      <c r="J398" t="s">
        <v>855</v>
      </c>
    </row>
    <row r="399" spans="1:10" x14ac:dyDescent="0.25">
      <c r="A399">
        <v>27803539</v>
      </c>
      <c r="B399" t="s">
        <v>17</v>
      </c>
      <c r="C399" s="4">
        <v>44771.028098553237</v>
      </c>
      <c r="D399" t="s">
        <v>911</v>
      </c>
      <c r="E399" t="s">
        <v>38</v>
      </c>
      <c r="F399" t="s">
        <v>52</v>
      </c>
      <c r="G399" t="s">
        <v>206</v>
      </c>
      <c r="H399" t="s">
        <v>54</v>
      </c>
      <c r="I399" t="s">
        <v>21</v>
      </c>
      <c r="J399" t="s">
        <v>912</v>
      </c>
    </row>
    <row r="400" spans="1:10" x14ac:dyDescent="0.25">
      <c r="A400">
        <v>27803553</v>
      </c>
      <c r="B400" t="s">
        <v>17</v>
      </c>
      <c r="C400" s="4">
        <v>44771.028971331019</v>
      </c>
      <c r="D400" t="s">
        <v>904</v>
      </c>
      <c r="E400" t="s">
        <v>22</v>
      </c>
      <c r="F400" t="s">
        <v>23</v>
      </c>
      <c r="G400" t="s">
        <v>120</v>
      </c>
      <c r="H400" t="s">
        <v>40</v>
      </c>
      <c r="I400" t="s">
        <v>21</v>
      </c>
      <c r="J400" t="s">
        <v>494</v>
      </c>
    </row>
    <row r="401" spans="1:10" x14ac:dyDescent="0.25">
      <c r="A401">
        <v>27803560</v>
      </c>
      <c r="B401" t="s">
        <v>17</v>
      </c>
      <c r="C401" s="4">
        <v>44771.029491539353</v>
      </c>
      <c r="D401" t="s">
        <v>904</v>
      </c>
      <c r="E401" t="s">
        <v>22</v>
      </c>
      <c r="F401" t="s">
        <v>23</v>
      </c>
      <c r="G401" t="s">
        <v>120</v>
      </c>
      <c r="H401" t="s">
        <v>25</v>
      </c>
      <c r="I401" t="s">
        <v>21</v>
      </c>
      <c r="J401" t="s">
        <v>494</v>
      </c>
    </row>
    <row r="402" spans="1:10" x14ac:dyDescent="0.25">
      <c r="A402">
        <v>27806942</v>
      </c>
      <c r="B402" t="s">
        <v>17</v>
      </c>
      <c r="C402" s="4">
        <v>44771.1142053125</v>
      </c>
      <c r="D402" t="s">
        <v>825</v>
      </c>
      <c r="E402" t="s">
        <v>38</v>
      </c>
      <c r="F402" t="s">
        <v>52</v>
      </c>
      <c r="G402" t="s">
        <v>91</v>
      </c>
      <c r="H402" t="s">
        <v>40</v>
      </c>
      <c r="I402" t="s">
        <v>21</v>
      </c>
      <c r="J402" t="s">
        <v>456</v>
      </c>
    </row>
    <row r="403" spans="1:10" x14ac:dyDescent="0.25">
      <c r="A403">
        <v>27803603</v>
      </c>
      <c r="B403" t="s">
        <v>17</v>
      </c>
      <c r="C403" s="4">
        <v>44771.030665706021</v>
      </c>
      <c r="D403" t="s">
        <v>903</v>
      </c>
      <c r="E403" t="s">
        <v>22</v>
      </c>
      <c r="F403" t="s">
        <v>31</v>
      </c>
      <c r="G403" t="s">
        <v>150</v>
      </c>
      <c r="H403" t="s">
        <v>40</v>
      </c>
      <c r="I403" t="s">
        <v>21</v>
      </c>
      <c r="J403" t="s">
        <v>26</v>
      </c>
    </row>
    <row r="404" spans="1:10" x14ac:dyDescent="0.25">
      <c r="A404">
        <v>27803606</v>
      </c>
      <c r="B404" t="s">
        <v>17</v>
      </c>
      <c r="C404" s="4">
        <v>44771.030839432868</v>
      </c>
      <c r="D404" t="s">
        <v>906</v>
      </c>
      <c r="E404" t="s">
        <v>184</v>
      </c>
      <c r="F404" t="s">
        <v>57</v>
      </c>
      <c r="G404" t="s">
        <v>255</v>
      </c>
      <c r="H404" t="s">
        <v>40</v>
      </c>
      <c r="I404" t="s">
        <v>21</v>
      </c>
      <c r="J404" t="s">
        <v>517</v>
      </c>
    </row>
    <row r="405" spans="1:10" x14ac:dyDescent="0.25">
      <c r="A405">
        <v>27803612</v>
      </c>
      <c r="B405" t="s">
        <v>17</v>
      </c>
      <c r="C405" s="4">
        <v>44771.030915821757</v>
      </c>
      <c r="D405" t="s">
        <v>913</v>
      </c>
      <c r="E405" t="s">
        <v>38</v>
      </c>
      <c r="F405" t="s">
        <v>31</v>
      </c>
      <c r="G405" t="s">
        <v>86</v>
      </c>
      <c r="H405" t="s">
        <v>42</v>
      </c>
      <c r="I405" t="s">
        <v>21</v>
      </c>
      <c r="J405" t="s">
        <v>525</v>
      </c>
    </row>
    <row r="406" spans="1:10" x14ac:dyDescent="0.25">
      <c r="A406">
        <v>27803617</v>
      </c>
      <c r="B406" t="s">
        <v>17</v>
      </c>
      <c r="C406" s="4">
        <v>44771.031041655093</v>
      </c>
      <c r="D406" t="s">
        <v>907</v>
      </c>
      <c r="E406" t="s">
        <v>38</v>
      </c>
      <c r="F406" t="s">
        <v>23</v>
      </c>
      <c r="G406" t="s">
        <v>187</v>
      </c>
      <c r="H406" t="s">
        <v>40</v>
      </c>
      <c r="I406" t="s">
        <v>21</v>
      </c>
      <c r="J406" t="s">
        <v>908</v>
      </c>
    </row>
    <row r="407" spans="1:10" x14ac:dyDescent="0.25">
      <c r="A407">
        <v>27803619</v>
      </c>
      <c r="B407" t="s">
        <v>17</v>
      </c>
      <c r="C407" s="4">
        <v>44771.031161550927</v>
      </c>
      <c r="D407" t="s">
        <v>903</v>
      </c>
      <c r="E407" t="s">
        <v>22</v>
      </c>
      <c r="F407" t="s">
        <v>31</v>
      </c>
      <c r="G407" t="s">
        <v>150</v>
      </c>
      <c r="H407" t="s">
        <v>25</v>
      </c>
      <c r="I407" t="s">
        <v>21</v>
      </c>
      <c r="J407" t="s">
        <v>26</v>
      </c>
    </row>
    <row r="408" spans="1:10" x14ac:dyDescent="0.25">
      <c r="A408">
        <v>27803631</v>
      </c>
      <c r="B408" t="s">
        <v>17</v>
      </c>
      <c r="C408" s="4">
        <v>44771.03124074074</v>
      </c>
      <c r="D408" t="s">
        <v>906</v>
      </c>
      <c r="E408" t="s">
        <v>184</v>
      </c>
      <c r="F408" t="s">
        <v>57</v>
      </c>
      <c r="G408" t="s">
        <v>255</v>
      </c>
      <c r="H408" t="s">
        <v>25</v>
      </c>
      <c r="I408" t="s">
        <v>21</v>
      </c>
      <c r="J408" t="s">
        <v>517</v>
      </c>
    </row>
    <row r="409" spans="1:10" x14ac:dyDescent="0.25">
      <c r="A409">
        <v>27806948</v>
      </c>
      <c r="B409" t="s">
        <v>17</v>
      </c>
      <c r="C409" s="4">
        <v>44771.114314467603</v>
      </c>
      <c r="D409" t="s">
        <v>821</v>
      </c>
      <c r="E409" t="s">
        <v>62</v>
      </c>
      <c r="F409" t="s">
        <v>57</v>
      </c>
      <c r="G409" t="s">
        <v>63</v>
      </c>
      <c r="H409" t="s">
        <v>40</v>
      </c>
      <c r="I409" t="s">
        <v>21</v>
      </c>
      <c r="J409" t="s">
        <v>592</v>
      </c>
    </row>
    <row r="410" spans="1:10" x14ac:dyDescent="0.25">
      <c r="A410">
        <v>27803675</v>
      </c>
      <c r="B410" t="s">
        <v>17</v>
      </c>
      <c r="C410" s="4">
        <v>44771.031795983799</v>
      </c>
      <c r="D410" t="s">
        <v>907</v>
      </c>
      <c r="E410" t="s">
        <v>38</v>
      </c>
      <c r="F410" t="s">
        <v>23</v>
      </c>
      <c r="G410" t="s">
        <v>187</v>
      </c>
      <c r="H410" t="s">
        <v>25</v>
      </c>
      <c r="I410" t="s">
        <v>21</v>
      </c>
      <c r="J410" t="s">
        <v>908</v>
      </c>
    </row>
    <row r="411" spans="1:10" x14ac:dyDescent="0.25">
      <c r="A411">
        <v>27803691</v>
      </c>
      <c r="B411" t="s">
        <v>17</v>
      </c>
      <c r="C411" s="4">
        <v>44771.032442511583</v>
      </c>
      <c r="D411" t="s">
        <v>913</v>
      </c>
      <c r="E411" t="s">
        <v>38</v>
      </c>
      <c r="F411" t="s">
        <v>31</v>
      </c>
      <c r="G411" t="s">
        <v>86</v>
      </c>
      <c r="H411" t="s">
        <v>54</v>
      </c>
      <c r="I411" t="s">
        <v>21</v>
      </c>
      <c r="J411" t="s">
        <v>525</v>
      </c>
    </row>
    <row r="412" spans="1:10" x14ac:dyDescent="0.25">
      <c r="A412">
        <v>27803706</v>
      </c>
      <c r="B412" t="s">
        <v>17</v>
      </c>
      <c r="C412" s="4">
        <v>44771.03303053241</v>
      </c>
      <c r="F412" t="s">
        <v>23</v>
      </c>
      <c r="G412" t="s">
        <v>110</v>
      </c>
      <c r="H412" t="s">
        <v>20</v>
      </c>
      <c r="I412" t="s">
        <v>21</v>
      </c>
    </row>
    <row r="413" spans="1:10" x14ac:dyDescent="0.25">
      <c r="A413">
        <v>27803722</v>
      </c>
      <c r="B413" t="s">
        <v>17</v>
      </c>
      <c r="C413" s="4">
        <v>44771.033973726851</v>
      </c>
      <c r="D413" t="s">
        <v>914</v>
      </c>
      <c r="E413" t="s">
        <v>268</v>
      </c>
      <c r="F413" t="s">
        <v>49</v>
      </c>
      <c r="G413" t="s">
        <v>74</v>
      </c>
      <c r="H413" t="s">
        <v>29</v>
      </c>
      <c r="I413" t="s">
        <v>21</v>
      </c>
      <c r="J413" t="s">
        <v>915</v>
      </c>
    </row>
    <row r="414" spans="1:10" x14ac:dyDescent="0.25">
      <c r="A414">
        <v>27803739</v>
      </c>
      <c r="B414" t="s">
        <v>17</v>
      </c>
      <c r="C414" s="4">
        <v>44771.034214548607</v>
      </c>
      <c r="D414" t="s">
        <v>916</v>
      </c>
      <c r="E414" t="s">
        <v>62</v>
      </c>
      <c r="F414" t="s">
        <v>18</v>
      </c>
      <c r="G414" t="s">
        <v>61</v>
      </c>
      <c r="H414" t="s">
        <v>42</v>
      </c>
      <c r="I414" t="s">
        <v>21</v>
      </c>
      <c r="J414" t="s">
        <v>917</v>
      </c>
    </row>
    <row r="415" spans="1:10" x14ac:dyDescent="0.25">
      <c r="A415">
        <v>27803743</v>
      </c>
      <c r="B415" t="s">
        <v>17</v>
      </c>
      <c r="C415" s="4">
        <v>44771.034287731483</v>
      </c>
      <c r="D415" t="s">
        <v>916</v>
      </c>
      <c r="E415" t="s">
        <v>62</v>
      </c>
      <c r="F415" t="s">
        <v>18</v>
      </c>
      <c r="G415" t="s">
        <v>61</v>
      </c>
      <c r="H415" t="s">
        <v>54</v>
      </c>
      <c r="I415" t="s">
        <v>21</v>
      </c>
      <c r="J415" t="s">
        <v>917</v>
      </c>
    </row>
    <row r="416" spans="1:10" x14ac:dyDescent="0.25">
      <c r="A416">
        <v>27803775</v>
      </c>
      <c r="B416" t="s">
        <v>17</v>
      </c>
      <c r="C416" s="4">
        <v>44771.035100648151</v>
      </c>
      <c r="D416" t="s">
        <v>918</v>
      </c>
      <c r="E416" t="s">
        <v>27</v>
      </c>
      <c r="F416" t="s">
        <v>18</v>
      </c>
      <c r="G416" t="s">
        <v>375</v>
      </c>
      <c r="H416" t="s">
        <v>29</v>
      </c>
      <c r="I416" t="s">
        <v>21</v>
      </c>
      <c r="J416" t="s">
        <v>466</v>
      </c>
    </row>
    <row r="417" spans="1:10" x14ac:dyDescent="0.25">
      <c r="A417">
        <v>27803785</v>
      </c>
      <c r="B417" t="s">
        <v>17</v>
      </c>
      <c r="C417" s="4">
        <v>44771.035205509259</v>
      </c>
      <c r="D417" t="s">
        <v>919</v>
      </c>
      <c r="E417" t="s">
        <v>38</v>
      </c>
      <c r="F417" t="s">
        <v>31</v>
      </c>
      <c r="G417" t="s">
        <v>168</v>
      </c>
      <c r="H417" t="s">
        <v>29</v>
      </c>
      <c r="I417" t="s">
        <v>21</v>
      </c>
    </row>
    <row r="418" spans="1:10" x14ac:dyDescent="0.25">
      <c r="A418">
        <v>27803790</v>
      </c>
      <c r="B418" t="s">
        <v>17</v>
      </c>
      <c r="C418" s="4">
        <v>44771.035256342591</v>
      </c>
      <c r="D418" t="s">
        <v>920</v>
      </c>
      <c r="E418" t="s">
        <v>38</v>
      </c>
      <c r="F418" t="s">
        <v>31</v>
      </c>
      <c r="G418" t="s">
        <v>168</v>
      </c>
      <c r="H418" t="s">
        <v>42</v>
      </c>
      <c r="I418" t="s">
        <v>21</v>
      </c>
      <c r="J418" t="s">
        <v>595</v>
      </c>
    </row>
    <row r="419" spans="1:10" x14ac:dyDescent="0.25">
      <c r="A419">
        <v>27803817</v>
      </c>
      <c r="B419" t="s">
        <v>17</v>
      </c>
      <c r="C419" s="4">
        <v>44771.036413969909</v>
      </c>
      <c r="D419" t="s">
        <v>921</v>
      </c>
      <c r="E419" t="s">
        <v>27</v>
      </c>
      <c r="F419" t="s">
        <v>18</v>
      </c>
      <c r="G419" t="s">
        <v>183</v>
      </c>
      <c r="H419" t="s">
        <v>42</v>
      </c>
      <c r="I419" t="s">
        <v>21</v>
      </c>
      <c r="J419" t="s">
        <v>922</v>
      </c>
    </row>
    <row r="420" spans="1:10" x14ac:dyDescent="0.25">
      <c r="A420">
        <v>27803824</v>
      </c>
      <c r="B420" t="s">
        <v>17</v>
      </c>
      <c r="C420" s="4">
        <v>44771.036495983797</v>
      </c>
      <c r="D420" t="s">
        <v>921</v>
      </c>
      <c r="E420" t="s">
        <v>27</v>
      </c>
      <c r="F420" t="s">
        <v>18</v>
      </c>
      <c r="G420" t="s">
        <v>183</v>
      </c>
      <c r="H420" t="s">
        <v>54</v>
      </c>
      <c r="I420" t="s">
        <v>21</v>
      </c>
      <c r="J420" t="s">
        <v>922</v>
      </c>
    </row>
    <row r="421" spans="1:10" x14ac:dyDescent="0.25">
      <c r="A421">
        <v>27803845</v>
      </c>
      <c r="B421" t="s">
        <v>17</v>
      </c>
      <c r="C421" s="4">
        <v>44771.037177384263</v>
      </c>
      <c r="D421" t="s">
        <v>923</v>
      </c>
      <c r="E421" t="s">
        <v>191</v>
      </c>
      <c r="F421" t="s">
        <v>49</v>
      </c>
      <c r="G421" t="s">
        <v>192</v>
      </c>
      <c r="H421" t="s">
        <v>29</v>
      </c>
      <c r="I421" t="s">
        <v>21</v>
      </c>
      <c r="J421" t="s">
        <v>526</v>
      </c>
    </row>
    <row r="422" spans="1:10" x14ac:dyDescent="0.25">
      <c r="A422">
        <v>27803857</v>
      </c>
      <c r="B422" t="s">
        <v>17</v>
      </c>
      <c r="C422" s="4">
        <v>44771.037507997687</v>
      </c>
      <c r="D422" t="s">
        <v>924</v>
      </c>
      <c r="E422" t="s">
        <v>72</v>
      </c>
      <c r="F422" t="s">
        <v>49</v>
      </c>
      <c r="G422" t="s">
        <v>130</v>
      </c>
      <c r="H422" t="s">
        <v>29</v>
      </c>
      <c r="I422" t="s">
        <v>21</v>
      </c>
      <c r="J422" t="s">
        <v>925</v>
      </c>
    </row>
    <row r="423" spans="1:10" x14ac:dyDescent="0.25">
      <c r="A423">
        <v>27803866</v>
      </c>
      <c r="B423" t="s">
        <v>17</v>
      </c>
      <c r="C423" s="4">
        <v>44771.037522349543</v>
      </c>
      <c r="D423" t="s">
        <v>911</v>
      </c>
      <c r="E423" t="s">
        <v>38</v>
      </c>
      <c r="F423" t="s">
        <v>52</v>
      </c>
      <c r="G423" t="s">
        <v>206</v>
      </c>
      <c r="H423" t="s">
        <v>40</v>
      </c>
      <c r="I423" t="s">
        <v>21</v>
      </c>
      <c r="J423" t="s">
        <v>912</v>
      </c>
    </row>
    <row r="424" spans="1:10" x14ac:dyDescent="0.25">
      <c r="A424">
        <v>27803876</v>
      </c>
      <c r="B424" t="s">
        <v>17</v>
      </c>
      <c r="C424" s="4">
        <v>44771.037937187502</v>
      </c>
      <c r="F424" t="s">
        <v>57</v>
      </c>
      <c r="G424" t="s">
        <v>321</v>
      </c>
      <c r="H424" t="s">
        <v>20</v>
      </c>
      <c r="I424" t="s">
        <v>21</v>
      </c>
    </row>
    <row r="425" spans="1:10" x14ac:dyDescent="0.25">
      <c r="A425">
        <v>27803881</v>
      </c>
      <c r="B425" t="s">
        <v>17</v>
      </c>
      <c r="C425" s="4">
        <v>44771.038012395831</v>
      </c>
      <c r="D425" t="s">
        <v>911</v>
      </c>
      <c r="E425" t="s">
        <v>38</v>
      </c>
      <c r="F425" t="s">
        <v>52</v>
      </c>
      <c r="G425" t="s">
        <v>206</v>
      </c>
      <c r="H425" t="s">
        <v>25</v>
      </c>
      <c r="I425" t="s">
        <v>21</v>
      </c>
      <c r="J425" t="s">
        <v>912</v>
      </c>
    </row>
    <row r="426" spans="1:10" x14ac:dyDescent="0.25">
      <c r="A426">
        <v>27816673</v>
      </c>
      <c r="B426" t="s">
        <v>17</v>
      </c>
      <c r="C426" s="4">
        <v>44771.285611504631</v>
      </c>
      <c r="D426" t="s">
        <v>841</v>
      </c>
      <c r="E426" t="s">
        <v>842</v>
      </c>
      <c r="F426" t="s">
        <v>18</v>
      </c>
      <c r="G426" t="s">
        <v>413</v>
      </c>
      <c r="H426" t="s">
        <v>122</v>
      </c>
      <c r="I426" t="s">
        <v>36</v>
      </c>
      <c r="J426" t="s">
        <v>843</v>
      </c>
    </row>
    <row r="427" spans="1:10" x14ac:dyDescent="0.25">
      <c r="A427">
        <v>27803913</v>
      </c>
      <c r="B427" t="s">
        <v>17</v>
      </c>
      <c r="C427" s="4">
        <v>44771.038381087958</v>
      </c>
      <c r="D427" t="s">
        <v>926</v>
      </c>
      <c r="E427" t="s">
        <v>62</v>
      </c>
      <c r="F427" t="s">
        <v>18</v>
      </c>
      <c r="G427" t="s">
        <v>28</v>
      </c>
      <c r="H427" t="s">
        <v>29</v>
      </c>
      <c r="I427" t="s">
        <v>21</v>
      </c>
      <c r="J427" t="s">
        <v>927</v>
      </c>
    </row>
    <row r="428" spans="1:10" x14ac:dyDescent="0.25">
      <c r="A428">
        <v>27803932</v>
      </c>
      <c r="B428" t="s">
        <v>17</v>
      </c>
      <c r="C428" s="4">
        <v>44771.038613229168</v>
      </c>
      <c r="D428" t="s">
        <v>928</v>
      </c>
      <c r="E428" t="s">
        <v>680</v>
      </c>
      <c r="F428" t="s">
        <v>18</v>
      </c>
      <c r="G428" t="s">
        <v>186</v>
      </c>
      <c r="H428" t="s">
        <v>42</v>
      </c>
      <c r="I428" t="s">
        <v>21</v>
      </c>
      <c r="J428" t="s">
        <v>929</v>
      </c>
    </row>
    <row r="429" spans="1:10" x14ac:dyDescent="0.25">
      <c r="A429">
        <v>27818069</v>
      </c>
      <c r="B429" t="s">
        <v>17</v>
      </c>
      <c r="C429" s="4">
        <v>44771.3111775</v>
      </c>
      <c r="D429" t="s">
        <v>723</v>
      </c>
      <c r="E429" t="s">
        <v>129</v>
      </c>
      <c r="F429" t="s">
        <v>49</v>
      </c>
      <c r="G429" t="s">
        <v>50</v>
      </c>
      <c r="H429" t="s">
        <v>25</v>
      </c>
      <c r="I429" t="s">
        <v>21</v>
      </c>
      <c r="J429" t="s">
        <v>724</v>
      </c>
    </row>
    <row r="430" spans="1:10" x14ac:dyDescent="0.25">
      <c r="A430">
        <v>27803937</v>
      </c>
      <c r="B430" t="s">
        <v>17</v>
      </c>
      <c r="C430" s="4">
        <v>44771.03877378472</v>
      </c>
      <c r="D430" t="s">
        <v>928</v>
      </c>
      <c r="E430" t="s">
        <v>680</v>
      </c>
      <c r="F430" t="s">
        <v>18</v>
      </c>
      <c r="G430" t="s">
        <v>186</v>
      </c>
      <c r="H430" t="s">
        <v>54</v>
      </c>
      <c r="I430" t="s">
        <v>21</v>
      </c>
      <c r="J430" t="s">
        <v>929</v>
      </c>
    </row>
    <row r="431" spans="1:10" x14ac:dyDescent="0.25">
      <c r="A431">
        <v>27803944</v>
      </c>
      <c r="B431" t="s">
        <v>17</v>
      </c>
      <c r="C431" s="4">
        <v>44771.038977094897</v>
      </c>
      <c r="D431" t="s">
        <v>930</v>
      </c>
      <c r="E431" t="s">
        <v>30</v>
      </c>
      <c r="F431" t="s">
        <v>49</v>
      </c>
      <c r="G431" t="s">
        <v>106</v>
      </c>
      <c r="H431" t="s">
        <v>29</v>
      </c>
      <c r="I431" t="s">
        <v>21</v>
      </c>
      <c r="J431" t="s">
        <v>931</v>
      </c>
    </row>
    <row r="432" spans="1:10" x14ac:dyDescent="0.25">
      <c r="A432">
        <v>27803968</v>
      </c>
      <c r="B432" t="s">
        <v>17</v>
      </c>
      <c r="C432" s="4">
        <v>44771.039654479173</v>
      </c>
      <c r="D432" t="s">
        <v>932</v>
      </c>
      <c r="E432" t="s">
        <v>38</v>
      </c>
      <c r="F432" t="s">
        <v>31</v>
      </c>
      <c r="G432" t="s">
        <v>96</v>
      </c>
      <c r="H432" t="s">
        <v>42</v>
      </c>
      <c r="I432" t="s">
        <v>21</v>
      </c>
      <c r="J432" t="s">
        <v>536</v>
      </c>
    </row>
    <row r="433" spans="1:10" x14ac:dyDescent="0.25">
      <c r="A433">
        <v>27803978</v>
      </c>
      <c r="B433" t="s">
        <v>17</v>
      </c>
      <c r="C433" s="4">
        <v>44771.040167916668</v>
      </c>
      <c r="D433" t="s">
        <v>913</v>
      </c>
      <c r="E433" t="s">
        <v>38</v>
      </c>
      <c r="F433" t="s">
        <v>31</v>
      </c>
      <c r="G433" t="s">
        <v>86</v>
      </c>
      <c r="H433" t="s">
        <v>40</v>
      </c>
      <c r="I433" t="s">
        <v>21</v>
      </c>
      <c r="J433" t="s">
        <v>525</v>
      </c>
    </row>
    <row r="434" spans="1:10" x14ac:dyDescent="0.25">
      <c r="A434">
        <v>27803987</v>
      </c>
      <c r="B434" t="s">
        <v>17</v>
      </c>
      <c r="C434" s="4">
        <v>44771.040629560193</v>
      </c>
      <c r="D434" t="s">
        <v>913</v>
      </c>
      <c r="E434" t="s">
        <v>38</v>
      </c>
      <c r="F434" t="s">
        <v>31</v>
      </c>
      <c r="G434" t="s">
        <v>86</v>
      </c>
      <c r="H434" t="s">
        <v>25</v>
      </c>
      <c r="I434" t="s">
        <v>21</v>
      </c>
      <c r="J434" t="s">
        <v>525</v>
      </c>
    </row>
    <row r="435" spans="1:10" x14ac:dyDescent="0.25">
      <c r="A435">
        <v>27804015</v>
      </c>
      <c r="B435" t="s">
        <v>17</v>
      </c>
      <c r="C435" s="4">
        <v>44771.041663888893</v>
      </c>
      <c r="D435" t="s">
        <v>916</v>
      </c>
      <c r="E435" t="s">
        <v>62</v>
      </c>
      <c r="F435" t="s">
        <v>18</v>
      </c>
      <c r="G435" t="s">
        <v>61</v>
      </c>
      <c r="H435" t="s">
        <v>40</v>
      </c>
      <c r="I435" t="s">
        <v>21</v>
      </c>
      <c r="J435" t="s">
        <v>917</v>
      </c>
    </row>
    <row r="436" spans="1:10" x14ac:dyDescent="0.25">
      <c r="A436">
        <v>27806968</v>
      </c>
      <c r="B436" t="s">
        <v>17</v>
      </c>
      <c r="C436" s="4">
        <v>44771.114648437499</v>
      </c>
      <c r="D436" t="s">
        <v>825</v>
      </c>
      <c r="E436" t="s">
        <v>38</v>
      </c>
      <c r="F436" t="s">
        <v>52</v>
      </c>
      <c r="G436" t="s">
        <v>91</v>
      </c>
      <c r="H436" t="s">
        <v>25</v>
      </c>
      <c r="I436" t="s">
        <v>21</v>
      </c>
      <c r="J436" t="s">
        <v>456</v>
      </c>
    </row>
    <row r="437" spans="1:10" x14ac:dyDescent="0.25">
      <c r="A437">
        <v>27804041</v>
      </c>
      <c r="B437" t="s">
        <v>17</v>
      </c>
      <c r="C437" s="4">
        <v>44771.042287696757</v>
      </c>
      <c r="D437" t="s">
        <v>916</v>
      </c>
      <c r="E437" t="s">
        <v>62</v>
      </c>
      <c r="F437" t="s">
        <v>18</v>
      </c>
      <c r="G437" t="s">
        <v>61</v>
      </c>
      <c r="H437" t="s">
        <v>25</v>
      </c>
      <c r="I437" t="s">
        <v>21</v>
      </c>
      <c r="J437" t="s">
        <v>917</v>
      </c>
    </row>
    <row r="438" spans="1:10" x14ac:dyDescent="0.25">
      <c r="A438">
        <v>27804059</v>
      </c>
      <c r="B438" t="s">
        <v>17</v>
      </c>
      <c r="C438" s="4">
        <v>44771.042483229168</v>
      </c>
      <c r="D438" t="s">
        <v>933</v>
      </c>
      <c r="E438" t="s">
        <v>191</v>
      </c>
      <c r="F438" t="s">
        <v>49</v>
      </c>
      <c r="G438" t="s">
        <v>218</v>
      </c>
      <c r="H438" t="s">
        <v>29</v>
      </c>
      <c r="I438" t="s">
        <v>21</v>
      </c>
      <c r="J438" t="s">
        <v>934</v>
      </c>
    </row>
    <row r="439" spans="1:10" x14ac:dyDescent="0.25">
      <c r="A439">
        <v>27804079</v>
      </c>
      <c r="B439" t="s">
        <v>17</v>
      </c>
      <c r="C439" s="4">
        <v>44771.043647592589</v>
      </c>
      <c r="D439" t="s">
        <v>935</v>
      </c>
      <c r="E439" t="s">
        <v>48</v>
      </c>
      <c r="F439" t="s">
        <v>49</v>
      </c>
      <c r="G439" t="s">
        <v>359</v>
      </c>
      <c r="H439" t="s">
        <v>42</v>
      </c>
      <c r="I439" t="s">
        <v>21</v>
      </c>
      <c r="J439" t="s">
        <v>531</v>
      </c>
    </row>
    <row r="440" spans="1:10" x14ac:dyDescent="0.25">
      <c r="A440">
        <v>27804085</v>
      </c>
      <c r="B440" t="s">
        <v>17</v>
      </c>
      <c r="C440" s="4">
        <v>44771.043773564823</v>
      </c>
      <c r="D440" t="s">
        <v>921</v>
      </c>
      <c r="E440" t="s">
        <v>27</v>
      </c>
      <c r="F440" t="s">
        <v>18</v>
      </c>
      <c r="G440" t="s">
        <v>183</v>
      </c>
      <c r="H440" t="s">
        <v>40</v>
      </c>
      <c r="I440" t="s">
        <v>21</v>
      </c>
      <c r="J440" t="s">
        <v>922</v>
      </c>
    </row>
    <row r="441" spans="1:10" x14ac:dyDescent="0.25">
      <c r="A441">
        <v>27804089</v>
      </c>
      <c r="B441" t="s">
        <v>17</v>
      </c>
      <c r="C441" s="4">
        <v>44771.044098356477</v>
      </c>
      <c r="F441" t="s">
        <v>31</v>
      </c>
      <c r="G441" t="s">
        <v>112</v>
      </c>
      <c r="H441" t="s">
        <v>20</v>
      </c>
      <c r="I441" t="s">
        <v>21</v>
      </c>
    </row>
    <row r="442" spans="1:10" x14ac:dyDescent="0.25">
      <c r="A442">
        <v>27804091</v>
      </c>
      <c r="B442" t="s">
        <v>17</v>
      </c>
      <c r="C442" s="4">
        <v>44771.044114108787</v>
      </c>
      <c r="D442" t="s">
        <v>936</v>
      </c>
      <c r="E442" t="s">
        <v>430</v>
      </c>
      <c r="F442" t="s">
        <v>18</v>
      </c>
      <c r="G442" t="s">
        <v>260</v>
      </c>
      <c r="H442" t="s">
        <v>29</v>
      </c>
      <c r="I442" t="s">
        <v>21</v>
      </c>
      <c r="J442" t="s">
        <v>937</v>
      </c>
    </row>
    <row r="443" spans="1:10" x14ac:dyDescent="0.25">
      <c r="A443">
        <v>27816676</v>
      </c>
      <c r="B443" t="s">
        <v>17</v>
      </c>
      <c r="C443" s="4">
        <v>44771.285650995371</v>
      </c>
      <c r="F443" t="s">
        <v>52</v>
      </c>
      <c r="G443" t="s">
        <v>206</v>
      </c>
      <c r="H443" t="s">
        <v>196</v>
      </c>
      <c r="I443" t="s">
        <v>21</v>
      </c>
    </row>
    <row r="444" spans="1:10" x14ac:dyDescent="0.25">
      <c r="A444">
        <v>27804100</v>
      </c>
      <c r="B444" t="s">
        <v>17</v>
      </c>
      <c r="C444" s="4">
        <v>44771.044157824072</v>
      </c>
      <c r="D444" t="s">
        <v>938</v>
      </c>
      <c r="E444" t="s">
        <v>939</v>
      </c>
      <c r="F444" t="s">
        <v>18</v>
      </c>
      <c r="G444" t="s">
        <v>418</v>
      </c>
      <c r="H444" t="s">
        <v>29</v>
      </c>
      <c r="I444" t="s">
        <v>21</v>
      </c>
      <c r="J444" t="s">
        <v>940</v>
      </c>
    </row>
    <row r="445" spans="1:10" x14ac:dyDescent="0.25">
      <c r="A445">
        <v>27804111</v>
      </c>
      <c r="B445" t="s">
        <v>17</v>
      </c>
      <c r="C445" s="4">
        <v>44771.044209560183</v>
      </c>
      <c r="D445" t="s">
        <v>921</v>
      </c>
      <c r="E445" t="s">
        <v>27</v>
      </c>
      <c r="F445" t="s">
        <v>18</v>
      </c>
      <c r="G445" t="s">
        <v>183</v>
      </c>
      <c r="H445" t="s">
        <v>25</v>
      </c>
      <c r="I445" t="s">
        <v>21</v>
      </c>
      <c r="J445" t="s">
        <v>922</v>
      </c>
    </row>
    <row r="446" spans="1:10" x14ac:dyDescent="0.25">
      <c r="A446">
        <v>27804128</v>
      </c>
      <c r="B446" t="s">
        <v>17</v>
      </c>
      <c r="C446" s="4">
        <v>44771.044287627323</v>
      </c>
      <c r="D446" t="s">
        <v>932</v>
      </c>
      <c r="E446" t="s">
        <v>38</v>
      </c>
      <c r="F446" t="s">
        <v>31</v>
      </c>
      <c r="G446" t="s">
        <v>96</v>
      </c>
      <c r="H446" t="s">
        <v>54</v>
      </c>
      <c r="I446" t="s">
        <v>21</v>
      </c>
      <c r="J446" t="s">
        <v>536</v>
      </c>
    </row>
    <row r="447" spans="1:10" x14ac:dyDescent="0.25">
      <c r="A447">
        <v>27816680</v>
      </c>
      <c r="B447" t="s">
        <v>17</v>
      </c>
      <c r="C447" s="4">
        <v>44771.285663449067</v>
      </c>
      <c r="D447" t="s">
        <v>841</v>
      </c>
      <c r="E447" t="s">
        <v>842</v>
      </c>
      <c r="F447" t="s">
        <v>18</v>
      </c>
      <c r="G447" t="s">
        <v>413</v>
      </c>
      <c r="H447" t="s">
        <v>42</v>
      </c>
      <c r="I447" t="s">
        <v>21</v>
      </c>
      <c r="J447" t="s">
        <v>843</v>
      </c>
    </row>
    <row r="448" spans="1:10" x14ac:dyDescent="0.25">
      <c r="A448">
        <v>27804160</v>
      </c>
      <c r="B448" t="s">
        <v>17</v>
      </c>
      <c r="C448" s="4">
        <v>44771.045438981477</v>
      </c>
      <c r="D448" t="s">
        <v>941</v>
      </c>
      <c r="E448" t="s">
        <v>62</v>
      </c>
      <c r="F448" t="s">
        <v>18</v>
      </c>
      <c r="G448" t="s">
        <v>28</v>
      </c>
      <c r="H448" t="s">
        <v>42</v>
      </c>
      <c r="I448" t="s">
        <v>21</v>
      </c>
      <c r="J448" t="s">
        <v>942</v>
      </c>
    </row>
    <row r="449" spans="1:10" x14ac:dyDescent="0.25">
      <c r="A449">
        <v>27806977</v>
      </c>
      <c r="B449" t="s">
        <v>17</v>
      </c>
      <c r="C449" s="4">
        <v>44771.114666782407</v>
      </c>
      <c r="D449" t="s">
        <v>821</v>
      </c>
      <c r="E449" t="s">
        <v>62</v>
      </c>
      <c r="F449" t="s">
        <v>57</v>
      </c>
      <c r="G449" t="s">
        <v>63</v>
      </c>
      <c r="H449" t="s">
        <v>25</v>
      </c>
      <c r="I449" t="s">
        <v>21</v>
      </c>
      <c r="J449" t="s">
        <v>592</v>
      </c>
    </row>
    <row r="450" spans="1:10" x14ac:dyDescent="0.25">
      <c r="A450">
        <v>27804170</v>
      </c>
      <c r="B450" t="s">
        <v>17</v>
      </c>
      <c r="C450" s="4">
        <v>44771.045628935193</v>
      </c>
      <c r="D450" t="s">
        <v>941</v>
      </c>
      <c r="E450" t="s">
        <v>62</v>
      </c>
      <c r="F450" t="s">
        <v>18</v>
      </c>
      <c r="G450" t="s">
        <v>28</v>
      </c>
      <c r="H450" t="s">
        <v>54</v>
      </c>
      <c r="I450" t="s">
        <v>21</v>
      </c>
      <c r="J450" t="s">
        <v>942</v>
      </c>
    </row>
    <row r="451" spans="1:10" x14ac:dyDescent="0.25">
      <c r="A451">
        <v>27804189</v>
      </c>
      <c r="B451" t="s">
        <v>17</v>
      </c>
      <c r="C451" s="4">
        <v>44771.046739166668</v>
      </c>
      <c r="D451" t="s">
        <v>928</v>
      </c>
      <c r="E451" t="s">
        <v>680</v>
      </c>
      <c r="F451" t="s">
        <v>18</v>
      </c>
      <c r="G451" t="s">
        <v>186</v>
      </c>
      <c r="H451" t="s">
        <v>40</v>
      </c>
      <c r="I451" t="s">
        <v>21</v>
      </c>
      <c r="J451" t="s">
        <v>929</v>
      </c>
    </row>
    <row r="452" spans="1:10" x14ac:dyDescent="0.25">
      <c r="A452">
        <v>27804198</v>
      </c>
      <c r="B452" t="s">
        <v>17</v>
      </c>
      <c r="C452" s="4">
        <v>44771.047177743058</v>
      </c>
      <c r="D452" t="s">
        <v>943</v>
      </c>
      <c r="E452" t="s">
        <v>38</v>
      </c>
      <c r="F452" t="s">
        <v>52</v>
      </c>
      <c r="G452" t="s">
        <v>134</v>
      </c>
      <c r="H452" t="s">
        <v>42</v>
      </c>
      <c r="I452" t="s">
        <v>21</v>
      </c>
      <c r="J452" t="s">
        <v>524</v>
      </c>
    </row>
    <row r="453" spans="1:10" x14ac:dyDescent="0.25">
      <c r="A453">
        <v>27804206</v>
      </c>
      <c r="B453" t="s">
        <v>17</v>
      </c>
      <c r="C453" s="4">
        <v>44771.047315358803</v>
      </c>
      <c r="D453" t="s">
        <v>928</v>
      </c>
      <c r="E453" t="s">
        <v>680</v>
      </c>
      <c r="F453" t="s">
        <v>18</v>
      </c>
      <c r="G453" t="s">
        <v>186</v>
      </c>
      <c r="H453" t="s">
        <v>25</v>
      </c>
      <c r="I453" t="s">
        <v>21</v>
      </c>
      <c r="J453" t="s">
        <v>929</v>
      </c>
    </row>
    <row r="454" spans="1:10" x14ac:dyDescent="0.25">
      <c r="A454">
        <v>27816684</v>
      </c>
      <c r="B454" t="s">
        <v>17</v>
      </c>
      <c r="C454" s="4">
        <v>44771.285703136571</v>
      </c>
      <c r="D454" t="s">
        <v>841</v>
      </c>
      <c r="E454" t="s">
        <v>842</v>
      </c>
      <c r="F454" t="s">
        <v>18</v>
      </c>
      <c r="G454" t="s">
        <v>413</v>
      </c>
      <c r="H454" t="s">
        <v>54</v>
      </c>
      <c r="I454" t="s">
        <v>21</v>
      </c>
      <c r="J454" t="s">
        <v>843</v>
      </c>
    </row>
    <row r="455" spans="1:10" x14ac:dyDescent="0.25">
      <c r="A455">
        <v>27804230</v>
      </c>
      <c r="B455" t="s">
        <v>17</v>
      </c>
      <c r="C455" s="4">
        <v>44771.047896759257</v>
      </c>
      <c r="D455" t="s">
        <v>944</v>
      </c>
      <c r="E455" t="s">
        <v>38</v>
      </c>
      <c r="F455" t="s">
        <v>57</v>
      </c>
      <c r="G455" t="s">
        <v>321</v>
      </c>
      <c r="H455" t="s">
        <v>40</v>
      </c>
      <c r="I455" t="s">
        <v>21</v>
      </c>
      <c r="J455" t="s">
        <v>595</v>
      </c>
    </row>
    <row r="456" spans="1:10" x14ac:dyDescent="0.25">
      <c r="A456">
        <v>27804232</v>
      </c>
      <c r="B456" t="s">
        <v>17</v>
      </c>
      <c r="C456" s="4">
        <v>44771.047957824077</v>
      </c>
      <c r="D456" t="s">
        <v>945</v>
      </c>
      <c r="E456" t="s">
        <v>22</v>
      </c>
      <c r="F456" t="s">
        <v>23</v>
      </c>
      <c r="G456" t="s">
        <v>110</v>
      </c>
      <c r="H456" t="s">
        <v>40</v>
      </c>
      <c r="I456" t="s">
        <v>21</v>
      </c>
    </row>
    <row r="457" spans="1:10" x14ac:dyDescent="0.25">
      <c r="A457">
        <v>27804240</v>
      </c>
      <c r="B457" t="s">
        <v>17</v>
      </c>
      <c r="C457" s="4">
        <v>44771.048409594907</v>
      </c>
      <c r="D457" t="s">
        <v>943</v>
      </c>
      <c r="E457" t="s">
        <v>38</v>
      </c>
      <c r="F457" t="s">
        <v>52</v>
      </c>
      <c r="G457" t="s">
        <v>134</v>
      </c>
      <c r="H457" t="s">
        <v>54</v>
      </c>
      <c r="I457" t="s">
        <v>21</v>
      </c>
      <c r="J457" t="s">
        <v>524</v>
      </c>
    </row>
    <row r="458" spans="1:10" x14ac:dyDescent="0.25">
      <c r="A458">
        <v>27804244</v>
      </c>
      <c r="B458" t="s">
        <v>17</v>
      </c>
      <c r="C458" s="4">
        <v>44771.048448518522</v>
      </c>
      <c r="D458" t="s">
        <v>935</v>
      </c>
      <c r="E458" t="s">
        <v>48</v>
      </c>
      <c r="F458" t="s">
        <v>49</v>
      </c>
      <c r="G458" t="s">
        <v>359</v>
      </c>
      <c r="H458" t="s">
        <v>239</v>
      </c>
      <c r="I458" t="s">
        <v>21</v>
      </c>
      <c r="J458" t="s">
        <v>531</v>
      </c>
    </row>
    <row r="459" spans="1:10" x14ac:dyDescent="0.25">
      <c r="A459">
        <v>27804245</v>
      </c>
      <c r="B459" t="s">
        <v>17</v>
      </c>
      <c r="C459" s="4">
        <v>44771.048455405093</v>
      </c>
      <c r="D459" t="s">
        <v>935</v>
      </c>
      <c r="E459" t="s">
        <v>48</v>
      </c>
      <c r="F459" t="s">
        <v>49</v>
      </c>
      <c r="G459" t="s">
        <v>359</v>
      </c>
      <c r="H459" t="s">
        <v>240</v>
      </c>
      <c r="I459" t="s">
        <v>21</v>
      </c>
      <c r="J459" t="s">
        <v>531</v>
      </c>
    </row>
    <row r="460" spans="1:10" x14ac:dyDescent="0.25">
      <c r="A460">
        <v>27804252</v>
      </c>
      <c r="B460" t="s">
        <v>17</v>
      </c>
      <c r="C460" s="4">
        <v>44771.048615081017</v>
      </c>
      <c r="D460" t="s">
        <v>945</v>
      </c>
      <c r="E460" t="s">
        <v>22</v>
      </c>
      <c r="F460" t="s">
        <v>23</v>
      </c>
      <c r="G460" t="s">
        <v>110</v>
      </c>
      <c r="H460" t="s">
        <v>25</v>
      </c>
      <c r="I460" t="s">
        <v>21</v>
      </c>
    </row>
    <row r="461" spans="1:10" x14ac:dyDescent="0.25">
      <c r="A461">
        <v>27804267</v>
      </c>
      <c r="B461" t="s">
        <v>17</v>
      </c>
      <c r="C461" s="4">
        <v>44771.048757187498</v>
      </c>
      <c r="D461" t="s">
        <v>944</v>
      </c>
      <c r="E461" t="s">
        <v>38</v>
      </c>
      <c r="F461" t="s">
        <v>57</v>
      </c>
      <c r="G461" t="s">
        <v>321</v>
      </c>
      <c r="H461" t="s">
        <v>25</v>
      </c>
      <c r="I461" t="s">
        <v>21</v>
      </c>
      <c r="J461" t="s">
        <v>595</v>
      </c>
    </row>
    <row r="462" spans="1:10" x14ac:dyDescent="0.25">
      <c r="A462">
        <v>27804294</v>
      </c>
      <c r="B462" t="s">
        <v>17</v>
      </c>
      <c r="C462" s="4">
        <v>44771.049109317129</v>
      </c>
      <c r="D462" t="s">
        <v>932</v>
      </c>
      <c r="E462" t="s">
        <v>38</v>
      </c>
      <c r="F462" t="s">
        <v>31</v>
      </c>
      <c r="G462" t="s">
        <v>96</v>
      </c>
      <c r="H462" t="s">
        <v>40</v>
      </c>
      <c r="I462" t="s">
        <v>21</v>
      </c>
      <c r="J462" t="s">
        <v>536</v>
      </c>
    </row>
    <row r="463" spans="1:10" x14ac:dyDescent="0.25">
      <c r="A463">
        <v>27804309</v>
      </c>
      <c r="B463" t="s">
        <v>17</v>
      </c>
      <c r="C463" s="4">
        <v>44771.049434884262</v>
      </c>
      <c r="D463" t="s">
        <v>946</v>
      </c>
      <c r="E463" t="s">
        <v>22</v>
      </c>
      <c r="F463" t="s">
        <v>31</v>
      </c>
      <c r="G463" t="s">
        <v>157</v>
      </c>
      <c r="H463" t="s">
        <v>42</v>
      </c>
      <c r="I463" t="s">
        <v>21</v>
      </c>
      <c r="J463" t="s">
        <v>528</v>
      </c>
    </row>
    <row r="464" spans="1:10" x14ac:dyDescent="0.25">
      <c r="A464">
        <v>27804320</v>
      </c>
      <c r="B464" t="s">
        <v>17</v>
      </c>
      <c r="C464" s="4">
        <v>44771.049780694448</v>
      </c>
      <c r="D464" t="s">
        <v>947</v>
      </c>
      <c r="E464" t="s">
        <v>554</v>
      </c>
      <c r="F464" t="s">
        <v>49</v>
      </c>
      <c r="G464" t="s">
        <v>201</v>
      </c>
      <c r="H464" t="s">
        <v>29</v>
      </c>
      <c r="I464" t="s">
        <v>21</v>
      </c>
      <c r="J464" t="s">
        <v>948</v>
      </c>
    </row>
    <row r="465" spans="1:10" x14ac:dyDescent="0.25">
      <c r="A465">
        <v>27804334</v>
      </c>
      <c r="B465" t="s">
        <v>17</v>
      </c>
      <c r="C465" s="4">
        <v>44771.049939756937</v>
      </c>
      <c r="D465" t="s">
        <v>932</v>
      </c>
      <c r="E465" t="s">
        <v>38</v>
      </c>
      <c r="F465" t="s">
        <v>31</v>
      </c>
      <c r="G465" t="s">
        <v>96</v>
      </c>
      <c r="H465" t="s">
        <v>25</v>
      </c>
      <c r="I465" t="s">
        <v>21</v>
      </c>
      <c r="J465" t="s">
        <v>536</v>
      </c>
    </row>
    <row r="466" spans="1:10" x14ac:dyDescent="0.25">
      <c r="A466">
        <v>27804347</v>
      </c>
      <c r="B466" t="s">
        <v>17</v>
      </c>
      <c r="C466" s="4">
        <v>44771.050255694441</v>
      </c>
      <c r="D466" t="s">
        <v>946</v>
      </c>
      <c r="E466" t="s">
        <v>22</v>
      </c>
      <c r="F466" t="s">
        <v>31</v>
      </c>
      <c r="G466" t="s">
        <v>157</v>
      </c>
      <c r="H466" t="s">
        <v>54</v>
      </c>
      <c r="I466" t="s">
        <v>21</v>
      </c>
      <c r="J466" t="s">
        <v>528</v>
      </c>
    </row>
    <row r="467" spans="1:10" x14ac:dyDescent="0.25">
      <c r="A467">
        <v>27804358</v>
      </c>
      <c r="B467" t="s">
        <v>17</v>
      </c>
      <c r="C467" s="4">
        <v>44771.05065002315</v>
      </c>
      <c r="D467" t="s">
        <v>949</v>
      </c>
      <c r="E467" t="s">
        <v>38</v>
      </c>
      <c r="F467" t="s">
        <v>23</v>
      </c>
      <c r="G467" t="s">
        <v>149</v>
      </c>
      <c r="H467" t="s">
        <v>42</v>
      </c>
      <c r="I467" t="s">
        <v>21</v>
      </c>
      <c r="J467" t="s">
        <v>527</v>
      </c>
    </row>
    <row r="468" spans="1:10" x14ac:dyDescent="0.25">
      <c r="A468">
        <v>27804366</v>
      </c>
      <c r="B468" t="s">
        <v>17</v>
      </c>
      <c r="C468" s="4">
        <v>44771.050997824073</v>
      </c>
      <c r="D468" t="s">
        <v>949</v>
      </c>
      <c r="E468" t="s">
        <v>38</v>
      </c>
      <c r="F468" t="s">
        <v>23</v>
      </c>
      <c r="G468" t="s">
        <v>149</v>
      </c>
      <c r="H468" t="s">
        <v>54</v>
      </c>
      <c r="I468" t="s">
        <v>21</v>
      </c>
      <c r="J468" t="s">
        <v>527</v>
      </c>
    </row>
    <row r="469" spans="1:10" x14ac:dyDescent="0.25">
      <c r="A469">
        <v>27804374</v>
      </c>
      <c r="B469" t="s">
        <v>17</v>
      </c>
      <c r="C469" s="4">
        <v>44771.051143738427</v>
      </c>
      <c r="D469" t="s">
        <v>941</v>
      </c>
      <c r="E469" t="s">
        <v>62</v>
      </c>
      <c r="F469" t="s">
        <v>18</v>
      </c>
      <c r="G469" t="s">
        <v>28</v>
      </c>
      <c r="H469" t="s">
        <v>40</v>
      </c>
      <c r="I469" t="s">
        <v>21</v>
      </c>
      <c r="J469" t="s">
        <v>942</v>
      </c>
    </row>
    <row r="470" spans="1:10" x14ac:dyDescent="0.25">
      <c r="A470">
        <v>27804385</v>
      </c>
      <c r="B470" t="s">
        <v>17</v>
      </c>
      <c r="C470" s="4">
        <v>44771.051331747687</v>
      </c>
      <c r="D470" t="s">
        <v>919</v>
      </c>
      <c r="E470" t="s">
        <v>38</v>
      </c>
      <c r="F470" t="s">
        <v>31</v>
      </c>
      <c r="G470" t="s">
        <v>168</v>
      </c>
      <c r="H470" t="s">
        <v>54</v>
      </c>
      <c r="I470" t="s">
        <v>21</v>
      </c>
      <c r="J470" t="s">
        <v>595</v>
      </c>
    </row>
    <row r="471" spans="1:10" x14ac:dyDescent="0.25">
      <c r="A471">
        <v>27804400</v>
      </c>
      <c r="B471" t="s">
        <v>17</v>
      </c>
      <c r="C471" s="4">
        <v>44771.051671180547</v>
      </c>
      <c r="D471" t="s">
        <v>919</v>
      </c>
      <c r="E471" t="s">
        <v>38</v>
      </c>
      <c r="F471" t="s">
        <v>31</v>
      </c>
      <c r="G471" t="s">
        <v>168</v>
      </c>
      <c r="H471" t="s">
        <v>79</v>
      </c>
      <c r="I471" t="s">
        <v>21</v>
      </c>
      <c r="J471" t="s">
        <v>595</v>
      </c>
    </row>
    <row r="472" spans="1:10" x14ac:dyDescent="0.25">
      <c r="A472">
        <v>27804404</v>
      </c>
      <c r="B472" t="s">
        <v>17</v>
      </c>
      <c r="C472" s="4">
        <v>44771.051686840277</v>
      </c>
      <c r="D472" t="s">
        <v>941</v>
      </c>
      <c r="E472" t="s">
        <v>62</v>
      </c>
      <c r="F472" t="s">
        <v>18</v>
      </c>
      <c r="G472" t="s">
        <v>28</v>
      </c>
      <c r="H472" t="s">
        <v>25</v>
      </c>
      <c r="I472" t="s">
        <v>21</v>
      </c>
      <c r="J472" t="s">
        <v>942</v>
      </c>
    </row>
    <row r="473" spans="1:10" x14ac:dyDescent="0.25">
      <c r="A473">
        <v>27804419</v>
      </c>
      <c r="B473" t="s">
        <v>17</v>
      </c>
      <c r="C473" s="4">
        <v>44771.05181109954</v>
      </c>
      <c r="F473" t="s">
        <v>31</v>
      </c>
      <c r="G473" t="s">
        <v>168</v>
      </c>
      <c r="H473" t="s">
        <v>20</v>
      </c>
      <c r="I473" t="s">
        <v>21</v>
      </c>
    </row>
    <row r="474" spans="1:10" x14ac:dyDescent="0.25">
      <c r="A474">
        <v>27804427</v>
      </c>
      <c r="B474" t="s">
        <v>17</v>
      </c>
      <c r="C474" s="4">
        <v>44771.051865185182</v>
      </c>
      <c r="D474" t="s">
        <v>950</v>
      </c>
      <c r="E474" t="s">
        <v>62</v>
      </c>
      <c r="F474" t="s">
        <v>57</v>
      </c>
      <c r="G474" t="s">
        <v>291</v>
      </c>
      <c r="H474" t="s">
        <v>42</v>
      </c>
      <c r="I474" t="s">
        <v>21</v>
      </c>
      <c r="J474" t="s">
        <v>951</v>
      </c>
    </row>
    <row r="475" spans="1:10" x14ac:dyDescent="0.25">
      <c r="A475">
        <v>27804445</v>
      </c>
      <c r="B475" t="s">
        <v>17</v>
      </c>
      <c r="C475" s="4">
        <v>44771.052482754632</v>
      </c>
      <c r="D475" t="s">
        <v>935</v>
      </c>
      <c r="E475" t="s">
        <v>48</v>
      </c>
      <c r="F475" t="s">
        <v>49</v>
      </c>
      <c r="G475" t="s">
        <v>359</v>
      </c>
      <c r="H475" t="s">
        <v>40</v>
      </c>
      <c r="I475" t="s">
        <v>21</v>
      </c>
      <c r="J475" t="s">
        <v>531</v>
      </c>
    </row>
    <row r="476" spans="1:10" x14ac:dyDescent="0.25">
      <c r="A476">
        <v>27804446</v>
      </c>
      <c r="B476" t="s">
        <v>17</v>
      </c>
      <c r="C476" s="4">
        <v>44771.052711238422</v>
      </c>
      <c r="D476" t="s">
        <v>952</v>
      </c>
      <c r="E476" t="s">
        <v>27</v>
      </c>
      <c r="F476" t="s">
        <v>18</v>
      </c>
      <c r="G476" t="s">
        <v>102</v>
      </c>
      <c r="H476" t="s">
        <v>29</v>
      </c>
      <c r="I476" t="s">
        <v>21</v>
      </c>
      <c r="J476" t="s">
        <v>953</v>
      </c>
    </row>
    <row r="477" spans="1:10" x14ac:dyDescent="0.25">
      <c r="A477">
        <v>27804463</v>
      </c>
      <c r="B477" t="s">
        <v>17</v>
      </c>
      <c r="C477" s="4">
        <v>44771.05310344907</v>
      </c>
      <c r="D477" t="s">
        <v>954</v>
      </c>
      <c r="E477" t="s">
        <v>38</v>
      </c>
      <c r="F477" t="s">
        <v>31</v>
      </c>
      <c r="G477" t="s">
        <v>112</v>
      </c>
      <c r="H477" t="s">
        <v>40</v>
      </c>
      <c r="I477" t="s">
        <v>21</v>
      </c>
    </row>
    <row r="478" spans="1:10" x14ac:dyDescent="0.25">
      <c r="A478">
        <v>27804464</v>
      </c>
      <c r="B478" t="s">
        <v>17</v>
      </c>
      <c r="C478" s="4">
        <v>44771.053237002307</v>
      </c>
      <c r="D478" t="s">
        <v>935</v>
      </c>
      <c r="E478" t="s">
        <v>48</v>
      </c>
      <c r="F478" t="s">
        <v>49</v>
      </c>
      <c r="G478" t="s">
        <v>359</v>
      </c>
      <c r="H478" t="s">
        <v>25</v>
      </c>
      <c r="I478" t="s">
        <v>21</v>
      </c>
      <c r="J478" t="s">
        <v>531</v>
      </c>
    </row>
    <row r="479" spans="1:10" x14ac:dyDescent="0.25">
      <c r="A479">
        <v>27804476</v>
      </c>
      <c r="B479" t="s">
        <v>17</v>
      </c>
      <c r="C479" s="4">
        <v>44771.053391886577</v>
      </c>
      <c r="D479" t="s">
        <v>950</v>
      </c>
      <c r="E479" t="s">
        <v>62</v>
      </c>
      <c r="F479" t="s">
        <v>57</v>
      </c>
      <c r="G479" t="s">
        <v>291</v>
      </c>
      <c r="H479" t="s">
        <v>54</v>
      </c>
      <c r="I479" t="s">
        <v>21</v>
      </c>
      <c r="J479" t="s">
        <v>951</v>
      </c>
    </row>
    <row r="480" spans="1:10" x14ac:dyDescent="0.25">
      <c r="A480">
        <v>27804480</v>
      </c>
      <c r="B480" t="s">
        <v>17</v>
      </c>
      <c r="C480" s="4">
        <v>44771.053450648149</v>
      </c>
      <c r="D480" t="s">
        <v>954</v>
      </c>
      <c r="E480" t="s">
        <v>38</v>
      </c>
      <c r="F480" t="s">
        <v>31</v>
      </c>
      <c r="G480" t="s">
        <v>112</v>
      </c>
      <c r="H480" t="s">
        <v>25</v>
      </c>
      <c r="I480" t="s">
        <v>21</v>
      </c>
    </row>
    <row r="481" spans="1:10" x14ac:dyDescent="0.25">
      <c r="A481">
        <v>27804495</v>
      </c>
      <c r="B481" t="s">
        <v>17</v>
      </c>
      <c r="C481" s="4">
        <v>44771.053577071762</v>
      </c>
      <c r="D481" t="s">
        <v>943</v>
      </c>
      <c r="E481" t="s">
        <v>38</v>
      </c>
      <c r="F481" t="s">
        <v>52</v>
      </c>
      <c r="G481" t="s">
        <v>134</v>
      </c>
      <c r="H481" t="s">
        <v>40</v>
      </c>
      <c r="I481" t="s">
        <v>21</v>
      </c>
      <c r="J481" t="s">
        <v>524</v>
      </c>
    </row>
    <row r="482" spans="1:10" x14ac:dyDescent="0.25">
      <c r="A482">
        <v>27804497</v>
      </c>
      <c r="B482" t="s">
        <v>17</v>
      </c>
      <c r="C482" s="4">
        <v>44771.053601851847</v>
      </c>
      <c r="D482" t="s">
        <v>955</v>
      </c>
      <c r="E482" t="s">
        <v>62</v>
      </c>
      <c r="F482" t="s">
        <v>57</v>
      </c>
      <c r="G482" t="s">
        <v>419</v>
      </c>
      <c r="H482" t="s">
        <v>42</v>
      </c>
      <c r="I482" t="s">
        <v>21</v>
      </c>
      <c r="J482" t="s">
        <v>568</v>
      </c>
    </row>
    <row r="483" spans="1:10" x14ac:dyDescent="0.25">
      <c r="A483">
        <v>27804506</v>
      </c>
      <c r="B483" t="s">
        <v>17</v>
      </c>
      <c r="C483" s="4">
        <v>44771.05397108796</v>
      </c>
      <c r="D483" t="s">
        <v>943</v>
      </c>
      <c r="E483" t="s">
        <v>38</v>
      </c>
      <c r="F483" t="s">
        <v>52</v>
      </c>
      <c r="G483" t="s">
        <v>134</v>
      </c>
      <c r="H483" t="s">
        <v>25</v>
      </c>
      <c r="I483" t="s">
        <v>21</v>
      </c>
      <c r="J483" t="s">
        <v>524</v>
      </c>
    </row>
    <row r="484" spans="1:10" x14ac:dyDescent="0.25">
      <c r="A484">
        <v>27804535</v>
      </c>
      <c r="B484" t="s">
        <v>17</v>
      </c>
      <c r="C484" s="4">
        <v>44771.055181354168</v>
      </c>
      <c r="D484" t="s">
        <v>956</v>
      </c>
      <c r="E484" t="s">
        <v>27</v>
      </c>
      <c r="F484" t="s">
        <v>18</v>
      </c>
      <c r="G484" t="s">
        <v>154</v>
      </c>
      <c r="H484" t="s">
        <v>29</v>
      </c>
      <c r="I484" t="s">
        <v>21</v>
      </c>
      <c r="J484" t="s">
        <v>957</v>
      </c>
    </row>
    <row r="485" spans="1:10" x14ac:dyDescent="0.25">
      <c r="A485">
        <v>27804570</v>
      </c>
      <c r="B485" t="s">
        <v>17</v>
      </c>
      <c r="C485" s="4">
        <v>44771.055916180558</v>
      </c>
      <c r="D485" t="s">
        <v>958</v>
      </c>
      <c r="E485" t="s">
        <v>62</v>
      </c>
      <c r="F485" t="s">
        <v>57</v>
      </c>
      <c r="G485" t="s">
        <v>88</v>
      </c>
      <c r="H485" t="s">
        <v>42</v>
      </c>
      <c r="I485" t="s">
        <v>21</v>
      </c>
      <c r="J485" t="s">
        <v>584</v>
      </c>
    </row>
    <row r="486" spans="1:10" x14ac:dyDescent="0.25">
      <c r="A486">
        <v>27804580</v>
      </c>
      <c r="B486" t="s">
        <v>17</v>
      </c>
      <c r="C486" s="4">
        <v>44771.056295219911</v>
      </c>
      <c r="D486" t="s">
        <v>959</v>
      </c>
      <c r="E486" t="s">
        <v>62</v>
      </c>
      <c r="F486" t="s">
        <v>49</v>
      </c>
      <c r="G486" t="s">
        <v>73</v>
      </c>
      <c r="H486" t="s">
        <v>29</v>
      </c>
      <c r="I486" t="s">
        <v>21</v>
      </c>
      <c r="J486" t="s">
        <v>960</v>
      </c>
    </row>
    <row r="487" spans="1:10" x14ac:dyDescent="0.25">
      <c r="A487">
        <v>27804604</v>
      </c>
      <c r="B487" t="s">
        <v>17</v>
      </c>
      <c r="C487" s="4">
        <v>44771.05684232639</v>
      </c>
      <c r="D487" t="s">
        <v>961</v>
      </c>
      <c r="E487" t="s">
        <v>38</v>
      </c>
      <c r="F487" t="s">
        <v>23</v>
      </c>
      <c r="G487" t="s">
        <v>224</v>
      </c>
      <c r="H487" t="s">
        <v>42</v>
      </c>
      <c r="I487" t="s">
        <v>21</v>
      </c>
      <c r="J487" t="s">
        <v>529</v>
      </c>
    </row>
    <row r="488" spans="1:10" x14ac:dyDescent="0.25">
      <c r="A488">
        <v>27804632</v>
      </c>
      <c r="B488" t="s">
        <v>17</v>
      </c>
      <c r="C488" s="4">
        <v>44771.058057812501</v>
      </c>
      <c r="D488" t="s">
        <v>962</v>
      </c>
      <c r="E488" t="s">
        <v>22</v>
      </c>
      <c r="F488" t="s">
        <v>52</v>
      </c>
      <c r="G488" t="s">
        <v>410</v>
      </c>
      <c r="H488" t="s">
        <v>42</v>
      </c>
      <c r="I488" t="s">
        <v>21</v>
      </c>
      <c r="J488" t="s">
        <v>532</v>
      </c>
    </row>
    <row r="489" spans="1:10" x14ac:dyDescent="0.25">
      <c r="A489">
        <v>27804636</v>
      </c>
      <c r="B489" t="s">
        <v>17</v>
      </c>
      <c r="C489" s="4">
        <v>44771.058269039349</v>
      </c>
      <c r="D489" t="s">
        <v>961</v>
      </c>
      <c r="E489" t="s">
        <v>38</v>
      </c>
      <c r="F489" t="s">
        <v>23</v>
      </c>
      <c r="G489" t="s">
        <v>224</v>
      </c>
      <c r="H489" t="s">
        <v>54</v>
      </c>
      <c r="I489" t="s">
        <v>21</v>
      </c>
      <c r="J489" t="s">
        <v>529</v>
      </c>
    </row>
    <row r="490" spans="1:10" x14ac:dyDescent="0.25">
      <c r="A490">
        <v>27804643</v>
      </c>
      <c r="B490" t="s">
        <v>17</v>
      </c>
      <c r="C490" s="4">
        <v>44771.058579629629</v>
      </c>
      <c r="D490" t="s">
        <v>963</v>
      </c>
      <c r="E490" t="s">
        <v>582</v>
      </c>
      <c r="F490" t="s">
        <v>49</v>
      </c>
      <c r="G490" t="s">
        <v>128</v>
      </c>
      <c r="H490" t="s">
        <v>29</v>
      </c>
      <c r="I490" t="s">
        <v>21</v>
      </c>
      <c r="J490" t="s">
        <v>535</v>
      </c>
    </row>
    <row r="491" spans="1:10" x14ac:dyDescent="0.25">
      <c r="A491">
        <v>27804656</v>
      </c>
      <c r="B491" t="s">
        <v>17</v>
      </c>
      <c r="C491" s="4">
        <v>44771.058839791673</v>
      </c>
      <c r="D491" t="s">
        <v>955</v>
      </c>
      <c r="E491" t="s">
        <v>62</v>
      </c>
      <c r="F491" t="s">
        <v>57</v>
      </c>
      <c r="G491" t="s">
        <v>419</v>
      </c>
      <c r="H491" t="s">
        <v>54</v>
      </c>
      <c r="I491" t="s">
        <v>21</v>
      </c>
      <c r="J491" t="s">
        <v>568</v>
      </c>
    </row>
    <row r="492" spans="1:10" x14ac:dyDescent="0.25">
      <c r="A492">
        <v>27804661</v>
      </c>
      <c r="B492" t="s">
        <v>17</v>
      </c>
      <c r="C492" s="4">
        <v>44771.058967928242</v>
      </c>
      <c r="D492" t="s">
        <v>949</v>
      </c>
      <c r="E492" t="s">
        <v>38</v>
      </c>
      <c r="F492" t="s">
        <v>23</v>
      </c>
      <c r="G492" t="s">
        <v>149</v>
      </c>
      <c r="H492" t="s">
        <v>40</v>
      </c>
      <c r="I492" t="s">
        <v>21</v>
      </c>
      <c r="J492" t="s">
        <v>527</v>
      </c>
    </row>
    <row r="493" spans="1:10" x14ac:dyDescent="0.25">
      <c r="A493">
        <v>27804668</v>
      </c>
      <c r="B493" t="s">
        <v>17</v>
      </c>
      <c r="C493" s="4">
        <v>44771.059075775462</v>
      </c>
      <c r="D493" t="s">
        <v>962</v>
      </c>
      <c r="E493" t="s">
        <v>22</v>
      </c>
      <c r="F493" t="s">
        <v>52</v>
      </c>
      <c r="G493" t="s">
        <v>410</v>
      </c>
      <c r="H493" t="s">
        <v>54</v>
      </c>
      <c r="I493" t="s">
        <v>21</v>
      </c>
      <c r="J493" t="s">
        <v>532</v>
      </c>
    </row>
    <row r="494" spans="1:10" x14ac:dyDescent="0.25">
      <c r="A494">
        <v>27804683</v>
      </c>
      <c r="B494" t="s">
        <v>17</v>
      </c>
      <c r="C494" s="4">
        <v>44771.059529745369</v>
      </c>
      <c r="D494" t="s">
        <v>949</v>
      </c>
      <c r="E494" t="s">
        <v>38</v>
      </c>
      <c r="F494" t="s">
        <v>23</v>
      </c>
      <c r="G494" t="s">
        <v>149</v>
      </c>
      <c r="H494" t="s">
        <v>25</v>
      </c>
      <c r="I494" t="s">
        <v>21</v>
      </c>
      <c r="J494" t="s">
        <v>527</v>
      </c>
    </row>
    <row r="495" spans="1:10" x14ac:dyDescent="0.25">
      <c r="A495">
        <v>27817948</v>
      </c>
      <c r="B495" t="s">
        <v>17</v>
      </c>
      <c r="C495" s="4">
        <v>44771.308800081017</v>
      </c>
      <c r="D495" t="s">
        <v>710</v>
      </c>
      <c r="E495" t="s">
        <v>38</v>
      </c>
      <c r="F495" t="s">
        <v>52</v>
      </c>
      <c r="G495" t="s">
        <v>229</v>
      </c>
      <c r="H495" t="s">
        <v>40</v>
      </c>
      <c r="I495" t="s">
        <v>21</v>
      </c>
      <c r="J495" t="s">
        <v>139</v>
      </c>
    </row>
    <row r="496" spans="1:10" x14ac:dyDescent="0.25">
      <c r="A496">
        <v>27804703</v>
      </c>
      <c r="B496" t="s">
        <v>17</v>
      </c>
      <c r="C496" s="4">
        <v>44771.059909317133</v>
      </c>
      <c r="D496" t="s">
        <v>964</v>
      </c>
      <c r="E496" t="s">
        <v>38</v>
      </c>
      <c r="F496" t="s">
        <v>52</v>
      </c>
      <c r="G496" t="s">
        <v>100</v>
      </c>
      <c r="H496" t="s">
        <v>42</v>
      </c>
      <c r="I496" t="s">
        <v>21</v>
      </c>
      <c r="J496" t="s">
        <v>534</v>
      </c>
    </row>
    <row r="497" spans="1:10" x14ac:dyDescent="0.25">
      <c r="A497">
        <v>27804709</v>
      </c>
      <c r="B497" t="s">
        <v>17</v>
      </c>
      <c r="C497" s="4">
        <v>44771.060154560182</v>
      </c>
      <c r="D497" t="s">
        <v>958</v>
      </c>
      <c r="E497" t="s">
        <v>62</v>
      </c>
      <c r="F497" t="s">
        <v>57</v>
      </c>
      <c r="G497" t="s">
        <v>88</v>
      </c>
      <c r="H497" t="s">
        <v>54</v>
      </c>
      <c r="I497" t="s">
        <v>21</v>
      </c>
      <c r="J497" t="s">
        <v>584</v>
      </c>
    </row>
    <row r="498" spans="1:10" x14ac:dyDescent="0.25">
      <c r="A498">
        <v>27804719</v>
      </c>
      <c r="B498" t="s">
        <v>17</v>
      </c>
      <c r="C498" s="4">
        <v>44771.060549652779</v>
      </c>
      <c r="D498" t="s">
        <v>950</v>
      </c>
      <c r="E498" t="s">
        <v>62</v>
      </c>
      <c r="F498" t="s">
        <v>57</v>
      </c>
      <c r="G498" t="s">
        <v>291</v>
      </c>
      <c r="H498" t="s">
        <v>40</v>
      </c>
      <c r="I498" t="s">
        <v>21</v>
      </c>
      <c r="J498" t="s">
        <v>951</v>
      </c>
    </row>
    <row r="499" spans="1:10" x14ac:dyDescent="0.25">
      <c r="A499">
        <v>27804724</v>
      </c>
      <c r="B499" t="s">
        <v>17</v>
      </c>
      <c r="C499" s="4">
        <v>44771.060802245367</v>
      </c>
      <c r="D499" t="s">
        <v>946</v>
      </c>
      <c r="E499" t="s">
        <v>22</v>
      </c>
      <c r="F499" t="s">
        <v>31</v>
      </c>
      <c r="G499" t="s">
        <v>157</v>
      </c>
      <c r="H499" t="s">
        <v>40</v>
      </c>
      <c r="I499" t="s">
        <v>21</v>
      </c>
      <c r="J499" t="s">
        <v>528</v>
      </c>
    </row>
    <row r="500" spans="1:10" x14ac:dyDescent="0.25">
      <c r="A500">
        <v>27804727</v>
      </c>
      <c r="B500" t="s">
        <v>17</v>
      </c>
      <c r="C500" s="4">
        <v>44771.061008402779</v>
      </c>
      <c r="D500" t="s">
        <v>964</v>
      </c>
      <c r="E500" t="s">
        <v>38</v>
      </c>
      <c r="F500" t="s">
        <v>52</v>
      </c>
      <c r="G500" t="s">
        <v>100</v>
      </c>
      <c r="H500" t="s">
        <v>54</v>
      </c>
      <c r="I500" t="s">
        <v>21</v>
      </c>
      <c r="J500" t="s">
        <v>534</v>
      </c>
    </row>
    <row r="501" spans="1:10" x14ac:dyDescent="0.25">
      <c r="A501">
        <v>27804739</v>
      </c>
      <c r="B501" t="s">
        <v>17</v>
      </c>
      <c r="C501" s="4">
        <v>44771.06106709491</v>
      </c>
      <c r="D501" t="s">
        <v>965</v>
      </c>
      <c r="E501" t="s">
        <v>62</v>
      </c>
      <c r="F501" t="s">
        <v>18</v>
      </c>
      <c r="G501" t="s">
        <v>375</v>
      </c>
      <c r="H501" t="s">
        <v>42</v>
      </c>
      <c r="I501" t="s">
        <v>21</v>
      </c>
      <c r="J501" t="s">
        <v>966</v>
      </c>
    </row>
    <row r="502" spans="1:10" x14ac:dyDescent="0.25">
      <c r="A502">
        <v>27804744</v>
      </c>
      <c r="B502" t="s">
        <v>17</v>
      </c>
      <c r="C502" s="4">
        <v>44771.061117708326</v>
      </c>
      <c r="D502" t="s">
        <v>965</v>
      </c>
      <c r="E502" t="s">
        <v>62</v>
      </c>
      <c r="F502" t="s">
        <v>18</v>
      </c>
      <c r="G502" t="s">
        <v>375</v>
      </c>
      <c r="H502" t="s">
        <v>54</v>
      </c>
      <c r="I502" t="s">
        <v>21</v>
      </c>
      <c r="J502" t="s">
        <v>966</v>
      </c>
    </row>
    <row r="503" spans="1:10" x14ac:dyDescent="0.25">
      <c r="A503">
        <v>27804756</v>
      </c>
      <c r="B503" t="s">
        <v>17</v>
      </c>
      <c r="C503" s="4">
        <v>44771.061354270831</v>
      </c>
      <c r="D503" t="s">
        <v>950</v>
      </c>
      <c r="E503" t="s">
        <v>62</v>
      </c>
      <c r="F503" t="s">
        <v>57</v>
      </c>
      <c r="G503" t="s">
        <v>291</v>
      </c>
      <c r="H503" t="s">
        <v>25</v>
      </c>
      <c r="I503" t="s">
        <v>21</v>
      </c>
      <c r="J503" t="s">
        <v>951</v>
      </c>
    </row>
    <row r="504" spans="1:10" x14ac:dyDescent="0.25">
      <c r="A504">
        <v>27804770</v>
      </c>
      <c r="B504" t="s">
        <v>17</v>
      </c>
      <c r="C504" s="4">
        <v>44771.06151634259</v>
      </c>
      <c r="D504" t="s">
        <v>946</v>
      </c>
      <c r="E504" t="s">
        <v>22</v>
      </c>
      <c r="F504" t="s">
        <v>31</v>
      </c>
      <c r="G504" t="s">
        <v>157</v>
      </c>
      <c r="H504" t="s">
        <v>25</v>
      </c>
      <c r="I504" t="s">
        <v>21</v>
      </c>
      <c r="J504" t="s">
        <v>528</v>
      </c>
    </row>
    <row r="505" spans="1:10" x14ac:dyDescent="0.25">
      <c r="A505">
        <v>27816689</v>
      </c>
      <c r="B505" t="s">
        <v>17</v>
      </c>
      <c r="C505" s="4">
        <v>44771.285731238429</v>
      </c>
      <c r="D505" t="s">
        <v>841</v>
      </c>
      <c r="E505" t="s">
        <v>842</v>
      </c>
      <c r="F505" t="s">
        <v>18</v>
      </c>
      <c r="G505" t="s">
        <v>413</v>
      </c>
      <c r="H505" t="s">
        <v>118</v>
      </c>
      <c r="I505" t="s">
        <v>36</v>
      </c>
      <c r="J505" t="s">
        <v>843</v>
      </c>
    </row>
    <row r="506" spans="1:10" x14ac:dyDescent="0.25">
      <c r="A506">
        <v>27804782</v>
      </c>
      <c r="B506" t="s">
        <v>17</v>
      </c>
      <c r="C506" s="4">
        <v>44771.061626099538</v>
      </c>
      <c r="D506" t="s">
        <v>955</v>
      </c>
      <c r="E506" t="s">
        <v>62</v>
      </c>
      <c r="F506" t="s">
        <v>57</v>
      </c>
      <c r="G506" t="s">
        <v>419</v>
      </c>
      <c r="H506" t="s">
        <v>40</v>
      </c>
      <c r="I506" t="s">
        <v>21</v>
      </c>
      <c r="J506" t="s">
        <v>568</v>
      </c>
    </row>
    <row r="507" spans="1:10" x14ac:dyDescent="0.25">
      <c r="A507">
        <v>27804785</v>
      </c>
      <c r="B507" t="s">
        <v>17</v>
      </c>
      <c r="C507" s="4">
        <v>44771.0619834838</v>
      </c>
      <c r="D507" t="s">
        <v>955</v>
      </c>
      <c r="E507" t="s">
        <v>62</v>
      </c>
      <c r="F507" t="s">
        <v>57</v>
      </c>
      <c r="G507" t="s">
        <v>419</v>
      </c>
      <c r="H507" t="s">
        <v>25</v>
      </c>
      <c r="I507" t="s">
        <v>21</v>
      </c>
      <c r="J507" t="s">
        <v>568</v>
      </c>
    </row>
    <row r="508" spans="1:10" x14ac:dyDescent="0.25">
      <c r="A508">
        <v>27804817</v>
      </c>
      <c r="B508" t="s">
        <v>17</v>
      </c>
      <c r="C508" s="4">
        <v>44771.062745069437</v>
      </c>
      <c r="D508" t="s">
        <v>967</v>
      </c>
      <c r="E508" t="s">
        <v>22</v>
      </c>
      <c r="F508" t="s">
        <v>52</v>
      </c>
      <c r="G508" t="s">
        <v>409</v>
      </c>
      <c r="H508" t="s">
        <v>42</v>
      </c>
      <c r="I508" t="s">
        <v>21</v>
      </c>
      <c r="J508" t="s">
        <v>505</v>
      </c>
    </row>
    <row r="509" spans="1:10" x14ac:dyDescent="0.25">
      <c r="A509">
        <v>27804830</v>
      </c>
      <c r="B509" t="s">
        <v>17</v>
      </c>
      <c r="C509" s="4">
        <v>44771.063197129632</v>
      </c>
      <c r="D509" t="s">
        <v>968</v>
      </c>
      <c r="E509" t="s">
        <v>38</v>
      </c>
      <c r="F509" t="s">
        <v>31</v>
      </c>
      <c r="G509" t="s">
        <v>168</v>
      </c>
      <c r="H509" t="s">
        <v>40</v>
      </c>
      <c r="I509" t="s">
        <v>21</v>
      </c>
    </row>
    <row r="510" spans="1:10" x14ac:dyDescent="0.25">
      <c r="A510">
        <v>27816694</v>
      </c>
      <c r="B510" t="s">
        <v>17</v>
      </c>
      <c r="C510" s="4">
        <v>44771.285861331024</v>
      </c>
      <c r="F510" t="s">
        <v>52</v>
      </c>
      <c r="G510" t="s">
        <v>206</v>
      </c>
      <c r="H510" t="s">
        <v>20</v>
      </c>
      <c r="I510" t="s">
        <v>21</v>
      </c>
    </row>
    <row r="511" spans="1:10" x14ac:dyDescent="0.25">
      <c r="A511">
        <v>27804839</v>
      </c>
      <c r="B511" t="s">
        <v>17</v>
      </c>
      <c r="C511" s="4">
        <v>44771.063743634259</v>
      </c>
      <c r="D511" t="s">
        <v>968</v>
      </c>
      <c r="E511" t="s">
        <v>38</v>
      </c>
      <c r="F511" t="s">
        <v>31</v>
      </c>
      <c r="G511" t="s">
        <v>168</v>
      </c>
      <c r="H511" t="s">
        <v>25</v>
      </c>
      <c r="I511" t="s">
        <v>21</v>
      </c>
    </row>
    <row r="512" spans="1:10" x14ac:dyDescent="0.25">
      <c r="A512">
        <v>27804846</v>
      </c>
      <c r="B512" t="s">
        <v>17</v>
      </c>
      <c r="C512" s="4">
        <v>44771.063749351852</v>
      </c>
      <c r="D512" t="s">
        <v>958</v>
      </c>
      <c r="E512" t="s">
        <v>62</v>
      </c>
      <c r="F512" t="s">
        <v>57</v>
      </c>
      <c r="G512" t="s">
        <v>88</v>
      </c>
      <c r="H512" t="s">
        <v>40</v>
      </c>
      <c r="I512" t="s">
        <v>21</v>
      </c>
      <c r="J512" t="s">
        <v>584</v>
      </c>
    </row>
    <row r="513" spans="1:10" x14ac:dyDescent="0.25">
      <c r="A513">
        <v>27804857</v>
      </c>
      <c r="B513" t="s">
        <v>17</v>
      </c>
      <c r="C513" s="4">
        <v>44771.064134189823</v>
      </c>
      <c r="D513" t="s">
        <v>969</v>
      </c>
      <c r="E513" t="s">
        <v>62</v>
      </c>
      <c r="F513" t="s">
        <v>18</v>
      </c>
      <c r="G513" t="s">
        <v>285</v>
      </c>
      <c r="H513" t="s">
        <v>42</v>
      </c>
      <c r="I513" t="s">
        <v>21</v>
      </c>
      <c r="J513" t="s">
        <v>970</v>
      </c>
    </row>
    <row r="514" spans="1:10" x14ac:dyDescent="0.25">
      <c r="A514">
        <v>27804859</v>
      </c>
      <c r="B514" t="s">
        <v>17</v>
      </c>
      <c r="C514" s="4">
        <v>44771.064135231478</v>
      </c>
      <c r="D514" t="s">
        <v>971</v>
      </c>
      <c r="E514" t="s">
        <v>129</v>
      </c>
      <c r="F514" t="s">
        <v>49</v>
      </c>
      <c r="G514" t="s">
        <v>80</v>
      </c>
      <c r="H514" t="s">
        <v>29</v>
      </c>
      <c r="I514" t="s">
        <v>21</v>
      </c>
      <c r="J514" t="s">
        <v>537</v>
      </c>
    </row>
    <row r="515" spans="1:10" x14ac:dyDescent="0.25">
      <c r="A515">
        <v>27804866</v>
      </c>
      <c r="B515" t="s">
        <v>17</v>
      </c>
      <c r="C515" s="4">
        <v>44771.064146319448</v>
      </c>
      <c r="D515" t="s">
        <v>969</v>
      </c>
      <c r="E515" t="s">
        <v>62</v>
      </c>
      <c r="F515" t="s">
        <v>18</v>
      </c>
      <c r="G515" t="s">
        <v>285</v>
      </c>
      <c r="H515" t="s">
        <v>54</v>
      </c>
      <c r="I515" t="s">
        <v>21</v>
      </c>
      <c r="J515" t="s">
        <v>970</v>
      </c>
    </row>
    <row r="516" spans="1:10" x14ac:dyDescent="0.25">
      <c r="A516">
        <v>27804869</v>
      </c>
      <c r="B516" t="s">
        <v>17</v>
      </c>
      <c r="C516" s="4">
        <v>44771.06418927083</v>
      </c>
      <c r="D516" t="s">
        <v>958</v>
      </c>
      <c r="E516" t="s">
        <v>62</v>
      </c>
      <c r="F516" t="s">
        <v>57</v>
      </c>
      <c r="G516" t="s">
        <v>88</v>
      </c>
      <c r="H516" t="s">
        <v>25</v>
      </c>
      <c r="I516" t="s">
        <v>21</v>
      </c>
      <c r="J516" t="s">
        <v>584</v>
      </c>
    </row>
    <row r="517" spans="1:10" x14ac:dyDescent="0.25">
      <c r="A517">
        <v>27804886</v>
      </c>
      <c r="B517" t="s">
        <v>17</v>
      </c>
      <c r="C517" s="4">
        <v>44771.064370231477</v>
      </c>
      <c r="D517" t="s">
        <v>972</v>
      </c>
      <c r="E517" t="s">
        <v>27</v>
      </c>
      <c r="F517" t="s">
        <v>18</v>
      </c>
      <c r="G517" t="s">
        <v>236</v>
      </c>
      <c r="H517" t="s">
        <v>29</v>
      </c>
      <c r="I517" t="s">
        <v>21</v>
      </c>
      <c r="J517" t="s">
        <v>973</v>
      </c>
    </row>
    <row r="518" spans="1:10" x14ac:dyDescent="0.25">
      <c r="A518">
        <v>27804900</v>
      </c>
      <c r="B518" t="s">
        <v>17</v>
      </c>
      <c r="C518" s="4">
        <v>44771.064662037039</v>
      </c>
      <c r="D518" t="s">
        <v>961</v>
      </c>
      <c r="E518" t="s">
        <v>38</v>
      </c>
      <c r="F518" t="s">
        <v>23</v>
      </c>
      <c r="G518" t="s">
        <v>224</v>
      </c>
      <c r="H518" t="s">
        <v>40</v>
      </c>
      <c r="I518" t="s">
        <v>21</v>
      </c>
      <c r="J518" t="s">
        <v>529</v>
      </c>
    </row>
    <row r="519" spans="1:10" x14ac:dyDescent="0.25">
      <c r="A519">
        <v>27816712</v>
      </c>
      <c r="B519" t="s">
        <v>17</v>
      </c>
      <c r="C519" s="4">
        <v>44771.286155208327</v>
      </c>
      <c r="D519" t="s">
        <v>974</v>
      </c>
      <c r="E519" t="s">
        <v>975</v>
      </c>
      <c r="F519" t="s">
        <v>52</v>
      </c>
      <c r="G519" t="s">
        <v>206</v>
      </c>
      <c r="H519" t="s">
        <v>79</v>
      </c>
      <c r="I519" t="s">
        <v>21</v>
      </c>
    </row>
    <row r="520" spans="1:10" x14ac:dyDescent="0.25">
      <c r="A520">
        <v>27804904</v>
      </c>
      <c r="B520" t="s">
        <v>17</v>
      </c>
      <c r="C520" s="4">
        <v>44771.065145081018</v>
      </c>
      <c r="D520" t="s">
        <v>961</v>
      </c>
      <c r="E520" t="s">
        <v>38</v>
      </c>
      <c r="F520" t="s">
        <v>23</v>
      </c>
      <c r="G520" t="s">
        <v>224</v>
      </c>
      <c r="H520" t="s">
        <v>25</v>
      </c>
      <c r="I520" t="s">
        <v>21</v>
      </c>
      <c r="J520" t="s">
        <v>529</v>
      </c>
    </row>
    <row r="521" spans="1:10" x14ac:dyDescent="0.25">
      <c r="A521">
        <v>27804941</v>
      </c>
      <c r="B521" t="s">
        <v>17</v>
      </c>
      <c r="C521" s="4">
        <v>44771.066217719897</v>
      </c>
      <c r="D521" t="s">
        <v>976</v>
      </c>
      <c r="E521" t="s">
        <v>72</v>
      </c>
      <c r="F521" t="s">
        <v>49</v>
      </c>
      <c r="G521" t="s">
        <v>106</v>
      </c>
      <c r="H521" t="s">
        <v>42</v>
      </c>
      <c r="I521" t="s">
        <v>21</v>
      </c>
      <c r="J521" t="s">
        <v>977</v>
      </c>
    </row>
    <row r="522" spans="1:10" x14ac:dyDescent="0.25">
      <c r="A522">
        <v>27804943</v>
      </c>
      <c r="B522" t="s">
        <v>17</v>
      </c>
      <c r="C522" s="4">
        <v>44771.066221412038</v>
      </c>
      <c r="D522" t="s">
        <v>967</v>
      </c>
      <c r="E522" t="s">
        <v>22</v>
      </c>
      <c r="F522" t="s">
        <v>52</v>
      </c>
      <c r="G522" t="s">
        <v>409</v>
      </c>
      <c r="H522" t="s">
        <v>54</v>
      </c>
      <c r="I522" t="s">
        <v>21</v>
      </c>
      <c r="J522" t="s">
        <v>505</v>
      </c>
    </row>
    <row r="523" spans="1:10" x14ac:dyDescent="0.25">
      <c r="A523">
        <v>27804952</v>
      </c>
      <c r="B523" t="s">
        <v>17</v>
      </c>
      <c r="C523" s="4">
        <v>44771.06628983796</v>
      </c>
      <c r="D523" t="s">
        <v>964</v>
      </c>
      <c r="E523" t="s">
        <v>38</v>
      </c>
      <c r="F523" t="s">
        <v>52</v>
      </c>
      <c r="G523" t="s">
        <v>100</v>
      </c>
      <c r="H523" t="s">
        <v>40</v>
      </c>
      <c r="I523" t="s">
        <v>21</v>
      </c>
      <c r="J523" t="s">
        <v>534</v>
      </c>
    </row>
    <row r="524" spans="1:10" x14ac:dyDescent="0.25">
      <c r="A524">
        <v>27804954</v>
      </c>
      <c r="B524" t="s">
        <v>17</v>
      </c>
      <c r="C524" s="4">
        <v>44771.066330104157</v>
      </c>
      <c r="D524" t="s">
        <v>978</v>
      </c>
      <c r="E524" t="s">
        <v>27</v>
      </c>
      <c r="F524" t="s">
        <v>18</v>
      </c>
      <c r="G524" t="s">
        <v>102</v>
      </c>
      <c r="H524" t="s">
        <v>42</v>
      </c>
      <c r="I524" t="s">
        <v>21</v>
      </c>
      <c r="J524" t="s">
        <v>979</v>
      </c>
    </row>
    <row r="525" spans="1:10" x14ac:dyDescent="0.25">
      <c r="A525">
        <v>27816720</v>
      </c>
      <c r="B525" t="s">
        <v>17</v>
      </c>
      <c r="C525" s="4">
        <v>44771.286279236112</v>
      </c>
      <c r="D525" t="s">
        <v>693</v>
      </c>
      <c r="E525" t="s">
        <v>129</v>
      </c>
      <c r="F525" t="s">
        <v>49</v>
      </c>
      <c r="G525" t="s">
        <v>74</v>
      </c>
      <c r="H525" t="s">
        <v>239</v>
      </c>
      <c r="I525" t="s">
        <v>21</v>
      </c>
      <c r="J525" t="s">
        <v>289</v>
      </c>
    </row>
    <row r="526" spans="1:10" x14ac:dyDescent="0.25">
      <c r="A526">
        <v>27816721</v>
      </c>
      <c r="B526" t="s">
        <v>17</v>
      </c>
      <c r="C526" s="4">
        <v>44771.286285879629</v>
      </c>
      <c r="D526" t="s">
        <v>693</v>
      </c>
      <c r="E526" t="s">
        <v>129</v>
      </c>
      <c r="F526" t="s">
        <v>49</v>
      </c>
      <c r="G526" t="s">
        <v>74</v>
      </c>
      <c r="H526" t="s">
        <v>240</v>
      </c>
      <c r="I526" t="s">
        <v>21</v>
      </c>
      <c r="J526" t="s">
        <v>289</v>
      </c>
    </row>
    <row r="527" spans="1:10" x14ac:dyDescent="0.25">
      <c r="A527">
        <v>27804963</v>
      </c>
      <c r="B527" t="s">
        <v>17</v>
      </c>
      <c r="C527" s="4">
        <v>44771.066668495369</v>
      </c>
      <c r="D527" t="s">
        <v>964</v>
      </c>
      <c r="E527" t="s">
        <v>38</v>
      </c>
      <c r="F527" t="s">
        <v>52</v>
      </c>
      <c r="G527" t="s">
        <v>100</v>
      </c>
      <c r="H527" t="s">
        <v>25</v>
      </c>
      <c r="I527" t="s">
        <v>21</v>
      </c>
      <c r="J527" t="s">
        <v>534</v>
      </c>
    </row>
    <row r="528" spans="1:10" x14ac:dyDescent="0.25">
      <c r="A528">
        <v>27804984</v>
      </c>
      <c r="B528" t="s">
        <v>17</v>
      </c>
      <c r="C528" s="4">
        <v>44771.0670708912</v>
      </c>
      <c r="D528" t="s">
        <v>978</v>
      </c>
      <c r="E528" t="s">
        <v>27</v>
      </c>
      <c r="F528" t="s">
        <v>18</v>
      </c>
      <c r="G528" t="s">
        <v>102</v>
      </c>
      <c r="H528" t="s">
        <v>54</v>
      </c>
      <c r="I528" t="s">
        <v>21</v>
      </c>
      <c r="J528" t="s">
        <v>979</v>
      </c>
    </row>
    <row r="529" spans="1:10" x14ac:dyDescent="0.25">
      <c r="A529">
        <v>27816727</v>
      </c>
      <c r="B529" t="s">
        <v>17</v>
      </c>
      <c r="C529" s="4">
        <v>44771.286342199077</v>
      </c>
      <c r="D529" t="s">
        <v>839</v>
      </c>
      <c r="E529" t="s">
        <v>587</v>
      </c>
      <c r="F529" t="s">
        <v>49</v>
      </c>
      <c r="G529" t="s">
        <v>201</v>
      </c>
      <c r="H529" t="s">
        <v>40</v>
      </c>
      <c r="I529" t="s">
        <v>21</v>
      </c>
      <c r="J529" t="s">
        <v>840</v>
      </c>
    </row>
    <row r="530" spans="1:10" x14ac:dyDescent="0.25">
      <c r="A530">
        <v>27804997</v>
      </c>
      <c r="B530" t="s">
        <v>17</v>
      </c>
      <c r="C530" s="4">
        <v>44771.067490231479</v>
      </c>
      <c r="D530" t="s">
        <v>980</v>
      </c>
      <c r="E530" t="s">
        <v>38</v>
      </c>
      <c r="F530" t="s">
        <v>52</v>
      </c>
      <c r="G530" t="s">
        <v>53</v>
      </c>
      <c r="H530" t="s">
        <v>42</v>
      </c>
      <c r="I530" t="s">
        <v>21</v>
      </c>
      <c r="J530" t="s">
        <v>981</v>
      </c>
    </row>
    <row r="531" spans="1:10" x14ac:dyDescent="0.25">
      <c r="A531">
        <v>27805000</v>
      </c>
      <c r="B531" t="s">
        <v>17</v>
      </c>
      <c r="C531" s="4">
        <v>44771.067537465278</v>
      </c>
      <c r="D531" t="s">
        <v>965</v>
      </c>
      <c r="E531" t="s">
        <v>62</v>
      </c>
      <c r="F531" t="s">
        <v>18</v>
      </c>
      <c r="G531" t="s">
        <v>375</v>
      </c>
      <c r="H531" t="s">
        <v>40</v>
      </c>
      <c r="I531" t="s">
        <v>21</v>
      </c>
      <c r="J531" t="s">
        <v>966</v>
      </c>
    </row>
    <row r="532" spans="1:10" x14ac:dyDescent="0.25">
      <c r="A532">
        <v>27805014</v>
      </c>
      <c r="B532" t="s">
        <v>17</v>
      </c>
      <c r="C532" s="4">
        <v>44771.067987916656</v>
      </c>
      <c r="D532" t="s">
        <v>965</v>
      </c>
      <c r="E532" t="s">
        <v>62</v>
      </c>
      <c r="F532" t="s">
        <v>18</v>
      </c>
      <c r="G532" t="s">
        <v>375</v>
      </c>
      <c r="H532" t="s">
        <v>25</v>
      </c>
      <c r="I532" t="s">
        <v>21</v>
      </c>
      <c r="J532" t="s">
        <v>966</v>
      </c>
    </row>
    <row r="533" spans="1:10" x14ac:dyDescent="0.25">
      <c r="A533">
        <v>27816733</v>
      </c>
      <c r="B533" t="s">
        <v>17</v>
      </c>
      <c r="C533" s="4">
        <v>44771.286415590279</v>
      </c>
      <c r="D533" t="s">
        <v>841</v>
      </c>
      <c r="E533" t="s">
        <v>842</v>
      </c>
      <c r="F533" t="s">
        <v>18</v>
      </c>
      <c r="G533" t="s">
        <v>413</v>
      </c>
      <c r="H533" t="s">
        <v>122</v>
      </c>
      <c r="I533" t="s">
        <v>36</v>
      </c>
      <c r="J533" t="s">
        <v>843</v>
      </c>
    </row>
    <row r="534" spans="1:10" x14ac:dyDescent="0.25">
      <c r="A534">
        <v>27805027</v>
      </c>
      <c r="B534" t="s">
        <v>17</v>
      </c>
      <c r="C534" s="4">
        <v>44771.068078159733</v>
      </c>
      <c r="D534" t="s">
        <v>980</v>
      </c>
      <c r="E534" t="s">
        <v>38</v>
      </c>
      <c r="F534" t="s">
        <v>52</v>
      </c>
      <c r="G534" t="s">
        <v>53</v>
      </c>
      <c r="H534" t="s">
        <v>54</v>
      </c>
      <c r="I534" t="s">
        <v>21</v>
      </c>
      <c r="J534" t="s">
        <v>981</v>
      </c>
    </row>
    <row r="535" spans="1:10" x14ac:dyDescent="0.25">
      <c r="A535">
        <v>27805041</v>
      </c>
      <c r="B535" t="s">
        <v>17</v>
      </c>
      <c r="C535" s="4">
        <v>44771.068737314818</v>
      </c>
      <c r="D535" t="s">
        <v>962</v>
      </c>
      <c r="E535" t="s">
        <v>22</v>
      </c>
      <c r="F535" t="s">
        <v>52</v>
      </c>
      <c r="G535" t="s">
        <v>410</v>
      </c>
      <c r="H535" t="s">
        <v>40</v>
      </c>
      <c r="I535" t="s">
        <v>21</v>
      </c>
      <c r="J535" t="s">
        <v>532</v>
      </c>
    </row>
    <row r="536" spans="1:10" x14ac:dyDescent="0.25">
      <c r="A536">
        <v>27805047</v>
      </c>
      <c r="B536" t="s">
        <v>17</v>
      </c>
      <c r="C536" s="4">
        <v>44771.068879143517</v>
      </c>
      <c r="D536" t="s">
        <v>982</v>
      </c>
      <c r="E536" t="s">
        <v>38</v>
      </c>
      <c r="F536" t="s">
        <v>52</v>
      </c>
      <c r="G536" t="s">
        <v>69</v>
      </c>
      <c r="H536" t="s">
        <v>42</v>
      </c>
      <c r="I536" t="s">
        <v>21</v>
      </c>
      <c r="J536" t="s">
        <v>983</v>
      </c>
    </row>
    <row r="537" spans="1:10" x14ac:dyDescent="0.25">
      <c r="A537">
        <v>27805061</v>
      </c>
      <c r="B537" t="s">
        <v>17</v>
      </c>
      <c r="C537" s="4">
        <v>44771.069206585649</v>
      </c>
      <c r="D537" t="s">
        <v>967</v>
      </c>
      <c r="E537" t="s">
        <v>22</v>
      </c>
      <c r="F537" t="s">
        <v>52</v>
      </c>
      <c r="G537" t="s">
        <v>409</v>
      </c>
      <c r="H537" t="s">
        <v>40</v>
      </c>
      <c r="I537" t="s">
        <v>21</v>
      </c>
      <c r="J537" t="s">
        <v>505</v>
      </c>
    </row>
    <row r="538" spans="1:10" x14ac:dyDescent="0.25">
      <c r="A538">
        <v>27805063</v>
      </c>
      <c r="B538" t="s">
        <v>17</v>
      </c>
      <c r="C538" s="4">
        <v>44771.069340972223</v>
      </c>
      <c r="D538" t="s">
        <v>962</v>
      </c>
      <c r="E538" t="s">
        <v>22</v>
      </c>
      <c r="F538" t="s">
        <v>52</v>
      </c>
      <c r="G538" t="s">
        <v>410</v>
      </c>
      <c r="H538" t="s">
        <v>25</v>
      </c>
      <c r="I538" t="s">
        <v>21</v>
      </c>
      <c r="J538" t="s">
        <v>532</v>
      </c>
    </row>
    <row r="539" spans="1:10" x14ac:dyDescent="0.25">
      <c r="A539">
        <v>27805074</v>
      </c>
      <c r="B539" t="s">
        <v>17</v>
      </c>
      <c r="C539" s="4">
        <v>44771.069398622683</v>
      </c>
      <c r="D539" t="s">
        <v>984</v>
      </c>
      <c r="E539" t="s">
        <v>38</v>
      </c>
      <c r="F539" t="s">
        <v>52</v>
      </c>
      <c r="G539" t="s">
        <v>91</v>
      </c>
      <c r="H539" t="s">
        <v>29</v>
      </c>
      <c r="I539" t="s">
        <v>21</v>
      </c>
      <c r="J539" t="s">
        <v>516</v>
      </c>
    </row>
    <row r="540" spans="1:10" x14ac:dyDescent="0.25">
      <c r="A540">
        <v>27805090</v>
      </c>
      <c r="B540" t="s">
        <v>17</v>
      </c>
      <c r="C540" s="4">
        <v>44771.069553437497</v>
      </c>
      <c r="F540" t="s">
        <v>18</v>
      </c>
      <c r="G540" t="s">
        <v>429</v>
      </c>
      <c r="H540" t="s">
        <v>116</v>
      </c>
      <c r="I540" t="s">
        <v>21</v>
      </c>
    </row>
    <row r="541" spans="1:10" x14ac:dyDescent="0.25">
      <c r="A541">
        <v>27805100</v>
      </c>
      <c r="B541" t="s">
        <v>17</v>
      </c>
      <c r="C541" s="4">
        <v>44771.069747488429</v>
      </c>
      <c r="D541" t="s">
        <v>985</v>
      </c>
      <c r="E541" t="s">
        <v>38</v>
      </c>
      <c r="F541" t="s">
        <v>55</v>
      </c>
      <c r="G541" t="s">
        <v>326</v>
      </c>
      <c r="H541" t="s">
        <v>42</v>
      </c>
      <c r="I541" t="s">
        <v>21</v>
      </c>
      <c r="J541" t="s">
        <v>516</v>
      </c>
    </row>
    <row r="542" spans="1:10" x14ac:dyDescent="0.25">
      <c r="A542">
        <v>27805102</v>
      </c>
      <c r="B542" t="s">
        <v>17</v>
      </c>
      <c r="C542" s="4">
        <v>44771.069774479169</v>
      </c>
      <c r="D542" t="s">
        <v>967</v>
      </c>
      <c r="E542" t="s">
        <v>22</v>
      </c>
      <c r="F542" t="s">
        <v>52</v>
      </c>
      <c r="G542" t="s">
        <v>409</v>
      </c>
      <c r="H542" t="s">
        <v>25</v>
      </c>
      <c r="I542" t="s">
        <v>21</v>
      </c>
      <c r="J542" t="s">
        <v>505</v>
      </c>
    </row>
    <row r="543" spans="1:10" x14ac:dyDescent="0.25">
      <c r="A543">
        <v>27805119</v>
      </c>
      <c r="B543" t="s">
        <v>17</v>
      </c>
      <c r="C543" s="4">
        <v>44771.069979108797</v>
      </c>
      <c r="D543" t="s">
        <v>986</v>
      </c>
      <c r="E543" t="s">
        <v>38</v>
      </c>
      <c r="F543" t="s">
        <v>23</v>
      </c>
      <c r="G543" t="s">
        <v>274</v>
      </c>
      <c r="H543" t="s">
        <v>42</v>
      </c>
      <c r="I543" t="s">
        <v>21</v>
      </c>
      <c r="J543" t="s">
        <v>987</v>
      </c>
    </row>
    <row r="544" spans="1:10" x14ac:dyDescent="0.25">
      <c r="A544">
        <v>27805131</v>
      </c>
      <c r="B544" t="s">
        <v>17</v>
      </c>
      <c r="C544" s="4">
        <v>44771.070543807873</v>
      </c>
      <c r="D544" t="s">
        <v>976</v>
      </c>
      <c r="E544" t="s">
        <v>72</v>
      </c>
      <c r="F544" t="s">
        <v>49</v>
      </c>
      <c r="G544" t="s">
        <v>106</v>
      </c>
      <c r="H544" t="s">
        <v>54</v>
      </c>
      <c r="I544" t="s">
        <v>21</v>
      </c>
      <c r="J544" t="s">
        <v>977</v>
      </c>
    </row>
    <row r="545" spans="1:10" x14ac:dyDescent="0.25">
      <c r="A545">
        <v>27805136</v>
      </c>
      <c r="B545" t="s">
        <v>17</v>
      </c>
      <c r="C545" s="4">
        <v>44771.070656793992</v>
      </c>
      <c r="D545" t="s">
        <v>988</v>
      </c>
      <c r="E545" t="s">
        <v>129</v>
      </c>
      <c r="F545" t="s">
        <v>49</v>
      </c>
      <c r="G545" t="s">
        <v>359</v>
      </c>
      <c r="H545" t="s">
        <v>29</v>
      </c>
      <c r="I545" t="s">
        <v>21</v>
      </c>
      <c r="J545" t="s">
        <v>989</v>
      </c>
    </row>
    <row r="546" spans="1:10" x14ac:dyDescent="0.25">
      <c r="A546">
        <v>27805147</v>
      </c>
      <c r="B546" t="s">
        <v>17</v>
      </c>
      <c r="C546" s="4">
        <v>44771.070762870368</v>
      </c>
      <c r="D546" t="s">
        <v>969</v>
      </c>
      <c r="E546" t="s">
        <v>62</v>
      </c>
      <c r="F546" t="s">
        <v>18</v>
      </c>
      <c r="G546" t="s">
        <v>285</v>
      </c>
      <c r="H546" t="s">
        <v>40</v>
      </c>
      <c r="I546" t="s">
        <v>21</v>
      </c>
      <c r="J546" t="s">
        <v>970</v>
      </c>
    </row>
    <row r="547" spans="1:10" x14ac:dyDescent="0.25">
      <c r="A547">
        <v>27805170</v>
      </c>
      <c r="B547" t="s">
        <v>17</v>
      </c>
      <c r="C547" s="4">
        <v>44771.071465474539</v>
      </c>
      <c r="D547" t="s">
        <v>969</v>
      </c>
      <c r="E547" t="s">
        <v>62</v>
      </c>
      <c r="F547" t="s">
        <v>18</v>
      </c>
      <c r="G547" t="s">
        <v>285</v>
      </c>
      <c r="H547" t="s">
        <v>25</v>
      </c>
      <c r="I547" t="s">
        <v>21</v>
      </c>
      <c r="J547" t="s">
        <v>970</v>
      </c>
    </row>
    <row r="548" spans="1:10" x14ac:dyDescent="0.25">
      <c r="A548">
        <v>27805186</v>
      </c>
      <c r="B548" t="s">
        <v>17</v>
      </c>
      <c r="C548" s="4">
        <v>44771.072015254627</v>
      </c>
      <c r="D548" t="s">
        <v>986</v>
      </c>
      <c r="E548" t="s">
        <v>38</v>
      </c>
      <c r="F548" t="s">
        <v>23</v>
      </c>
      <c r="G548" t="s">
        <v>274</v>
      </c>
      <c r="H548" t="s">
        <v>54</v>
      </c>
      <c r="I548" t="s">
        <v>21</v>
      </c>
      <c r="J548" t="s">
        <v>987</v>
      </c>
    </row>
    <row r="549" spans="1:10" x14ac:dyDescent="0.25">
      <c r="A549">
        <v>27805199</v>
      </c>
      <c r="B549" t="s">
        <v>17</v>
      </c>
      <c r="C549" s="4">
        <v>44771.072256041669</v>
      </c>
      <c r="D549" t="s">
        <v>978</v>
      </c>
      <c r="E549" t="s">
        <v>27</v>
      </c>
      <c r="F549" t="s">
        <v>18</v>
      </c>
      <c r="G549" t="s">
        <v>102</v>
      </c>
      <c r="H549" t="s">
        <v>40</v>
      </c>
      <c r="I549" t="s">
        <v>21</v>
      </c>
      <c r="J549" t="s">
        <v>979</v>
      </c>
    </row>
    <row r="550" spans="1:10" x14ac:dyDescent="0.25">
      <c r="A550">
        <v>27805201</v>
      </c>
      <c r="B550" t="s">
        <v>17</v>
      </c>
      <c r="C550" s="4">
        <v>44771.072294131947</v>
      </c>
      <c r="D550" t="s">
        <v>990</v>
      </c>
      <c r="E550" t="s">
        <v>22</v>
      </c>
      <c r="F550" t="s">
        <v>23</v>
      </c>
      <c r="G550" t="s">
        <v>175</v>
      </c>
      <c r="H550" t="s">
        <v>42</v>
      </c>
      <c r="I550" t="s">
        <v>21</v>
      </c>
      <c r="J550" t="s">
        <v>414</v>
      </c>
    </row>
    <row r="551" spans="1:10" x14ac:dyDescent="0.25">
      <c r="A551">
        <v>27805204</v>
      </c>
      <c r="B551" t="s">
        <v>17</v>
      </c>
      <c r="C551" s="4">
        <v>44771.072494143518</v>
      </c>
      <c r="D551" t="s">
        <v>991</v>
      </c>
      <c r="E551" t="s">
        <v>371</v>
      </c>
      <c r="F551" t="s">
        <v>49</v>
      </c>
      <c r="G551" t="s">
        <v>250</v>
      </c>
      <c r="H551" t="s">
        <v>29</v>
      </c>
      <c r="I551" t="s">
        <v>21</v>
      </c>
      <c r="J551" t="s">
        <v>992</v>
      </c>
    </row>
    <row r="552" spans="1:10" x14ac:dyDescent="0.25">
      <c r="A552">
        <v>27805213</v>
      </c>
      <c r="B552" t="s">
        <v>17</v>
      </c>
      <c r="C552" s="4">
        <v>44771.07261599537</v>
      </c>
      <c r="D552" t="s">
        <v>990</v>
      </c>
      <c r="E552" t="s">
        <v>22</v>
      </c>
      <c r="F552" t="s">
        <v>23</v>
      </c>
      <c r="G552" t="s">
        <v>175</v>
      </c>
      <c r="H552" t="s">
        <v>54</v>
      </c>
      <c r="I552" t="s">
        <v>21</v>
      </c>
      <c r="J552" t="s">
        <v>414</v>
      </c>
    </row>
    <row r="553" spans="1:10" x14ac:dyDescent="0.25">
      <c r="A553">
        <v>27805217</v>
      </c>
      <c r="B553" t="s">
        <v>17</v>
      </c>
      <c r="C553" s="4">
        <v>44771.072740104173</v>
      </c>
      <c r="D553" t="s">
        <v>978</v>
      </c>
      <c r="E553" t="s">
        <v>27</v>
      </c>
      <c r="F553" t="s">
        <v>18</v>
      </c>
      <c r="G553" t="s">
        <v>102</v>
      </c>
      <c r="H553" t="s">
        <v>25</v>
      </c>
      <c r="I553" t="s">
        <v>21</v>
      </c>
      <c r="J553" t="s">
        <v>979</v>
      </c>
    </row>
    <row r="554" spans="1:10" x14ac:dyDescent="0.25">
      <c r="A554">
        <v>27805252</v>
      </c>
      <c r="B554" t="s">
        <v>17</v>
      </c>
      <c r="C554" s="4">
        <v>44771.073470289353</v>
      </c>
      <c r="D554" t="s">
        <v>985</v>
      </c>
      <c r="E554" t="s">
        <v>38</v>
      </c>
      <c r="F554" t="s">
        <v>55</v>
      </c>
      <c r="G554" t="s">
        <v>326</v>
      </c>
      <c r="H554" t="s">
        <v>54</v>
      </c>
      <c r="I554" t="s">
        <v>21</v>
      </c>
      <c r="J554" t="s">
        <v>516</v>
      </c>
    </row>
    <row r="555" spans="1:10" x14ac:dyDescent="0.25">
      <c r="A555">
        <v>27805268</v>
      </c>
      <c r="B555" t="s">
        <v>17</v>
      </c>
      <c r="C555" s="4">
        <v>44771.074281851848</v>
      </c>
      <c r="F555" t="s">
        <v>31</v>
      </c>
      <c r="G555" t="s">
        <v>141</v>
      </c>
      <c r="H555" t="s">
        <v>20</v>
      </c>
      <c r="I555" t="s">
        <v>21</v>
      </c>
    </row>
    <row r="556" spans="1:10" x14ac:dyDescent="0.25">
      <c r="A556">
        <v>27805276</v>
      </c>
      <c r="B556" t="s">
        <v>17</v>
      </c>
      <c r="C556" s="4">
        <v>44771.074356666657</v>
      </c>
      <c r="D556" t="s">
        <v>976</v>
      </c>
      <c r="E556" t="s">
        <v>72</v>
      </c>
      <c r="F556" t="s">
        <v>49</v>
      </c>
      <c r="G556" t="s">
        <v>106</v>
      </c>
      <c r="H556" t="s">
        <v>40</v>
      </c>
      <c r="I556" t="s">
        <v>21</v>
      </c>
      <c r="J556" t="s">
        <v>977</v>
      </c>
    </row>
    <row r="557" spans="1:10" x14ac:dyDescent="0.25">
      <c r="A557">
        <v>27805281</v>
      </c>
      <c r="B557" t="s">
        <v>17</v>
      </c>
      <c r="C557" s="4">
        <v>44771.074435069437</v>
      </c>
      <c r="D557" t="s">
        <v>993</v>
      </c>
      <c r="E557" t="s">
        <v>38</v>
      </c>
      <c r="F557" t="s">
        <v>31</v>
      </c>
      <c r="G557" t="s">
        <v>215</v>
      </c>
      <c r="H557" t="s">
        <v>42</v>
      </c>
      <c r="I557" t="s">
        <v>21</v>
      </c>
      <c r="J557" t="s">
        <v>533</v>
      </c>
    </row>
    <row r="558" spans="1:10" x14ac:dyDescent="0.25">
      <c r="A558">
        <v>27805289</v>
      </c>
      <c r="B558" t="s">
        <v>17</v>
      </c>
      <c r="C558" s="4">
        <v>44771.07491048611</v>
      </c>
      <c r="D558" t="s">
        <v>976</v>
      </c>
      <c r="E558" t="s">
        <v>72</v>
      </c>
      <c r="F558" t="s">
        <v>49</v>
      </c>
      <c r="G558" t="s">
        <v>106</v>
      </c>
      <c r="H558" t="s">
        <v>25</v>
      </c>
      <c r="I558" t="s">
        <v>21</v>
      </c>
      <c r="J558" t="s">
        <v>977</v>
      </c>
    </row>
    <row r="559" spans="1:10" x14ac:dyDescent="0.25">
      <c r="A559">
        <v>27805302</v>
      </c>
      <c r="B559" t="s">
        <v>17</v>
      </c>
      <c r="C559" s="4">
        <v>44771.075078078713</v>
      </c>
      <c r="D559" t="s">
        <v>982</v>
      </c>
      <c r="E559" t="s">
        <v>38</v>
      </c>
      <c r="F559" t="s">
        <v>52</v>
      </c>
      <c r="G559" t="s">
        <v>69</v>
      </c>
      <c r="H559" t="s">
        <v>54</v>
      </c>
      <c r="I559" t="s">
        <v>21</v>
      </c>
      <c r="J559" t="s">
        <v>983</v>
      </c>
    </row>
    <row r="560" spans="1:10" x14ac:dyDescent="0.25">
      <c r="A560">
        <v>27805310</v>
      </c>
      <c r="B560" t="s">
        <v>17</v>
      </c>
      <c r="C560" s="4">
        <v>44771.07509972222</v>
      </c>
      <c r="D560" t="s">
        <v>993</v>
      </c>
      <c r="E560" t="s">
        <v>38</v>
      </c>
      <c r="F560" t="s">
        <v>31</v>
      </c>
      <c r="G560" t="s">
        <v>215</v>
      </c>
      <c r="H560" t="s">
        <v>54</v>
      </c>
      <c r="I560" t="s">
        <v>21</v>
      </c>
      <c r="J560" t="s">
        <v>533</v>
      </c>
    </row>
    <row r="561" spans="1:10" x14ac:dyDescent="0.25">
      <c r="A561">
        <v>27805319</v>
      </c>
      <c r="B561" t="s">
        <v>17</v>
      </c>
      <c r="C561" s="4">
        <v>44771.075129803241</v>
      </c>
      <c r="D561" t="s">
        <v>994</v>
      </c>
      <c r="E561" t="s">
        <v>38</v>
      </c>
      <c r="F561" t="s">
        <v>55</v>
      </c>
      <c r="G561" t="s">
        <v>204</v>
      </c>
      <c r="H561" t="s">
        <v>42</v>
      </c>
      <c r="I561" t="s">
        <v>21</v>
      </c>
      <c r="J561" t="s">
        <v>483</v>
      </c>
    </row>
    <row r="562" spans="1:10" x14ac:dyDescent="0.25">
      <c r="A562">
        <v>27805338</v>
      </c>
      <c r="B562" t="s">
        <v>17</v>
      </c>
      <c r="C562" s="4">
        <v>44771.075707662043</v>
      </c>
      <c r="D562" t="s">
        <v>994</v>
      </c>
      <c r="E562" t="s">
        <v>38</v>
      </c>
      <c r="F562" t="s">
        <v>55</v>
      </c>
      <c r="G562" t="s">
        <v>204</v>
      </c>
      <c r="H562" t="s">
        <v>54</v>
      </c>
      <c r="I562" t="s">
        <v>21</v>
      </c>
      <c r="J562" t="s">
        <v>483</v>
      </c>
    </row>
    <row r="563" spans="1:10" x14ac:dyDescent="0.25">
      <c r="A563">
        <v>27816740</v>
      </c>
      <c r="B563" t="s">
        <v>17</v>
      </c>
      <c r="C563" s="4">
        <v>44771.286473321758</v>
      </c>
      <c r="D563" t="s">
        <v>841</v>
      </c>
      <c r="E563" t="s">
        <v>842</v>
      </c>
      <c r="F563" t="s">
        <v>18</v>
      </c>
      <c r="G563" t="s">
        <v>413</v>
      </c>
      <c r="H563" t="s">
        <v>42</v>
      </c>
      <c r="I563" t="s">
        <v>21</v>
      </c>
      <c r="J563" t="s">
        <v>843</v>
      </c>
    </row>
    <row r="564" spans="1:10" x14ac:dyDescent="0.25">
      <c r="A564">
        <v>27807040</v>
      </c>
      <c r="B564" t="s">
        <v>17</v>
      </c>
      <c r="C564" s="4">
        <v>44771.116177777767</v>
      </c>
      <c r="D564" t="s">
        <v>995</v>
      </c>
      <c r="E564" t="s">
        <v>38</v>
      </c>
      <c r="F564" t="s">
        <v>57</v>
      </c>
      <c r="G564" t="s">
        <v>58</v>
      </c>
      <c r="H564" t="s">
        <v>46</v>
      </c>
      <c r="I564" t="s">
        <v>21</v>
      </c>
    </row>
    <row r="565" spans="1:10" x14ac:dyDescent="0.25">
      <c r="A565">
        <v>27807044</v>
      </c>
      <c r="B565" t="s">
        <v>17</v>
      </c>
      <c r="C565" s="4">
        <v>44771.116243969911</v>
      </c>
      <c r="D565" t="s">
        <v>996</v>
      </c>
      <c r="E565" t="s">
        <v>62</v>
      </c>
      <c r="F565" t="s">
        <v>57</v>
      </c>
      <c r="G565" t="s">
        <v>63</v>
      </c>
      <c r="H565" t="s">
        <v>46</v>
      </c>
      <c r="I565" t="s">
        <v>21</v>
      </c>
    </row>
    <row r="566" spans="1:10" x14ac:dyDescent="0.25">
      <c r="A566">
        <v>27805355</v>
      </c>
      <c r="B566" t="s">
        <v>17</v>
      </c>
      <c r="C566" s="4">
        <v>44771.076286840267</v>
      </c>
      <c r="D566" t="s">
        <v>686</v>
      </c>
      <c r="E566" t="s">
        <v>38</v>
      </c>
      <c r="F566" t="s">
        <v>52</v>
      </c>
      <c r="G566" t="s">
        <v>165</v>
      </c>
      <c r="H566" t="s">
        <v>42</v>
      </c>
      <c r="I566" t="s">
        <v>21</v>
      </c>
      <c r="J566" t="s">
        <v>501</v>
      </c>
    </row>
    <row r="567" spans="1:10" x14ac:dyDescent="0.25">
      <c r="A567">
        <v>27807057</v>
      </c>
      <c r="B567" t="s">
        <v>17</v>
      </c>
      <c r="C567" s="4">
        <v>44771.116458576391</v>
      </c>
      <c r="F567" t="s">
        <v>57</v>
      </c>
      <c r="G567" t="s">
        <v>58</v>
      </c>
      <c r="H567" t="s">
        <v>47</v>
      </c>
      <c r="I567" t="s">
        <v>21</v>
      </c>
    </row>
    <row r="568" spans="1:10" x14ac:dyDescent="0.25">
      <c r="A568">
        <v>27805380</v>
      </c>
      <c r="B568" t="s">
        <v>17</v>
      </c>
      <c r="C568" s="4">
        <v>44771.076838622677</v>
      </c>
      <c r="D568" t="s">
        <v>686</v>
      </c>
      <c r="E568" t="s">
        <v>38</v>
      </c>
      <c r="F568" t="s">
        <v>52</v>
      </c>
      <c r="G568" t="s">
        <v>165</v>
      </c>
      <c r="H568" t="s">
        <v>54</v>
      </c>
      <c r="I568" t="s">
        <v>21</v>
      </c>
      <c r="J568" t="s">
        <v>501</v>
      </c>
    </row>
    <row r="569" spans="1:10" x14ac:dyDescent="0.25">
      <c r="A569">
        <v>27805387</v>
      </c>
      <c r="B569" t="s">
        <v>17</v>
      </c>
      <c r="C569" s="4">
        <v>44771.076948703703</v>
      </c>
      <c r="D569" t="s">
        <v>980</v>
      </c>
      <c r="E569" t="s">
        <v>38</v>
      </c>
      <c r="F569" t="s">
        <v>52</v>
      </c>
      <c r="G569" t="s">
        <v>53</v>
      </c>
      <c r="H569" t="s">
        <v>40</v>
      </c>
      <c r="I569" t="s">
        <v>21</v>
      </c>
      <c r="J569" t="s">
        <v>981</v>
      </c>
    </row>
    <row r="570" spans="1:10" x14ac:dyDescent="0.25">
      <c r="A570">
        <v>27805398</v>
      </c>
      <c r="B570" t="s">
        <v>17</v>
      </c>
      <c r="C570" s="4">
        <v>44771.077539050922</v>
      </c>
      <c r="D570" t="s">
        <v>980</v>
      </c>
      <c r="E570" t="s">
        <v>38</v>
      </c>
      <c r="F570" t="s">
        <v>52</v>
      </c>
      <c r="G570" t="s">
        <v>53</v>
      </c>
      <c r="H570" t="s">
        <v>25</v>
      </c>
      <c r="I570" t="s">
        <v>21</v>
      </c>
      <c r="J570" t="s">
        <v>981</v>
      </c>
    </row>
    <row r="571" spans="1:10" x14ac:dyDescent="0.25">
      <c r="A571">
        <v>27805413</v>
      </c>
      <c r="B571" t="s">
        <v>17</v>
      </c>
      <c r="C571" s="4">
        <v>44771.077560254627</v>
      </c>
      <c r="D571" t="s">
        <v>685</v>
      </c>
      <c r="E571" t="s">
        <v>38</v>
      </c>
      <c r="F571" t="s">
        <v>31</v>
      </c>
      <c r="G571" t="s">
        <v>148</v>
      </c>
      <c r="H571" t="s">
        <v>42</v>
      </c>
      <c r="I571" t="s">
        <v>21</v>
      </c>
      <c r="J571" t="s">
        <v>500</v>
      </c>
    </row>
    <row r="572" spans="1:10" x14ac:dyDescent="0.25">
      <c r="A572">
        <v>27805425</v>
      </c>
      <c r="B572" t="s">
        <v>17</v>
      </c>
      <c r="C572" s="4">
        <v>44771.078061770837</v>
      </c>
      <c r="D572" t="s">
        <v>685</v>
      </c>
      <c r="E572" t="s">
        <v>38</v>
      </c>
      <c r="F572" t="s">
        <v>31</v>
      </c>
      <c r="G572" t="s">
        <v>148</v>
      </c>
      <c r="H572" t="s">
        <v>54</v>
      </c>
      <c r="I572" t="s">
        <v>21</v>
      </c>
      <c r="J572" t="s">
        <v>500</v>
      </c>
    </row>
    <row r="573" spans="1:10" x14ac:dyDescent="0.25">
      <c r="A573">
        <v>27807064</v>
      </c>
      <c r="B573" t="s">
        <v>17</v>
      </c>
      <c r="C573" s="4">
        <v>44771.116533321758</v>
      </c>
      <c r="F573" t="s">
        <v>57</v>
      </c>
      <c r="G573" t="s">
        <v>63</v>
      </c>
      <c r="H573" t="s">
        <v>47</v>
      </c>
      <c r="I573" t="s">
        <v>21</v>
      </c>
    </row>
    <row r="574" spans="1:10" x14ac:dyDescent="0.25">
      <c r="A574">
        <v>27805435</v>
      </c>
      <c r="B574" t="s">
        <v>17</v>
      </c>
      <c r="C574" s="4">
        <v>44771.078139039353</v>
      </c>
      <c r="D574" t="s">
        <v>689</v>
      </c>
      <c r="E574" t="s">
        <v>38</v>
      </c>
      <c r="F574" t="s">
        <v>31</v>
      </c>
      <c r="G574" t="s">
        <v>133</v>
      </c>
      <c r="H574" t="s">
        <v>42</v>
      </c>
      <c r="I574" t="s">
        <v>21</v>
      </c>
      <c r="J574" t="s">
        <v>690</v>
      </c>
    </row>
    <row r="575" spans="1:10" x14ac:dyDescent="0.25">
      <c r="A575">
        <v>27805439</v>
      </c>
      <c r="B575" t="s">
        <v>17</v>
      </c>
      <c r="C575" s="4">
        <v>44771.078362685177</v>
      </c>
      <c r="D575" t="s">
        <v>982</v>
      </c>
      <c r="E575" t="s">
        <v>38</v>
      </c>
      <c r="F575" t="s">
        <v>52</v>
      </c>
      <c r="G575" t="s">
        <v>69</v>
      </c>
      <c r="H575" t="s">
        <v>40</v>
      </c>
      <c r="I575" t="s">
        <v>21</v>
      </c>
      <c r="J575" t="s">
        <v>983</v>
      </c>
    </row>
    <row r="576" spans="1:10" x14ac:dyDescent="0.25">
      <c r="A576">
        <v>27805442</v>
      </c>
      <c r="B576" t="s">
        <v>17</v>
      </c>
      <c r="C576" s="4">
        <v>44771.07852855324</v>
      </c>
      <c r="D576" t="s">
        <v>990</v>
      </c>
      <c r="E576" t="s">
        <v>22</v>
      </c>
      <c r="F576" t="s">
        <v>23</v>
      </c>
      <c r="G576" t="s">
        <v>175</v>
      </c>
      <c r="H576" t="s">
        <v>40</v>
      </c>
      <c r="I576" t="s">
        <v>21</v>
      </c>
      <c r="J576" t="s">
        <v>414</v>
      </c>
    </row>
    <row r="577" spans="1:10" x14ac:dyDescent="0.25">
      <c r="A577">
        <v>27805445</v>
      </c>
      <c r="B577" t="s">
        <v>17</v>
      </c>
      <c r="C577" s="4">
        <v>44771.078683460648</v>
      </c>
      <c r="D577" t="s">
        <v>986</v>
      </c>
      <c r="E577" t="s">
        <v>38</v>
      </c>
      <c r="F577" t="s">
        <v>23</v>
      </c>
      <c r="G577" t="s">
        <v>274</v>
      </c>
      <c r="H577" t="s">
        <v>40</v>
      </c>
      <c r="I577" t="s">
        <v>21</v>
      </c>
      <c r="J577" t="s">
        <v>987</v>
      </c>
    </row>
    <row r="578" spans="1:10" x14ac:dyDescent="0.25">
      <c r="A578">
        <v>27805447</v>
      </c>
      <c r="B578" t="s">
        <v>17</v>
      </c>
      <c r="C578" s="4">
        <v>44771.078772407411</v>
      </c>
      <c r="D578" t="s">
        <v>982</v>
      </c>
      <c r="E578" t="s">
        <v>38</v>
      </c>
      <c r="F578" t="s">
        <v>52</v>
      </c>
      <c r="G578" t="s">
        <v>69</v>
      </c>
      <c r="H578" t="s">
        <v>25</v>
      </c>
      <c r="I578" t="s">
        <v>21</v>
      </c>
      <c r="J578" t="s">
        <v>983</v>
      </c>
    </row>
    <row r="579" spans="1:10" x14ac:dyDescent="0.25">
      <c r="A579">
        <v>27805463</v>
      </c>
      <c r="B579" t="s">
        <v>17</v>
      </c>
      <c r="C579" s="4">
        <v>44771.079015960648</v>
      </c>
      <c r="D579" t="s">
        <v>990</v>
      </c>
      <c r="E579" t="s">
        <v>22</v>
      </c>
      <c r="F579" t="s">
        <v>23</v>
      </c>
      <c r="G579" t="s">
        <v>175</v>
      </c>
      <c r="H579" t="s">
        <v>25</v>
      </c>
      <c r="I579" t="s">
        <v>21</v>
      </c>
      <c r="J579" t="s">
        <v>414</v>
      </c>
    </row>
    <row r="580" spans="1:10" x14ac:dyDescent="0.25">
      <c r="A580">
        <v>27805476</v>
      </c>
      <c r="B580" t="s">
        <v>17</v>
      </c>
      <c r="C580" s="4">
        <v>44771.079169351848</v>
      </c>
      <c r="D580" t="s">
        <v>986</v>
      </c>
      <c r="E580" t="s">
        <v>38</v>
      </c>
      <c r="F580" t="s">
        <v>23</v>
      </c>
      <c r="G580" t="s">
        <v>274</v>
      </c>
      <c r="H580" t="s">
        <v>25</v>
      </c>
      <c r="I580" t="s">
        <v>21</v>
      </c>
      <c r="J580" t="s">
        <v>987</v>
      </c>
    </row>
    <row r="581" spans="1:10" x14ac:dyDescent="0.25">
      <c r="A581">
        <v>27805494</v>
      </c>
      <c r="B581" t="s">
        <v>17</v>
      </c>
      <c r="C581" s="4">
        <v>44771.079470023149</v>
      </c>
      <c r="D581" t="s">
        <v>715</v>
      </c>
      <c r="E581" t="s">
        <v>62</v>
      </c>
      <c r="F581" t="s">
        <v>57</v>
      </c>
      <c r="G581" t="s">
        <v>185</v>
      </c>
      <c r="H581" t="s">
        <v>42</v>
      </c>
      <c r="I581" t="s">
        <v>21</v>
      </c>
      <c r="J581" t="s">
        <v>716</v>
      </c>
    </row>
    <row r="582" spans="1:10" x14ac:dyDescent="0.25">
      <c r="A582">
        <v>27805505</v>
      </c>
      <c r="B582" t="s">
        <v>17</v>
      </c>
      <c r="C582" s="4">
        <v>44771.07979783565</v>
      </c>
      <c r="D582" t="s">
        <v>985</v>
      </c>
      <c r="E582" t="s">
        <v>38</v>
      </c>
      <c r="F582" t="s">
        <v>55</v>
      </c>
      <c r="G582" t="s">
        <v>326</v>
      </c>
      <c r="H582" t="s">
        <v>40</v>
      </c>
      <c r="I582" t="s">
        <v>21</v>
      </c>
      <c r="J582" t="s">
        <v>516</v>
      </c>
    </row>
    <row r="583" spans="1:10" x14ac:dyDescent="0.25">
      <c r="A583">
        <v>27816743</v>
      </c>
      <c r="B583" t="s">
        <v>17</v>
      </c>
      <c r="C583" s="4">
        <v>44771.286483124997</v>
      </c>
      <c r="D583" t="s">
        <v>787</v>
      </c>
      <c r="E583" t="s">
        <v>22</v>
      </c>
      <c r="F583" t="s">
        <v>57</v>
      </c>
      <c r="G583" t="s">
        <v>426</v>
      </c>
      <c r="H583" t="s">
        <v>40</v>
      </c>
      <c r="I583" t="s">
        <v>21</v>
      </c>
      <c r="J583" t="s">
        <v>97</v>
      </c>
    </row>
    <row r="584" spans="1:10" x14ac:dyDescent="0.25">
      <c r="A584">
        <v>27805522</v>
      </c>
      <c r="B584" t="s">
        <v>17</v>
      </c>
      <c r="C584" s="4">
        <v>44771.080052407407</v>
      </c>
      <c r="D584" t="s">
        <v>689</v>
      </c>
      <c r="E584" t="s">
        <v>38</v>
      </c>
      <c r="F584" t="s">
        <v>31</v>
      </c>
      <c r="G584" t="s">
        <v>133</v>
      </c>
      <c r="H584" t="s">
        <v>54</v>
      </c>
      <c r="I584" t="s">
        <v>21</v>
      </c>
      <c r="J584" t="s">
        <v>690</v>
      </c>
    </row>
    <row r="585" spans="1:10" x14ac:dyDescent="0.25">
      <c r="A585">
        <v>27805534</v>
      </c>
      <c r="B585" t="s">
        <v>17</v>
      </c>
      <c r="C585" s="4">
        <v>44771.080214212961</v>
      </c>
      <c r="D585" t="s">
        <v>994</v>
      </c>
      <c r="E585" t="s">
        <v>38</v>
      </c>
      <c r="F585" t="s">
        <v>55</v>
      </c>
      <c r="G585" t="s">
        <v>204</v>
      </c>
      <c r="H585" t="s">
        <v>40</v>
      </c>
      <c r="I585" t="s">
        <v>21</v>
      </c>
      <c r="J585" t="s">
        <v>483</v>
      </c>
    </row>
    <row r="586" spans="1:10" x14ac:dyDescent="0.25">
      <c r="A586">
        <v>27805536</v>
      </c>
      <c r="B586" t="s">
        <v>17</v>
      </c>
      <c r="C586" s="4">
        <v>44771.080231053238</v>
      </c>
      <c r="D586" t="s">
        <v>993</v>
      </c>
      <c r="E586" t="s">
        <v>38</v>
      </c>
      <c r="F586" t="s">
        <v>31</v>
      </c>
      <c r="G586" t="s">
        <v>215</v>
      </c>
      <c r="H586" t="s">
        <v>40</v>
      </c>
      <c r="I586" t="s">
        <v>21</v>
      </c>
      <c r="J586" t="s">
        <v>533</v>
      </c>
    </row>
    <row r="587" spans="1:10" x14ac:dyDescent="0.25">
      <c r="A587">
        <v>27805544</v>
      </c>
      <c r="B587" t="s">
        <v>17</v>
      </c>
      <c r="C587" s="4">
        <v>44771.08038954861</v>
      </c>
      <c r="D587" t="s">
        <v>985</v>
      </c>
      <c r="E587" t="s">
        <v>38</v>
      </c>
      <c r="F587" t="s">
        <v>55</v>
      </c>
      <c r="G587" t="s">
        <v>326</v>
      </c>
      <c r="H587" t="s">
        <v>25</v>
      </c>
      <c r="I587" t="s">
        <v>21</v>
      </c>
      <c r="J587" t="s">
        <v>516</v>
      </c>
    </row>
    <row r="588" spans="1:10" x14ac:dyDescent="0.25">
      <c r="A588">
        <v>27805548</v>
      </c>
      <c r="B588" t="s">
        <v>17</v>
      </c>
      <c r="C588" s="4">
        <v>44771.080393391203</v>
      </c>
      <c r="D588" t="s">
        <v>997</v>
      </c>
      <c r="E588" t="s">
        <v>27</v>
      </c>
      <c r="F588" t="s">
        <v>18</v>
      </c>
      <c r="G588" t="s">
        <v>273</v>
      </c>
      <c r="H588" t="s">
        <v>29</v>
      </c>
      <c r="I588" t="s">
        <v>21</v>
      </c>
      <c r="J588" t="s">
        <v>998</v>
      </c>
    </row>
    <row r="589" spans="1:10" x14ac:dyDescent="0.25">
      <c r="A589">
        <v>27805569</v>
      </c>
      <c r="B589" t="s">
        <v>17</v>
      </c>
      <c r="C589" s="4">
        <v>44771.080552766201</v>
      </c>
      <c r="D589" t="s">
        <v>994</v>
      </c>
      <c r="E589" t="s">
        <v>38</v>
      </c>
      <c r="F589" t="s">
        <v>55</v>
      </c>
      <c r="G589" t="s">
        <v>204</v>
      </c>
      <c r="H589" t="s">
        <v>25</v>
      </c>
      <c r="I589" t="s">
        <v>21</v>
      </c>
      <c r="J589" t="s">
        <v>483</v>
      </c>
    </row>
    <row r="590" spans="1:10" x14ac:dyDescent="0.25">
      <c r="A590">
        <v>27816746</v>
      </c>
      <c r="B590" t="s">
        <v>17</v>
      </c>
      <c r="C590" s="4">
        <v>44771.286500798611</v>
      </c>
      <c r="D590" t="s">
        <v>999</v>
      </c>
      <c r="E590" t="s">
        <v>30</v>
      </c>
      <c r="F590" t="s">
        <v>33</v>
      </c>
      <c r="G590" t="s">
        <v>316</v>
      </c>
      <c r="H590" t="s">
        <v>29</v>
      </c>
      <c r="I590" t="s">
        <v>21</v>
      </c>
    </row>
    <row r="591" spans="1:10" x14ac:dyDescent="0.25">
      <c r="A591">
        <v>27805581</v>
      </c>
      <c r="B591" t="s">
        <v>17</v>
      </c>
      <c r="C591" s="4">
        <v>44771.080583043979</v>
      </c>
      <c r="D591" t="s">
        <v>718</v>
      </c>
      <c r="E591" t="s">
        <v>22</v>
      </c>
      <c r="F591" t="s">
        <v>31</v>
      </c>
      <c r="G591" t="s">
        <v>209</v>
      </c>
      <c r="H591" t="s">
        <v>42</v>
      </c>
      <c r="I591" t="s">
        <v>21</v>
      </c>
      <c r="J591" t="s">
        <v>488</v>
      </c>
    </row>
    <row r="592" spans="1:10" x14ac:dyDescent="0.25">
      <c r="A592">
        <v>27805585</v>
      </c>
      <c r="B592" t="s">
        <v>17</v>
      </c>
      <c r="C592" s="4">
        <v>44771.080619432869</v>
      </c>
      <c r="D592" t="s">
        <v>993</v>
      </c>
      <c r="E592" t="s">
        <v>38</v>
      </c>
      <c r="F592" t="s">
        <v>31</v>
      </c>
      <c r="G592" t="s">
        <v>215</v>
      </c>
      <c r="H592" t="s">
        <v>25</v>
      </c>
      <c r="I592" t="s">
        <v>21</v>
      </c>
      <c r="J592" t="s">
        <v>533</v>
      </c>
    </row>
    <row r="593" spans="1:10" x14ac:dyDescent="0.25">
      <c r="A593">
        <v>27807082</v>
      </c>
      <c r="B593" t="s">
        <v>17</v>
      </c>
      <c r="C593" s="4">
        <v>44771.116745162028</v>
      </c>
      <c r="D593" t="s">
        <v>785</v>
      </c>
      <c r="E593" t="s">
        <v>38</v>
      </c>
      <c r="F593" t="s">
        <v>55</v>
      </c>
      <c r="G593" t="s">
        <v>99</v>
      </c>
      <c r="H593" t="s">
        <v>54</v>
      </c>
      <c r="I593" t="s">
        <v>21</v>
      </c>
      <c r="J593" t="s">
        <v>70</v>
      </c>
    </row>
    <row r="594" spans="1:10" x14ac:dyDescent="0.25">
      <c r="A594">
        <v>27805602</v>
      </c>
      <c r="B594" t="s">
        <v>17</v>
      </c>
      <c r="C594" s="4">
        <v>44771.08145553241</v>
      </c>
      <c r="D594" t="s">
        <v>1000</v>
      </c>
      <c r="E594" t="s">
        <v>191</v>
      </c>
      <c r="F594" t="s">
        <v>49</v>
      </c>
      <c r="G594" t="s">
        <v>84</v>
      </c>
      <c r="H594" t="s">
        <v>29</v>
      </c>
      <c r="I594" t="s">
        <v>21</v>
      </c>
      <c r="J594" t="s">
        <v>1001</v>
      </c>
    </row>
    <row r="595" spans="1:10" x14ac:dyDescent="0.25">
      <c r="A595">
        <v>27805611</v>
      </c>
      <c r="B595" t="s">
        <v>17</v>
      </c>
      <c r="C595" s="4">
        <v>44771.081527210648</v>
      </c>
      <c r="D595" t="s">
        <v>1002</v>
      </c>
      <c r="E595" t="s">
        <v>38</v>
      </c>
      <c r="F595" t="s">
        <v>52</v>
      </c>
      <c r="G595" t="s">
        <v>206</v>
      </c>
      <c r="H595" t="s">
        <v>29</v>
      </c>
      <c r="I595" t="s">
        <v>21</v>
      </c>
    </row>
    <row r="596" spans="1:10" x14ac:dyDescent="0.25">
      <c r="A596">
        <v>27805623</v>
      </c>
      <c r="B596" t="s">
        <v>17</v>
      </c>
      <c r="C596" s="4">
        <v>44771.082196215277</v>
      </c>
      <c r="D596" t="s">
        <v>715</v>
      </c>
      <c r="E596" t="s">
        <v>62</v>
      </c>
      <c r="F596" t="s">
        <v>57</v>
      </c>
      <c r="G596" t="s">
        <v>185</v>
      </c>
      <c r="H596" t="s">
        <v>54</v>
      </c>
      <c r="I596" t="s">
        <v>21</v>
      </c>
      <c r="J596" t="s">
        <v>716</v>
      </c>
    </row>
    <row r="597" spans="1:10" x14ac:dyDescent="0.25">
      <c r="A597">
        <v>27805637</v>
      </c>
      <c r="B597" t="s">
        <v>17</v>
      </c>
      <c r="C597" s="4">
        <v>44771.082964756948</v>
      </c>
      <c r="D597" t="s">
        <v>1003</v>
      </c>
      <c r="E597" t="s">
        <v>38</v>
      </c>
      <c r="F597" t="s">
        <v>31</v>
      </c>
      <c r="G597" t="s">
        <v>141</v>
      </c>
      <c r="H597" t="s">
        <v>40</v>
      </c>
      <c r="I597" t="s">
        <v>21</v>
      </c>
    </row>
    <row r="598" spans="1:10" x14ac:dyDescent="0.25">
      <c r="A598">
        <v>27805647</v>
      </c>
      <c r="B598" t="s">
        <v>17</v>
      </c>
      <c r="C598" s="4">
        <v>44771.083415555557</v>
      </c>
      <c r="D598" t="s">
        <v>718</v>
      </c>
      <c r="E598" t="s">
        <v>22</v>
      </c>
      <c r="F598" t="s">
        <v>31</v>
      </c>
      <c r="G598" t="s">
        <v>209</v>
      </c>
      <c r="H598" t="s">
        <v>54</v>
      </c>
      <c r="I598" t="s">
        <v>21</v>
      </c>
      <c r="J598" t="s">
        <v>488</v>
      </c>
    </row>
    <row r="599" spans="1:10" x14ac:dyDescent="0.25">
      <c r="A599">
        <v>27807089</v>
      </c>
      <c r="B599" t="s">
        <v>17</v>
      </c>
      <c r="C599" s="4">
        <v>44771.116864074073</v>
      </c>
      <c r="D599" t="s">
        <v>1004</v>
      </c>
      <c r="E599" t="s">
        <v>48</v>
      </c>
      <c r="F599" t="s">
        <v>49</v>
      </c>
      <c r="G599" t="s">
        <v>359</v>
      </c>
      <c r="H599" t="s">
        <v>29</v>
      </c>
      <c r="I599" t="s">
        <v>21</v>
      </c>
      <c r="J599" t="s">
        <v>1005</v>
      </c>
    </row>
    <row r="600" spans="1:10" x14ac:dyDescent="0.25">
      <c r="A600">
        <v>27805657</v>
      </c>
      <c r="B600" t="s">
        <v>17</v>
      </c>
      <c r="C600" s="4">
        <v>44771.083492777783</v>
      </c>
      <c r="D600" t="s">
        <v>1003</v>
      </c>
      <c r="E600" t="s">
        <v>38</v>
      </c>
      <c r="F600" t="s">
        <v>31</v>
      </c>
      <c r="G600" t="s">
        <v>141</v>
      </c>
      <c r="H600" t="s">
        <v>25</v>
      </c>
      <c r="I600" t="s">
        <v>21</v>
      </c>
    </row>
    <row r="601" spans="1:10" x14ac:dyDescent="0.25">
      <c r="A601">
        <v>27805669</v>
      </c>
      <c r="B601" t="s">
        <v>17</v>
      </c>
      <c r="C601" s="4">
        <v>44771.083784675917</v>
      </c>
      <c r="F601" t="s">
        <v>55</v>
      </c>
      <c r="G601" t="s">
        <v>56</v>
      </c>
      <c r="H601" t="s">
        <v>20</v>
      </c>
      <c r="I601" t="s">
        <v>21</v>
      </c>
    </row>
    <row r="602" spans="1:10" x14ac:dyDescent="0.25">
      <c r="A602">
        <v>27807108</v>
      </c>
      <c r="B602" t="s">
        <v>17</v>
      </c>
      <c r="C602" s="4">
        <v>44771.117317638891</v>
      </c>
      <c r="D602" t="s">
        <v>1006</v>
      </c>
      <c r="E602" t="s">
        <v>38</v>
      </c>
      <c r="F602" t="s">
        <v>55</v>
      </c>
      <c r="G602" t="s">
        <v>167</v>
      </c>
      <c r="H602" t="s">
        <v>42</v>
      </c>
      <c r="I602" t="s">
        <v>21</v>
      </c>
      <c r="J602" t="s">
        <v>41</v>
      </c>
    </row>
    <row r="603" spans="1:10" x14ac:dyDescent="0.25">
      <c r="A603">
        <v>27816748</v>
      </c>
      <c r="B603" t="s">
        <v>17</v>
      </c>
      <c r="C603" s="4">
        <v>44771.286524965282</v>
      </c>
      <c r="D603" t="s">
        <v>684</v>
      </c>
      <c r="E603" t="s">
        <v>72</v>
      </c>
      <c r="F603" t="s">
        <v>49</v>
      </c>
      <c r="G603" t="s">
        <v>50</v>
      </c>
      <c r="H603" t="s">
        <v>239</v>
      </c>
      <c r="I603" t="s">
        <v>21</v>
      </c>
      <c r="J603" t="s">
        <v>246</v>
      </c>
    </row>
    <row r="604" spans="1:10" x14ac:dyDescent="0.25">
      <c r="A604">
        <v>27807138</v>
      </c>
      <c r="B604" t="s">
        <v>17</v>
      </c>
      <c r="C604" s="4">
        <v>44771.118137453697</v>
      </c>
      <c r="D604" t="s">
        <v>785</v>
      </c>
      <c r="E604" t="s">
        <v>38</v>
      </c>
      <c r="F604" t="s">
        <v>55</v>
      </c>
      <c r="G604" t="s">
        <v>99</v>
      </c>
      <c r="H604" t="s">
        <v>40</v>
      </c>
      <c r="I604" t="s">
        <v>21</v>
      </c>
      <c r="J604" t="s">
        <v>70</v>
      </c>
    </row>
    <row r="605" spans="1:10" x14ac:dyDescent="0.25">
      <c r="A605">
        <v>27807155</v>
      </c>
      <c r="B605" t="s">
        <v>17</v>
      </c>
      <c r="C605" s="4">
        <v>44771.118557476853</v>
      </c>
      <c r="D605" t="s">
        <v>854</v>
      </c>
      <c r="E605" t="s">
        <v>27</v>
      </c>
      <c r="F605" t="s">
        <v>57</v>
      </c>
      <c r="G605" t="s">
        <v>416</v>
      </c>
      <c r="H605" t="s">
        <v>40</v>
      </c>
      <c r="I605" t="s">
        <v>21</v>
      </c>
      <c r="J605" t="s">
        <v>855</v>
      </c>
    </row>
    <row r="606" spans="1:10" x14ac:dyDescent="0.25">
      <c r="A606">
        <v>27807160</v>
      </c>
      <c r="B606" t="s">
        <v>17</v>
      </c>
      <c r="C606" s="4">
        <v>44771.118623645831</v>
      </c>
      <c r="D606" t="s">
        <v>785</v>
      </c>
      <c r="E606" t="s">
        <v>38</v>
      </c>
      <c r="F606" t="s">
        <v>55</v>
      </c>
      <c r="G606" t="s">
        <v>99</v>
      </c>
      <c r="H606" t="s">
        <v>25</v>
      </c>
      <c r="I606" t="s">
        <v>21</v>
      </c>
      <c r="J606" t="s">
        <v>70</v>
      </c>
    </row>
    <row r="607" spans="1:10" x14ac:dyDescent="0.25">
      <c r="A607">
        <v>27807175</v>
      </c>
      <c r="B607" t="s">
        <v>17</v>
      </c>
      <c r="C607" s="4">
        <v>44771.118928553238</v>
      </c>
      <c r="D607" t="s">
        <v>854</v>
      </c>
      <c r="E607" t="s">
        <v>27</v>
      </c>
      <c r="F607" t="s">
        <v>57</v>
      </c>
      <c r="G607" t="s">
        <v>416</v>
      </c>
      <c r="H607" t="s">
        <v>25</v>
      </c>
      <c r="I607" t="s">
        <v>21</v>
      </c>
      <c r="J607" t="s">
        <v>855</v>
      </c>
    </row>
    <row r="608" spans="1:10" x14ac:dyDescent="0.25">
      <c r="A608">
        <v>27816750</v>
      </c>
      <c r="B608" t="s">
        <v>17</v>
      </c>
      <c r="C608" s="4">
        <v>44771.286537002306</v>
      </c>
      <c r="D608" t="s">
        <v>684</v>
      </c>
      <c r="E608" t="s">
        <v>72</v>
      </c>
      <c r="F608" t="s">
        <v>49</v>
      </c>
      <c r="G608" t="s">
        <v>50</v>
      </c>
      <c r="H608" t="s">
        <v>240</v>
      </c>
      <c r="I608" t="s">
        <v>21</v>
      </c>
      <c r="J608" t="s">
        <v>246</v>
      </c>
    </row>
    <row r="609" spans="1:10" x14ac:dyDescent="0.25">
      <c r="A609">
        <v>27807202</v>
      </c>
      <c r="B609" t="s">
        <v>17</v>
      </c>
      <c r="C609" s="4">
        <v>44771.119353043992</v>
      </c>
      <c r="D609" t="s">
        <v>845</v>
      </c>
      <c r="E609" t="s">
        <v>38</v>
      </c>
      <c r="F609" t="s">
        <v>52</v>
      </c>
      <c r="G609" t="s">
        <v>220</v>
      </c>
      <c r="H609" t="s">
        <v>40</v>
      </c>
      <c r="I609" t="s">
        <v>21</v>
      </c>
      <c r="J609" t="s">
        <v>233</v>
      </c>
    </row>
    <row r="610" spans="1:10" x14ac:dyDescent="0.25">
      <c r="A610">
        <v>27807215</v>
      </c>
      <c r="B610" t="s">
        <v>17</v>
      </c>
      <c r="C610" s="4">
        <v>44771.1198834838</v>
      </c>
      <c r="D610" t="s">
        <v>845</v>
      </c>
      <c r="E610" t="s">
        <v>38</v>
      </c>
      <c r="F610" t="s">
        <v>52</v>
      </c>
      <c r="G610" t="s">
        <v>220</v>
      </c>
      <c r="H610" t="s">
        <v>25</v>
      </c>
      <c r="I610" t="s">
        <v>21</v>
      </c>
      <c r="J610" t="s">
        <v>233</v>
      </c>
    </row>
    <row r="611" spans="1:10" x14ac:dyDescent="0.25">
      <c r="A611">
        <v>27816755</v>
      </c>
      <c r="B611" t="s">
        <v>17</v>
      </c>
      <c r="C611" s="4">
        <v>44771.286556944448</v>
      </c>
      <c r="D611" t="s">
        <v>841</v>
      </c>
      <c r="E611" t="s">
        <v>842</v>
      </c>
      <c r="F611" t="s">
        <v>18</v>
      </c>
      <c r="G611" t="s">
        <v>413</v>
      </c>
      <c r="H611" t="s">
        <v>54</v>
      </c>
      <c r="I611" t="s">
        <v>21</v>
      </c>
      <c r="J611" t="s">
        <v>843</v>
      </c>
    </row>
    <row r="612" spans="1:10" x14ac:dyDescent="0.25">
      <c r="A612">
        <v>27807290</v>
      </c>
      <c r="B612" t="s">
        <v>17</v>
      </c>
      <c r="C612" s="4">
        <v>44771.120384814807</v>
      </c>
      <c r="D612" t="s">
        <v>894</v>
      </c>
      <c r="E612" t="s">
        <v>27</v>
      </c>
      <c r="F612" t="s">
        <v>45</v>
      </c>
      <c r="G612" t="s">
        <v>314</v>
      </c>
      <c r="H612" t="s">
        <v>42</v>
      </c>
      <c r="I612" t="s">
        <v>21</v>
      </c>
      <c r="J612" t="s">
        <v>895</v>
      </c>
    </row>
    <row r="613" spans="1:10" x14ac:dyDescent="0.25">
      <c r="A613">
        <v>27807299</v>
      </c>
      <c r="B613" t="s">
        <v>17</v>
      </c>
      <c r="C613" s="4">
        <v>44771.12060091435</v>
      </c>
      <c r="D613" t="s">
        <v>1007</v>
      </c>
      <c r="E613" t="s">
        <v>27</v>
      </c>
      <c r="F613" t="s">
        <v>45</v>
      </c>
      <c r="G613" t="s">
        <v>336</v>
      </c>
      <c r="H613" t="s">
        <v>79</v>
      </c>
      <c r="I613" t="s">
        <v>21</v>
      </c>
      <c r="J613" t="s">
        <v>895</v>
      </c>
    </row>
    <row r="614" spans="1:10" x14ac:dyDescent="0.25">
      <c r="A614">
        <v>27807305</v>
      </c>
      <c r="B614" t="s">
        <v>17</v>
      </c>
      <c r="C614" s="4">
        <v>44771.120645555558</v>
      </c>
      <c r="D614" t="s">
        <v>894</v>
      </c>
      <c r="E614" t="s">
        <v>27</v>
      </c>
      <c r="F614" t="s">
        <v>45</v>
      </c>
      <c r="G614" t="s">
        <v>314</v>
      </c>
      <c r="H614" t="s">
        <v>54</v>
      </c>
      <c r="I614" t="s">
        <v>21</v>
      </c>
      <c r="J614" t="s">
        <v>895</v>
      </c>
    </row>
    <row r="615" spans="1:10" x14ac:dyDescent="0.25">
      <c r="A615">
        <v>27807311</v>
      </c>
      <c r="B615" t="s">
        <v>17</v>
      </c>
      <c r="C615" s="4">
        <v>44771.120732129632</v>
      </c>
      <c r="D615" t="s">
        <v>894</v>
      </c>
      <c r="E615" t="s">
        <v>27</v>
      </c>
      <c r="F615" t="s">
        <v>45</v>
      </c>
      <c r="G615" t="s">
        <v>314</v>
      </c>
      <c r="H615" t="s">
        <v>118</v>
      </c>
      <c r="I615" t="s">
        <v>36</v>
      </c>
      <c r="J615" t="s">
        <v>895</v>
      </c>
    </row>
    <row r="616" spans="1:10" x14ac:dyDescent="0.25">
      <c r="A616">
        <v>27807319</v>
      </c>
      <c r="B616" t="s">
        <v>17</v>
      </c>
      <c r="C616" s="4">
        <v>44771.120839583331</v>
      </c>
      <c r="D616" t="s">
        <v>826</v>
      </c>
      <c r="E616" t="s">
        <v>38</v>
      </c>
      <c r="F616" t="s">
        <v>52</v>
      </c>
      <c r="G616" t="s">
        <v>165</v>
      </c>
      <c r="H616" t="s">
        <v>29</v>
      </c>
      <c r="I616" t="s">
        <v>21</v>
      </c>
    </row>
    <row r="617" spans="1:10" x14ac:dyDescent="0.25">
      <c r="A617">
        <v>27807322</v>
      </c>
      <c r="B617" t="s">
        <v>17</v>
      </c>
      <c r="C617" s="4">
        <v>44771.120875428242</v>
      </c>
      <c r="D617" t="s">
        <v>894</v>
      </c>
      <c r="E617" t="s">
        <v>27</v>
      </c>
      <c r="F617" t="s">
        <v>45</v>
      </c>
      <c r="G617" t="s">
        <v>314</v>
      </c>
      <c r="H617" t="s">
        <v>122</v>
      </c>
      <c r="I617" t="s">
        <v>36</v>
      </c>
      <c r="J617" t="s">
        <v>895</v>
      </c>
    </row>
    <row r="618" spans="1:10" x14ac:dyDescent="0.25">
      <c r="A618">
        <v>27807327</v>
      </c>
      <c r="B618" t="s">
        <v>17</v>
      </c>
      <c r="C618" s="4">
        <v>44771.120905127318</v>
      </c>
      <c r="D618" t="s">
        <v>894</v>
      </c>
      <c r="E618" t="s">
        <v>27</v>
      </c>
      <c r="F618" t="s">
        <v>45</v>
      </c>
      <c r="G618" t="s">
        <v>314</v>
      </c>
      <c r="H618" t="s">
        <v>42</v>
      </c>
      <c r="I618" t="s">
        <v>21</v>
      </c>
      <c r="J618" t="s">
        <v>895</v>
      </c>
    </row>
    <row r="619" spans="1:10" x14ac:dyDescent="0.25">
      <c r="A619">
        <v>27807329</v>
      </c>
      <c r="B619" t="s">
        <v>17</v>
      </c>
      <c r="C619" s="4">
        <v>44771.12090559028</v>
      </c>
      <c r="D619" t="s">
        <v>1008</v>
      </c>
      <c r="E619" t="s">
        <v>38</v>
      </c>
      <c r="F619" t="s">
        <v>52</v>
      </c>
      <c r="G619" t="s">
        <v>165</v>
      </c>
      <c r="H619" t="s">
        <v>42</v>
      </c>
      <c r="I619" t="s">
        <v>21</v>
      </c>
      <c r="J619" t="s">
        <v>43</v>
      </c>
    </row>
    <row r="620" spans="1:10" x14ac:dyDescent="0.25">
      <c r="A620">
        <v>27807365</v>
      </c>
      <c r="B620" t="s">
        <v>17</v>
      </c>
      <c r="C620" s="4">
        <v>44771.121831851851</v>
      </c>
      <c r="D620" t="s">
        <v>1009</v>
      </c>
      <c r="E620" t="s">
        <v>27</v>
      </c>
      <c r="F620" t="s">
        <v>18</v>
      </c>
      <c r="G620" t="s">
        <v>260</v>
      </c>
      <c r="H620" t="s">
        <v>42</v>
      </c>
      <c r="I620" t="s">
        <v>21</v>
      </c>
      <c r="J620" t="s">
        <v>1010</v>
      </c>
    </row>
    <row r="621" spans="1:10" x14ac:dyDescent="0.25">
      <c r="A621">
        <v>27807367</v>
      </c>
      <c r="B621" t="s">
        <v>17</v>
      </c>
      <c r="C621" s="4">
        <v>44771.121849282397</v>
      </c>
      <c r="D621" t="s">
        <v>1006</v>
      </c>
      <c r="E621" t="s">
        <v>38</v>
      </c>
      <c r="F621" t="s">
        <v>55</v>
      </c>
      <c r="G621" t="s">
        <v>167</v>
      </c>
      <c r="H621" t="s">
        <v>54</v>
      </c>
      <c r="I621" t="s">
        <v>21</v>
      </c>
      <c r="J621" t="s">
        <v>41</v>
      </c>
    </row>
    <row r="622" spans="1:10" x14ac:dyDescent="0.25">
      <c r="A622">
        <v>27807374</v>
      </c>
      <c r="B622" t="s">
        <v>17</v>
      </c>
      <c r="C622" s="4">
        <v>44771.121901620369</v>
      </c>
      <c r="D622" t="s">
        <v>1009</v>
      </c>
      <c r="E622" t="s">
        <v>27</v>
      </c>
      <c r="F622" t="s">
        <v>18</v>
      </c>
      <c r="G622" t="s">
        <v>260</v>
      </c>
      <c r="H622" t="s">
        <v>54</v>
      </c>
      <c r="I622" t="s">
        <v>21</v>
      </c>
      <c r="J622" t="s">
        <v>1010</v>
      </c>
    </row>
    <row r="623" spans="1:10" x14ac:dyDescent="0.25">
      <c r="A623">
        <v>27807405</v>
      </c>
      <c r="B623" t="s">
        <v>17</v>
      </c>
      <c r="C623" s="4">
        <v>44771.122655150473</v>
      </c>
      <c r="D623" t="s">
        <v>894</v>
      </c>
      <c r="E623" t="s">
        <v>27</v>
      </c>
      <c r="F623" t="s">
        <v>45</v>
      </c>
      <c r="G623" t="s">
        <v>314</v>
      </c>
      <c r="H623" t="s">
        <v>64</v>
      </c>
      <c r="I623" t="s">
        <v>21</v>
      </c>
      <c r="J623" t="s">
        <v>895</v>
      </c>
    </row>
    <row r="624" spans="1:10" x14ac:dyDescent="0.25">
      <c r="A624">
        <v>27807413</v>
      </c>
      <c r="B624" t="s">
        <v>17</v>
      </c>
      <c r="C624" s="4">
        <v>44771.122789895831</v>
      </c>
      <c r="F624" t="s">
        <v>52</v>
      </c>
      <c r="G624" t="s">
        <v>410</v>
      </c>
      <c r="H624" t="s">
        <v>20</v>
      </c>
      <c r="I624" t="s">
        <v>21</v>
      </c>
    </row>
    <row r="625" spans="1:10" x14ac:dyDescent="0.25">
      <c r="A625">
        <v>27807418</v>
      </c>
      <c r="B625" t="s">
        <v>17</v>
      </c>
      <c r="C625" s="4">
        <v>44771.122961400462</v>
      </c>
      <c r="D625" t="s">
        <v>1011</v>
      </c>
      <c r="E625" t="s">
        <v>38</v>
      </c>
      <c r="F625" t="s">
        <v>52</v>
      </c>
      <c r="G625" t="s">
        <v>90</v>
      </c>
      <c r="H625" t="s">
        <v>29</v>
      </c>
      <c r="I625" t="s">
        <v>21</v>
      </c>
      <c r="J625" t="s">
        <v>1012</v>
      </c>
    </row>
    <row r="626" spans="1:10" x14ac:dyDescent="0.25">
      <c r="A626">
        <v>27807425</v>
      </c>
      <c r="B626" t="s">
        <v>17</v>
      </c>
      <c r="C626" s="4">
        <v>44771.123112280089</v>
      </c>
      <c r="D626" t="s">
        <v>1013</v>
      </c>
      <c r="E626" t="s">
        <v>38</v>
      </c>
      <c r="F626" t="s">
        <v>52</v>
      </c>
      <c r="G626" t="s">
        <v>77</v>
      </c>
      <c r="H626" t="s">
        <v>29</v>
      </c>
      <c r="I626" t="s">
        <v>21</v>
      </c>
      <c r="J626" t="s">
        <v>66</v>
      </c>
    </row>
    <row r="627" spans="1:10" x14ac:dyDescent="0.25">
      <c r="A627">
        <v>27816759</v>
      </c>
      <c r="B627" t="s">
        <v>17</v>
      </c>
      <c r="C627" s="4">
        <v>44771.286590324067</v>
      </c>
      <c r="D627" t="s">
        <v>841</v>
      </c>
      <c r="E627" t="s">
        <v>842</v>
      </c>
      <c r="F627" t="s">
        <v>18</v>
      </c>
      <c r="G627" t="s">
        <v>413</v>
      </c>
      <c r="H627" t="s">
        <v>118</v>
      </c>
      <c r="I627" t="s">
        <v>36</v>
      </c>
      <c r="J627" t="s">
        <v>843</v>
      </c>
    </row>
    <row r="628" spans="1:10" x14ac:dyDescent="0.25">
      <c r="A628">
        <v>27817977</v>
      </c>
      <c r="B628" t="s">
        <v>17</v>
      </c>
      <c r="C628" s="4">
        <v>44771.309238796297</v>
      </c>
      <c r="D628" t="s">
        <v>710</v>
      </c>
      <c r="E628" t="s">
        <v>38</v>
      </c>
      <c r="F628" t="s">
        <v>52</v>
      </c>
      <c r="G628" t="s">
        <v>229</v>
      </c>
      <c r="H628" t="s">
        <v>25</v>
      </c>
      <c r="I628" t="s">
        <v>21</v>
      </c>
      <c r="J628" t="s">
        <v>139</v>
      </c>
    </row>
    <row r="629" spans="1:10" x14ac:dyDescent="0.25">
      <c r="A629">
        <v>27807456</v>
      </c>
      <c r="B629" t="s">
        <v>17</v>
      </c>
      <c r="C629" s="4">
        <v>44771.123949120367</v>
      </c>
      <c r="D629" t="s">
        <v>1006</v>
      </c>
      <c r="E629" t="s">
        <v>38</v>
      </c>
      <c r="F629" t="s">
        <v>55</v>
      </c>
      <c r="G629" t="s">
        <v>167</v>
      </c>
      <c r="H629" t="s">
        <v>40</v>
      </c>
      <c r="I629" t="s">
        <v>21</v>
      </c>
      <c r="J629" t="s">
        <v>41</v>
      </c>
    </row>
    <row r="630" spans="1:10" x14ac:dyDescent="0.25">
      <c r="A630">
        <v>27807470</v>
      </c>
      <c r="B630" t="s">
        <v>17</v>
      </c>
      <c r="C630" s="4">
        <v>44771.124451469906</v>
      </c>
      <c r="D630" t="s">
        <v>1006</v>
      </c>
      <c r="E630" t="s">
        <v>38</v>
      </c>
      <c r="F630" t="s">
        <v>55</v>
      </c>
      <c r="G630" t="s">
        <v>167</v>
      </c>
      <c r="H630" t="s">
        <v>25</v>
      </c>
      <c r="I630" t="s">
        <v>21</v>
      </c>
      <c r="J630" t="s">
        <v>41</v>
      </c>
    </row>
    <row r="631" spans="1:10" x14ac:dyDescent="0.25">
      <c r="A631">
        <v>27807484</v>
      </c>
      <c r="B631" t="s">
        <v>17</v>
      </c>
      <c r="C631" s="4">
        <v>44771.12489457176</v>
      </c>
      <c r="D631" t="s">
        <v>1014</v>
      </c>
      <c r="E631" t="s">
        <v>38</v>
      </c>
      <c r="F631" t="s">
        <v>52</v>
      </c>
      <c r="G631" t="s">
        <v>410</v>
      </c>
      <c r="H631" t="s">
        <v>40</v>
      </c>
      <c r="I631" t="s">
        <v>21</v>
      </c>
    </row>
    <row r="632" spans="1:10" x14ac:dyDescent="0.25">
      <c r="A632">
        <v>27807504</v>
      </c>
      <c r="B632" t="s">
        <v>17</v>
      </c>
      <c r="C632" s="4">
        <v>44771.12517741898</v>
      </c>
      <c r="D632" t="s">
        <v>1015</v>
      </c>
      <c r="E632" t="s">
        <v>38</v>
      </c>
      <c r="F632" t="s">
        <v>52</v>
      </c>
      <c r="G632" t="s">
        <v>165</v>
      </c>
      <c r="H632" t="s">
        <v>54</v>
      </c>
      <c r="I632" t="s">
        <v>21</v>
      </c>
      <c r="J632" t="s">
        <v>1016</v>
      </c>
    </row>
    <row r="633" spans="1:10" x14ac:dyDescent="0.25">
      <c r="A633">
        <v>27807514</v>
      </c>
      <c r="B633" t="s">
        <v>17</v>
      </c>
      <c r="C633" s="4">
        <v>44771.125439733798</v>
      </c>
      <c r="D633" t="s">
        <v>1014</v>
      </c>
      <c r="E633" t="s">
        <v>38</v>
      </c>
      <c r="F633" t="s">
        <v>52</v>
      </c>
      <c r="G633" t="s">
        <v>410</v>
      </c>
      <c r="H633" t="s">
        <v>25</v>
      </c>
      <c r="I633" t="s">
        <v>21</v>
      </c>
    </row>
    <row r="634" spans="1:10" x14ac:dyDescent="0.25">
      <c r="A634">
        <v>27807530</v>
      </c>
      <c r="B634" t="s">
        <v>17</v>
      </c>
      <c r="C634" s="4">
        <v>44771.125617743062</v>
      </c>
      <c r="D634" t="s">
        <v>858</v>
      </c>
      <c r="E634" t="s">
        <v>22</v>
      </c>
      <c r="F634" t="s">
        <v>57</v>
      </c>
      <c r="G634" t="s">
        <v>270</v>
      </c>
      <c r="H634" t="s">
        <v>232</v>
      </c>
      <c r="I634" t="s">
        <v>21</v>
      </c>
      <c r="J634" t="s">
        <v>532</v>
      </c>
    </row>
    <row r="635" spans="1:10" x14ac:dyDescent="0.25">
      <c r="A635">
        <v>27807573</v>
      </c>
      <c r="B635" t="s">
        <v>17</v>
      </c>
      <c r="C635" s="4">
        <v>44771.126114270832</v>
      </c>
      <c r="D635" t="s">
        <v>1017</v>
      </c>
      <c r="E635" t="s">
        <v>129</v>
      </c>
      <c r="F635" t="s">
        <v>49</v>
      </c>
      <c r="G635" t="s">
        <v>74</v>
      </c>
      <c r="H635" t="s">
        <v>42</v>
      </c>
      <c r="I635" t="s">
        <v>21</v>
      </c>
      <c r="J635" t="s">
        <v>484</v>
      </c>
    </row>
    <row r="636" spans="1:10" x14ac:dyDescent="0.25">
      <c r="A636">
        <v>27807590</v>
      </c>
      <c r="B636" t="s">
        <v>17</v>
      </c>
      <c r="C636" s="4">
        <v>44771.126512418981</v>
      </c>
      <c r="D636" t="s">
        <v>1018</v>
      </c>
      <c r="E636" t="s">
        <v>22</v>
      </c>
      <c r="F636" t="s">
        <v>31</v>
      </c>
      <c r="G636" t="s">
        <v>209</v>
      </c>
      <c r="H636" t="s">
        <v>29</v>
      </c>
      <c r="I636" t="s">
        <v>21</v>
      </c>
      <c r="J636" t="s">
        <v>488</v>
      </c>
    </row>
    <row r="637" spans="1:10" x14ac:dyDescent="0.25">
      <c r="A637">
        <v>27807625</v>
      </c>
      <c r="B637" t="s">
        <v>17</v>
      </c>
      <c r="C637" s="4">
        <v>44771.127340046303</v>
      </c>
      <c r="D637" t="s">
        <v>1009</v>
      </c>
      <c r="E637" t="s">
        <v>27</v>
      </c>
      <c r="F637" t="s">
        <v>18</v>
      </c>
      <c r="G637" t="s">
        <v>260</v>
      </c>
      <c r="H637" t="s">
        <v>40</v>
      </c>
      <c r="I637" t="s">
        <v>21</v>
      </c>
      <c r="J637" t="s">
        <v>1010</v>
      </c>
    </row>
    <row r="638" spans="1:10" x14ac:dyDescent="0.25">
      <c r="A638">
        <v>27807631</v>
      </c>
      <c r="B638" t="s">
        <v>17</v>
      </c>
      <c r="C638" s="4">
        <v>44771.127765833327</v>
      </c>
      <c r="D638" t="s">
        <v>1009</v>
      </c>
      <c r="E638" t="s">
        <v>27</v>
      </c>
      <c r="F638" t="s">
        <v>18</v>
      </c>
      <c r="G638" t="s">
        <v>260</v>
      </c>
      <c r="H638" t="s">
        <v>25</v>
      </c>
      <c r="I638" t="s">
        <v>21</v>
      </c>
      <c r="J638" t="s">
        <v>1010</v>
      </c>
    </row>
    <row r="639" spans="1:10" x14ac:dyDescent="0.25">
      <c r="A639">
        <v>27807702</v>
      </c>
      <c r="B639" t="s">
        <v>17</v>
      </c>
      <c r="C639" s="4">
        <v>44771.12871060185</v>
      </c>
      <c r="F639" t="s">
        <v>33</v>
      </c>
      <c r="G639" t="s">
        <v>296</v>
      </c>
      <c r="H639" t="s">
        <v>20</v>
      </c>
      <c r="I639" t="s">
        <v>21</v>
      </c>
    </row>
    <row r="640" spans="1:10" x14ac:dyDescent="0.25">
      <c r="A640">
        <v>27807716</v>
      </c>
      <c r="B640" t="s">
        <v>17</v>
      </c>
      <c r="C640" s="4">
        <v>44771.128999247689</v>
      </c>
      <c r="D640" t="s">
        <v>1019</v>
      </c>
      <c r="E640" t="s">
        <v>27</v>
      </c>
      <c r="F640" t="s">
        <v>18</v>
      </c>
      <c r="G640" t="s">
        <v>265</v>
      </c>
      <c r="H640" t="s">
        <v>29</v>
      </c>
      <c r="I640" t="s">
        <v>21</v>
      </c>
      <c r="J640" t="s">
        <v>1020</v>
      </c>
    </row>
    <row r="641" spans="1:10" x14ac:dyDescent="0.25">
      <c r="A641">
        <v>27807730</v>
      </c>
      <c r="B641" t="s">
        <v>17</v>
      </c>
      <c r="C641" s="4">
        <v>44771.129116678239</v>
      </c>
      <c r="F641" t="s">
        <v>57</v>
      </c>
      <c r="G641" t="s">
        <v>270</v>
      </c>
      <c r="H641" t="s">
        <v>20</v>
      </c>
      <c r="I641" t="s">
        <v>21</v>
      </c>
    </row>
    <row r="642" spans="1:10" x14ac:dyDescent="0.25">
      <c r="A642">
        <v>27816769</v>
      </c>
      <c r="B642" t="s">
        <v>17</v>
      </c>
      <c r="C642" s="4">
        <v>44771.286809201389</v>
      </c>
      <c r="D642" t="s">
        <v>841</v>
      </c>
      <c r="E642" t="s">
        <v>842</v>
      </c>
      <c r="F642" t="s">
        <v>18</v>
      </c>
      <c r="G642" t="s">
        <v>413</v>
      </c>
      <c r="H642" t="s">
        <v>122</v>
      </c>
      <c r="I642" t="s">
        <v>36</v>
      </c>
      <c r="J642" t="s">
        <v>843</v>
      </c>
    </row>
    <row r="643" spans="1:10" x14ac:dyDescent="0.25">
      <c r="A643">
        <v>27807781</v>
      </c>
      <c r="B643" t="s">
        <v>17</v>
      </c>
      <c r="C643" s="4">
        <v>44771.13065165509</v>
      </c>
      <c r="D643" t="s">
        <v>1017</v>
      </c>
      <c r="E643" t="s">
        <v>129</v>
      </c>
      <c r="F643" t="s">
        <v>49</v>
      </c>
      <c r="G643" t="s">
        <v>74</v>
      </c>
      <c r="H643" t="s">
        <v>239</v>
      </c>
      <c r="I643" t="s">
        <v>21</v>
      </c>
      <c r="J643" t="s">
        <v>484</v>
      </c>
    </row>
    <row r="644" spans="1:10" x14ac:dyDescent="0.25">
      <c r="A644">
        <v>27807782</v>
      </c>
      <c r="B644" t="s">
        <v>17</v>
      </c>
      <c r="C644" s="4">
        <v>44771.130659363429</v>
      </c>
      <c r="D644" t="s">
        <v>1017</v>
      </c>
      <c r="E644" t="s">
        <v>129</v>
      </c>
      <c r="F644" t="s">
        <v>49</v>
      </c>
      <c r="G644" t="s">
        <v>74</v>
      </c>
      <c r="H644" t="s">
        <v>240</v>
      </c>
      <c r="I644" t="s">
        <v>21</v>
      </c>
      <c r="J644" t="s">
        <v>484</v>
      </c>
    </row>
    <row r="645" spans="1:10" x14ac:dyDescent="0.25">
      <c r="A645">
        <v>27807791</v>
      </c>
      <c r="B645" t="s">
        <v>17</v>
      </c>
      <c r="C645" s="4">
        <v>44771.130852824077</v>
      </c>
      <c r="D645" t="s">
        <v>1017</v>
      </c>
      <c r="E645" t="s">
        <v>129</v>
      </c>
      <c r="F645" t="s">
        <v>49</v>
      </c>
      <c r="G645" t="s">
        <v>74</v>
      </c>
      <c r="H645" t="s">
        <v>118</v>
      </c>
      <c r="I645" t="s">
        <v>36</v>
      </c>
      <c r="J645" t="s">
        <v>484</v>
      </c>
    </row>
    <row r="646" spans="1:10" x14ac:dyDescent="0.25">
      <c r="A646">
        <v>27807795</v>
      </c>
      <c r="B646" t="s">
        <v>17</v>
      </c>
      <c r="C646" s="4">
        <v>44771.130897372677</v>
      </c>
      <c r="D646" t="s">
        <v>1017</v>
      </c>
      <c r="E646" t="s">
        <v>129</v>
      </c>
      <c r="F646" t="s">
        <v>49</v>
      </c>
      <c r="G646" t="s">
        <v>74</v>
      </c>
      <c r="H646" t="s">
        <v>35</v>
      </c>
      <c r="I646" t="s">
        <v>36</v>
      </c>
      <c r="J646" t="s">
        <v>484</v>
      </c>
    </row>
    <row r="647" spans="1:10" x14ac:dyDescent="0.25">
      <c r="A647">
        <v>27807806</v>
      </c>
      <c r="B647" t="s">
        <v>17</v>
      </c>
      <c r="C647" s="4">
        <v>44771.13114892361</v>
      </c>
      <c r="D647" t="s">
        <v>1021</v>
      </c>
      <c r="E647" t="s">
        <v>27</v>
      </c>
      <c r="F647" t="s">
        <v>18</v>
      </c>
      <c r="G647" t="s">
        <v>265</v>
      </c>
      <c r="H647" t="s">
        <v>42</v>
      </c>
      <c r="I647" t="s">
        <v>21</v>
      </c>
      <c r="J647" t="s">
        <v>103</v>
      </c>
    </row>
    <row r="648" spans="1:10" x14ac:dyDescent="0.25">
      <c r="A648">
        <v>27807820</v>
      </c>
      <c r="B648" t="s">
        <v>17</v>
      </c>
      <c r="C648" s="4">
        <v>44771.131597337961</v>
      </c>
      <c r="D648" t="s">
        <v>1021</v>
      </c>
      <c r="E648" t="s">
        <v>27</v>
      </c>
      <c r="F648" t="s">
        <v>18</v>
      </c>
      <c r="G648" t="s">
        <v>265</v>
      </c>
      <c r="H648" t="s">
        <v>54</v>
      </c>
      <c r="I648" t="s">
        <v>21</v>
      </c>
      <c r="J648" t="s">
        <v>103</v>
      </c>
    </row>
    <row r="649" spans="1:10" x14ac:dyDescent="0.25">
      <c r="A649">
        <v>27807875</v>
      </c>
      <c r="B649" t="s">
        <v>17</v>
      </c>
      <c r="C649" s="4">
        <v>44771.132541307867</v>
      </c>
      <c r="D649" t="s">
        <v>1015</v>
      </c>
      <c r="E649" t="s">
        <v>38</v>
      </c>
      <c r="F649" t="s">
        <v>52</v>
      </c>
      <c r="G649" t="s">
        <v>165</v>
      </c>
      <c r="H649" t="s">
        <v>40</v>
      </c>
      <c r="I649" t="s">
        <v>21</v>
      </c>
      <c r="J649" t="s">
        <v>1016</v>
      </c>
    </row>
    <row r="650" spans="1:10" x14ac:dyDescent="0.25">
      <c r="A650">
        <v>27807876</v>
      </c>
      <c r="B650" t="s">
        <v>17</v>
      </c>
      <c r="C650" s="4">
        <v>44771.132557708333</v>
      </c>
      <c r="D650" t="s">
        <v>1022</v>
      </c>
      <c r="E650" t="s">
        <v>62</v>
      </c>
      <c r="F650" t="s">
        <v>18</v>
      </c>
      <c r="G650" t="s">
        <v>61</v>
      </c>
      <c r="H650" t="s">
        <v>29</v>
      </c>
      <c r="I650" t="s">
        <v>21</v>
      </c>
      <c r="J650" t="s">
        <v>1023</v>
      </c>
    </row>
    <row r="651" spans="1:10" x14ac:dyDescent="0.25">
      <c r="A651">
        <v>27816773</v>
      </c>
      <c r="B651" t="s">
        <v>17</v>
      </c>
      <c r="C651" s="4">
        <v>44771.286829398137</v>
      </c>
      <c r="D651" t="s">
        <v>841</v>
      </c>
      <c r="E651" t="s">
        <v>842</v>
      </c>
      <c r="F651" t="s">
        <v>18</v>
      </c>
      <c r="G651" t="s">
        <v>413</v>
      </c>
      <c r="H651" t="s">
        <v>42</v>
      </c>
      <c r="I651" t="s">
        <v>21</v>
      </c>
      <c r="J651" t="s">
        <v>843</v>
      </c>
    </row>
    <row r="652" spans="1:10" x14ac:dyDescent="0.25">
      <c r="A652">
        <v>27807898</v>
      </c>
      <c r="B652" t="s">
        <v>17</v>
      </c>
      <c r="C652" s="4">
        <v>44771.132963206022</v>
      </c>
      <c r="D652" t="s">
        <v>1015</v>
      </c>
      <c r="E652" t="s">
        <v>38</v>
      </c>
      <c r="F652" t="s">
        <v>52</v>
      </c>
      <c r="G652" t="s">
        <v>165</v>
      </c>
      <c r="H652" t="s">
        <v>25</v>
      </c>
      <c r="I652" t="s">
        <v>21</v>
      </c>
      <c r="J652" t="s">
        <v>1016</v>
      </c>
    </row>
    <row r="653" spans="1:10" x14ac:dyDescent="0.25">
      <c r="A653">
        <v>27807917</v>
      </c>
      <c r="B653" t="s">
        <v>17</v>
      </c>
      <c r="C653" s="4">
        <v>44771.133232002307</v>
      </c>
      <c r="D653" t="s">
        <v>1024</v>
      </c>
      <c r="E653" t="s">
        <v>38</v>
      </c>
      <c r="F653" t="s">
        <v>52</v>
      </c>
      <c r="G653" t="s">
        <v>77</v>
      </c>
      <c r="H653" t="s">
        <v>42</v>
      </c>
      <c r="I653" t="s">
        <v>21</v>
      </c>
      <c r="J653" t="s">
        <v>87</v>
      </c>
    </row>
    <row r="654" spans="1:10" x14ac:dyDescent="0.25">
      <c r="A654">
        <v>27816777</v>
      </c>
      <c r="B654" t="s">
        <v>17</v>
      </c>
      <c r="C654" s="4">
        <v>44771.286904259257</v>
      </c>
      <c r="D654" t="s">
        <v>839</v>
      </c>
      <c r="E654" t="s">
        <v>587</v>
      </c>
      <c r="F654" t="s">
        <v>49</v>
      </c>
      <c r="G654" t="s">
        <v>201</v>
      </c>
      <c r="H654" t="s">
        <v>25</v>
      </c>
      <c r="I654" t="s">
        <v>21</v>
      </c>
      <c r="J654" t="s">
        <v>840</v>
      </c>
    </row>
    <row r="655" spans="1:10" x14ac:dyDescent="0.25">
      <c r="A655">
        <v>27807986</v>
      </c>
      <c r="B655" t="s">
        <v>17</v>
      </c>
      <c r="C655" s="4">
        <v>44771.135358182873</v>
      </c>
      <c r="E655" t="s">
        <v>22</v>
      </c>
      <c r="F655" t="s">
        <v>57</v>
      </c>
      <c r="G655" t="s">
        <v>270</v>
      </c>
      <c r="H655" t="s">
        <v>40</v>
      </c>
      <c r="I655" t="s">
        <v>21</v>
      </c>
    </row>
    <row r="656" spans="1:10" x14ac:dyDescent="0.25">
      <c r="A656">
        <v>27807997</v>
      </c>
      <c r="B656" t="s">
        <v>17</v>
      </c>
      <c r="C656" s="4">
        <v>44771.135448842593</v>
      </c>
      <c r="D656" t="s">
        <v>1017</v>
      </c>
      <c r="E656" t="s">
        <v>129</v>
      </c>
      <c r="F656" t="s">
        <v>49</v>
      </c>
      <c r="G656" t="s">
        <v>74</v>
      </c>
      <c r="H656" t="s">
        <v>40</v>
      </c>
      <c r="I656" t="s">
        <v>21</v>
      </c>
      <c r="J656" t="s">
        <v>484</v>
      </c>
    </row>
    <row r="657" spans="1:10" x14ac:dyDescent="0.25">
      <c r="A657">
        <v>27808017</v>
      </c>
      <c r="B657" t="s">
        <v>17</v>
      </c>
      <c r="C657" s="4">
        <v>44771.135927662042</v>
      </c>
      <c r="E657" t="s">
        <v>22</v>
      </c>
      <c r="F657" t="s">
        <v>57</v>
      </c>
      <c r="G657" t="s">
        <v>270</v>
      </c>
      <c r="H657" t="s">
        <v>25</v>
      </c>
      <c r="I657" t="s">
        <v>21</v>
      </c>
    </row>
    <row r="658" spans="1:10" x14ac:dyDescent="0.25">
      <c r="A658">
        <v>27808032</v>
      </c>
      <c r="B658" t="s">
        <v>17</v>
      </c>
      <c r="C658" s="4">
        <v>44771.136144166667</v>
      </c>
      <c r="D658" t="s">
        <v>1021</v>
      </c>
      <c r="E658" t="s">
        <v>27</v>
      </c>
      <c r="F658" t="s">
        <v>18</v>
      </c>
      <c r="G658" t="s">
        <v>265</v>
      </c>
      <c r="H658" t="s">
        <v>40</v>
      </c>
      <c r="I658" t="s">
        <v>21</v>
      </c>
      <c r="J658" t="s">
        <v>103</v>
      </c>
    </row>
    <row r="659" spans="1:10" x14ac:dyDescent="0.25">
      <c r="A659">
        <v>27808043</v>
      </c>
      <c r="B659" t="s">
        <v>17</v>
      </c>
      <c r="C659" s="4">
        <v>44771.136301527768</v>
      </c>
      <c r="D659" t="s">
        <v>1025</v>
      </c>
      <c r="E659" t="s">
        <v>27</v>
      </c>
      <c r="F659" t="s">
        <v>18</v>
      </c>
      <c r="G659" t="s">
        <v>415</v>
      </c>
      <c r="H659" t="s">
        <v>29</v>
      </c>
      <c r="I659" t="s">
        <v>21</v>
      </c>
      <c r="J659" t="s">
        <v>1026</v>
      </c>
    </row>
    <row r="660" spans="1:10" x14ac:dyDescent="0.25">
      <c r="A660">
        <v>27808045</v>
      </c>
      <c r="B660" t="s">
        <v>17</v>
      </c>
      <c r="C660" s="4">
        <v>44771.136306388893</v>
      </c>
      <c r="D660" t="s">
        <v>1017</v>
      </c>
      <c r="E660" t="s">
        <v>129</v>
      </c>
      <c r="F660" t="s">
        <v>49</v>
      </c>
      <c r="G660" t="s">
        <v>74</v>
      </c>
      <c r="H660" t="s">
        <v>25</v>
      </c>
      <c r="I660" t="s">
        <v>21</v>
      </c>
      <c r="J660" t="s">
        <v>484</v>
      </c>
    </row>
    <row r="661" spans="1:10" x14ac:dyDescent="0.25">
      <c r="A661">
        <v>27808075</v>
      </c>
      <c r="B661" t="s">
        <v>17</v>
      </c>
      <c r="C661" s="4">
        <v>44771.136722685187</v>
      </c>
      <c r="D661" t="s">
        <v>1021</v>
      </c>
      <c r="E661" t="s">
        <v>27</v>
      </c>
      <c r="F661" t="s">
        <v>18</v>
      </c>
      <c r="G661" t="s">
        <v>265</v>
      </c>
      <c r="H661" t="s">
        <v>25</v>
      </c>
      <c r="I661" t="s">
        <v>21</v>
      </c>
      <c r="J661" t="s">
        <v>103</v>
      </c>
    </row>
    <row r="662" spans="1:10" x14ac:dyDescent="0.25">
      <c r="A662">
        <v>27808086</v>
      </c>
      <c r="B662" t="s">
        <v>17</v>
      </c>
      <c r="C662" s="4">
        <v>44771.136785775459</v>
      </c>
      <c r="D662" t="s">
        <v>1027</v>
      </c>
      <c r="E662" t="s">
        <v>62</v>
      </c>
      <c r="F662" t="s">
        <v>45</v>
      </c>
      <c r="G662" t="s">
        <v>235</v>
      </c>
      <c r="H662" t="s">
        <v>29</v>
      </c>
      <c r="I662" t="s">
        <v>21</v>
      </c>
      <c r="J662" t="s">
        <v>1028</v>
      </c>
    </row>
    <row r="663" spans="1:10" x14ac:dyDescent="0.25">
      <c r="A663">
        <v>27808093</v>
      </c>
      <c r="B663" t="s">
        <v>17</v>
      </c>
      <c r="C663" s="4">
        <v>44771.136847337963</v>
      </c>
      <c r="D663" t="s">
        <v>1029</v>
      </c>
      <c r="E663" t="s">
        <v>38</v>
      </c>
      <c r="F663" t="s">
        <v>52</v>
      </c>
      <c r="G663" t="s">
        <v>280</v>
      </c>
      <c r="H663" t="s">
        <v>29</v>
      </c>
      <c r="I663" t="s">
        <v>21</v>
      </c>
      <c r="J663" t="s">
        <v>135</v>
      </c>
    </row>
    <row r="664" spans="1:10" x14ac:dyDescent="0.25">
      <c r="A664">
        <v>27808112</v>
      </c>
      <c r="B664" t="s">
        <v>17</v>
      </c>
      <c r="C664" s="4">
        <v>44771.137122083332</v>
      </c>
      <c r="D664" t="s">
        <v>1030</v>
      </c>
      <c r="E664" t="s">
        <v>27</v>
      </c>
      <c r="F664" t="s">
        <v>18</v>
      </c>
      <c r="G664" t="s">
        <v>396</v>
      </c>
      <c r="H664" t="s">
        <v>29</v>
      </c>
      <c r="I664" t="s">
        <v>21</v>
      </c>
    </row>
    <row r="665" spans="1:10" x14ac:dyDescent="0.25">
      <c r="A665">
        <v>27808121</v>
      </c>
      <c r="B665" t="s">
        <v>17</v>
      </c>
      <c r="C665" s="4">
        <v>44771.137283240743</v>
      </c>
      <c r="D665" t="s">
        <v>1031</v>
      </c>
      <c r="E665" t="s">
        <v>22</v>
      </c>
      <c r="F665" t="s">
        <v>52</v>
      </c>
      <c r="G665" t="s">
        <v>280</v>
      </c>
      <c r="H665" t="s">
        <v>42</v>
      </c>
      <c r="I665" t="s">
        <v>21</v>
      </c>
      <c r="J665" t="s">
        <v>114</v>
      </c>
    </row>
    <row r="666" spans="1:10" x14ac:dyDescent="0.25">
      <c r="A666">
        <v>27816792</v>
      </c>
      <c r="B666" t="s">
        <v>17</v>
      </c>
      <c r="C666" s="4">
        <v>44771.287040300929</v>
      </c>
      <c r="D666" t="s">
        <v>787</v>
      </c>
      <c r="E666" t="s">
        <v>22</v>
      </c>
      <c r="F666" t="s">
        <v>57</v>
      </c>
      <c r="G666" t="s">
        <v>426</v>
      </c>
      <c r="H666" t="s">
        <v>25</v>
      </c>
      <c r="I666" t="s">
        <v>21</v>
      </c>
      <c r="J666" t="s">
        <v>97</v>
      </c>
    </row>
    <row r="667" spans="1:10" x14ac:dyDescent="0.25">
      <c r="A667">
        <v>27808147</v>
      </c>
      <c r="B667" t="s">
        <v>17</v>
      </c>
      <c r="C667" s="4">
        <v>44771.13806041667</v>
      </c>
      <c r="D667" t="s">
        <v>995</v>
      </c>
      <c r="E667" t="s">
        <v>38</v>
      </c>
      <c r="F667" t="s">
        <v>57</v>
      </c>
      <c r="G667" t="s">
        <v>58</v>
      </c>
      <c r="H667" t="s">
        <v>46</v>
      </c>
      <c r="I667" t="s">
        <v>21</v>
      </c>
    </row>
    <row r="668" spans="1:10" x14ac:dyDescent="0.25">
      <c r="A668">
        <v>27808149</v>
      </c>
      <c r="B668" t="s">
        <v>17</v>
      </c>
      <c r="C668" s="4">
        <v>44771.138132430548</v>
      </c>
      <c r="D668" t="s">
        <v>996</v>
      </c>
      <c r="E668" t="s">
        <v>62</v>
      </c>
      <c r="F668" t="s">
        <v>57</v>
      </c>
      <c r="G668" t="s">
        <v>63</v>
      </c>
      <c r="H668" t="s">
        <v>46</v>
      </c>
      <c r="I668" t="s">
        <v>21</v>
      </c>
    </row>
    <row r="669" spans="1:10" x14ac:dyDescent="0.25">
      <c r="A669">
        <v>27808156</v>
      </c>
      <c r="B669" t="s">
        <v>17</v>
      </c>
      <c r="C669" s="4">
        <v>44771.138304907407</v>
      </c>
      <c r="F669" t="s">
        <v>52</v>
      </c>
      <c r="G669" t="s">
        <v>90</v>
      </c>
      <c r="H669" t="s">
        <v>20</v>
      </c>
      <c r="I669" t="s">
        <v>21</v>
      </c>
    </row>
    <row r="670" spans="1:10" x14ac:dyDescent="0.25">
      <c r="A670">
        <v>27808161</v>
      </c>
      <c r="B670" t="s">
        <v>17</v>
      </c>
      <c r="C670" s="4">
        <v>44771.138341481477</v>
      </c>
      <c r="F670" t="s">
        <v>57</v>
      </c>
      <c r="G670" t="s">
        <v>58</v>
      </c>
      <c r="H670" t="s">
        <v>47</v>
      </c>
      <c r="I670" t="s">
        <v>21</v>
      </c>
    </row>
    <row r="671" spans="1:10" x14ac:dyDescent="0.25">
      <c r="A671">
        <v>27808165</v>
      </c>
      <c r="B671" t="s">
        <v>17</v>
      </c>
      <c r="C671" s="4">
        <v>44771.13836513889</v>
      </c>
      <c r="D671" t="s">
        <v>1032</v>
      </c>
      <c r="E671" t="s">
        <v>184</v>
      </c>
      <c r="F671" t="s">
        <v>57</v>
      </c>
      <c r="G671" t="s">
        <v>76</v>
      </c>
      <c r="H671" t="s">
        <v>29</v>
      </c>
      <c r="I671" t="s">
        <v>21</v>
      </c>
      <c r="J671" t="s">
        <v>1033</v>
      </c>
    </row>
    <row r="672" spans="1:10" x14ac:dyDescent="0.25">
      <c r="A672">
        <v>27808178</v>
      </c>
      <c r="B672" t="s">
        <v>17</v>
      </c>
      <c r="C672" s="4">
        <v>44771.13842358796</v>
      </c>
      <c r="F672" t="s">
        <v>57</v>
      </c>
      <c r="G672" t="s">
        <v>63</v>
      </c>
      <c r="H672" t="s">
        <v>47</v>
      </c>
      <c r="I672" t="s">
        <v>21</v>
      </c>
    </row>
    <row r="673" spans="1:10" x14ac:dyDescent="0.25">
      <c r="A673">
        <v>27808194</v>
      </c>
      <c r="B673" t="s">
        <v>17</v>
      </c>
      <c r="C673" s="4">
        <v>44771.138643819453</v>
      </c>
      <c r="E673" t="s">
        <v>38</v>
      </c>
      <c r="F673" t="s">
        <v>33</v>
      </c>
      <c r="G673" t="s">
        <v>296</v>
      </c>
      <c r="H673" t="s">
        <v>40</v>
      </c>
      <c r="I673" t="s">
        <v>21</v>
      </c>
    </row>
    <row r="674" spans="1:10" x14ac:dyDescent="0.25">
      <c r="A674">
        <v>27808209</v>
      </c>
      <c r="B674" t="s">
        <v>17</v>
      </c>
      <c r="C674" s="4">
        <v>44771.138984710647</v>
      </c>
      <c r="D674" t="s">
        <v>1034</v>
      </c>
      <c r="E674" t="s">
        <v>38</v>
      </c>
      <c r="F674" t="s">
        <v>52</v>
      </c>
      <c r="G674" t="s">
        <v>94</v>
      </c>
      <c r="H674" t="s">
        <v>29</v>
      </c>
      <c r="I674" t="s">
        <v>21</v>
      </c>
      <c r="J674" t="s">
        <v>78</v>
      </c>
    </row>
    <row r="675" spans="1:10" x14ac:dyDescent="0.25">
      <c r="A675">
        <v>27808217</v>
      </c>
      <c r="B675" t="s">
        <v>17</v>
      </c>
      <c r="C675" s="4">
        <v>44771.139018993053</v>
      </c>
      <c r="D675" t="s">
        <v>1035</v>
      </c>
      <c r="E675" t="s">
        <v>38</v>
      </c>
      <c r="F675" t="s">
        <v>52</v>
      </c>
      <c r="G675" t="s">
        <v>94</v>
      </c>
      <c r="H675" t="s">
        <v>42</v>
      </c>
      <c r="I675" t="s">
        <v>21</v>
      </c>
      <c r="J675" t="s">
        <v>1036</v>
      </c>
    </row>
    <row r="676" spans="1:10" x14ac:dyDescent="0.25">
      <c r="A676">
        <v>27808225</v>
      </c>
      <c r="B676" t="s">
        <v>17</v>
      </c>
      <c r="C676" s="4">
        <v>44771.139186493063</v>
      </c>
      <c r="E676" t="s">
        <v>38</v>
      </c>
      <c r="F676" t="s">
        <v>33</v>
      </c>
      <c r="G676" t="s">
        <v>296</v>
      </c>
      <c r="H676" t="s">
        <v>25</v>
      </c>
      <c r="I676" t="s">
        <v>21</v>
      </c>
    </row>
    <row r="677" spans="1:10" x14ac:dyDescent="0.25">
      <c r="A677">
        <v>27808234</v>
      </c>
      <c r="B677" t="s">
        <v>17</v>
      </c>
      <c r="C677" s="4">
        <v>44771.139435763893</v>
      </c>
      <c r="D677" t="s">
        <v>1031</v>
      </c>
      <c r="E677" t="s">
        <v>22</v>
      </c>
      <c r="F677" t="s">
        <v>52</v>
      </c>
      <c r="G677" t="s">
        <v>280</v>
      </c>
      <c r="H677" t="s">
        <v>54</v>
      </c>
      <c r="I677" t="s">
        <v>21</v>
      </c>
      <c r="J677" t="s">
        <v>114</v>
      </c>
    </row>
    <row r="678" spans="1:10" x14ac:dyDescent="0.25">
      <c r="A678">
        <v>27808248</v>
      </c>
      <c r="B678" t="s">
        <v>17</v>
      </c>
      <c r="C678" s="4">
        <v>44771.139856956019</v>
      </c>
      <c r="D678" t="s">
        <v>1035</v>
      </c>
      <c r="E678" t="s">
        <v>38</v>
      </c>
      <c r="F678" t="s">
        <v>52</v>
      </c>
      <c r="G678" t="s">
        <v>94</v>
      </c>
      <c r="H678" t="s">
        <v>54</v>
      </c>
      <c r="I678" t="s">
        <v>21</v>
      </c>
      <c r="J678" t="s">
        <v>1036</v>
      </c>
    </row>
    <row r="679" spans="1:10" x14ac:dyDescent="0.25">
      <c r="A679">
        <v>27808300</v>
      </c>
      <c r="B679" t="s">
        <v>17</v>
      </c>
      <c r="C679" s="4">
        <v>44771.141728078706</v>
      </c>
      <c r="D679" t="s">
        <v>1024</v>
      </c>
      <c r="E679" t="s">
        <v>38</v>
      </c>
      <c r="F679" t="s">
        <v>52</v>
      </c>
      <c r="G679" t="s">
        <v>77</v>
      </c>
      <c r="H679" t="s">
        <v>54</v>
      </c>
      <c r="I679" t="s">
        <v>21</v>
      </c>
      <c r="J679" t="s">
        <v>87</v>
      </c>
    </row>
    <row r="680" spans="1:10" x14ac:dyDescent="0.25">
      <c r="A680">
        <v>27808365</v>
      </c>
      <c r="B680" t="s">
        <v>17</v>
      </c>
      <c r="C680" s="4">
        <v>44771.142419502306</v>
      </c>
      <c r="D680" t="s">
        <v>1024</v>
      </c>
      <c r="E680" t="s">
        <v>38</v>
      </c>
      <c r="F680" t="s">
        <v>52</v>
      </c>
      <c r="G680" t="s">
        <v>77</v>
      </c>
      <c r="H680" t="s">
        <v>40</v>
      </c>
      <c r="I680" t="s">
        <v>21</v>
      </c>
      <c r="J680" t="s">
        <v>87</v>
      </c>
    </row>
    <row r="681" spans="1:10" x14ac:dyDescent="0.25">
      <c r="A681">
        <v>27808403</v>
      </c>
      <c r="B681" t="s">
        <v>17</v>
      </c>
      <c r="C681" s="4">
        <v>44771.143027361111</v>
      </c>
      <c r="D681" t="s">
        <v>1024</v>
      </c>
      <c r="E681" t="s">
        <v>38</v>
      </c>
      <c r="F681" t="s">
        <v>52</v>
      </c>
      <c r="G681" t="s">
        <v>77</v>
      </c>
      <c r="H681" t="s">
        <v>25</v>
      </c>
      <c r="I681" t="s">
        <v>21</v>
      </c>
      <c r="J681" t="s">
        <v>87</v>
      </c>
    </row>
    <row r="682" spans="1:10" x14ac:dyDescent="0.25">
      <c r="A682">
        <v>27808444</v>
      </c>
      <c r="B682" t="s">
        <v>17</v>
      </c>
      <c r="C682" s="4">
        <v>44771.144036782411</v>
      </c>
      <c r="D682" t="s">
        <v>1037</v>
      </c>
      <c r="E682" t="s">
        <v>38</v>
      </c>
      <c r="F682" t="s">
        <v>23</v>
      </c>
      <c r="G682" t="s">
        <v>98</v>
      </c>
      <c r="H682" t="s">
        <v>29</v>
      </c>
      <c r="I682" t="s">
        <v>21</v>
      </c>
      <c r="J682" t="s">
        <v>1038</v>
      </c>
    </row>
    <row r="683" spans="1:10" x14ac:dyDescent="0.25">
      <c r="A683">
        <v>27808451</v>
      </c>
      <c r="B683" t="s">
        <v>17</v>
      </c>
      <c r="C683" s="4">
        <v>44771.144054606477</v>
      </c>
      <c r="D683" t="s">
        <v>1039</v>
      </c>
      <c r="E683" t="s">
        <v>22</v>
      </c>
      <c r="F683" t="s">
        <v>23</v>
      </c>
      <c r="G683" t="s">
        <v>98</v>
      </c>
      <c r="H683" t="s">
        <v>42</v>
      </c>
      <c r="I683" t="s">
        <v>21</v>
      </c>
      <c r="J683" t="s">
        <v>71</v>
      </c>
    </row>
    <row r="684" spans="1:10" x14ac:dyDescent="0.25">
      <c r="A684">
        <v>27808462</v>
      </c>
      <c r="B684" t="s">
        <v>17</v>
      </c>
      <c r="C684" s="4">
        <v>44771.144142037039</v>
      </c>
      <c r="D684" t="s">
        <v>1031</v>
      </c>
      <c r="E684" t="s">
        <v>22</v>
      </c>
      <c r="F684" t="s">
        <v>52</v>
      </c>
      <c r="G684" t="s">
        <v>280</v>
      </c>
      <c r="H684" t="s">
        <v>40</v>
      </c>
      <c r="I684" t="s">
        <v>21</v>
      </c>
      <c r="J684" t="s">
        <v>114</v>
      </c>
    </row>
    <row r="685" spans="1:10" x14ac:dyDescent="0.25">
      <c r="A685">
        <v>27808471</v>
      </c>
      <c r="B685" t="s">
        <v>17</v>
      </c>
      <c r="C685" s="4">
        <v>44771.144334444441</v>
      </c>
      <c r="D685" t="s">
        <v>1039</v>
      </c>
      <c r="E685" t="s">
        <v>22</v>
      </c>
      <c r="F685" t="s">
        <v>23</v>
      </c>
      <c r="G685" t="s">
        <v>98</v>
      </c>
      <c r="H685" t="s">
        <v>330</v>
      </c>
      <c r="I685" t="s">
        <v>21</v>
      </c>
      <c r="J685" t="s">
        <v>71</v>
      </c>
    </row>
    <row r="686" spans="1:10" x14ac:dyDescent="0.25">
      <c r="A686">
        <v>27808473</v>
      </c>
      <c r="B686" t="s">
        <v>17</v>
      </c>
      <c r="C686" s="4">
        <v>44771.144342141197</v>
      </c>
      <c r="D686" t="s">
        <v>1039</v>
      </c>
      <c r="E686" t="s">
        <v>22</v>
      </c>
      <c r="F686" t="s">
        <v>23</v>
      </c>
      <c r="G686" t="s">
        <v>98</v>
      </c>
      <c r="H686" t="s">
        <v>196</v>
      </c>
      <c r="I686" t="s">
        <v>21</v>
      </c>
      <c r="J686" t="s">
        <v>71</v>
      </c>
    </row>
    <row r="687" spans="1:10" x14ac:dyDescent="0.25">
      <c r="A687">
        <v>27808475</v>
      </c>
      <c r="B687" t="s">
        <v>17</v>
      </c>
      <c r="C687" s="4">
        <v>44771.144348298607</v>
      </c>
      <c r="F687" t="s">
        <v>23</v>
      </c>
      <c r="G687" t="s">
        <v>98</v>
      </c>
      <c r="H687" t="s">
        <v>195</v>
      </c>
      <c r="I687" t="s">
        <v>21</v>
      </c>
    </row>
    <row r="688" spans="1:10" x14ac:dyDescent="0.25">
      <c r="A688">
        <v>27808487</v>
      </c>
      <c r="B688" t="s">
        <v>17</v>
      </c>
      <c r="C688" s="4">
        <v>44771.144592928242</v>
      </c>
      <c r="D688" t="s">
        <v>1031</v>
      </c>
      <c r="E688" t="s">
        <v>22</v>
      </c>
      <c r="F688" t="s">
        <v>52</v>
      </c>
      <c r="G688" t="s">
        <v>280</v>
      </c>
      <c r="H688" t="s">
        <v>25</v>
      </c>
      <c r="I688" t="s">
        <v>21</v>
      </c>
      <c r="J688" t="s">
        <v>114</v>
      </c>
    </row>
    <row r="689" spans="1:10" x14ac:dyDescent="0.25">
      <c r="A689">
        <v>27808495</v>
      </c>
      <c r="B689" t="s">
        <v>17</v>
      </c>
      <c r="C689" s="4">
        <v>44771.144593877318</v>
      </c>
      <c r="D689" t="s">
        <v>1040</v>
      </c>
      <c r="E689" t="s">
        <v>38</v>
      </c>
      <c r="F689" t="s">
        <v>52</v>
      </c>
      <c r="G689" t="s">
        <v>134</v>
      </c>
      <c r="H689" t="s">
        <v>29</v>
      </c>
      <c r="I689" t="s">
        <v>21</v>
      </c>
      <c r="J689" t="s">
        <v>1041</v>
      </c>
    </row>
    <row r="690" spans="1:10" x14ac:dyDescent="0.25">
      <c r="A690">
        <v>27808509</v>
      </c>
      <c r="B690" t="s">
        <v>17</v>
      </c>
      <c r="C690" s="4">
        <v>44771.144673703697</v>
      </c>
      <c r="D690" t="s">
        <v>1042</v>
      </c>
      <c r="E690" t="s">
        <v>117</v>
      </c>
      <c r="F690" t="s">
        <v>52</v>
      </c>
      <c r="G690" t="s">
        <v>65</v>
      </c>
      <c r="H690" t="s">
        <v>29</v>
      </c>
      <c r="I690" t="s">
        <v>21</v>
      </c>
      <c r="J690" t="s">
        <v>1043</v>
      </c>
    </row>
    <row r="691" spans="1:10" x14ac:dyDescent="0.25">
      <c r="A691">
        <v>27808532</v>
      </c>
      <c r="B691" t="s">
        <v>17</v>
      </c>
      <c r="C691" s="4">
        <v>44771.145293379632</v>
      </c>
      <c r="D691" t="s">
        <v>1035</v>
      </c>
      <c r="E691" t="s">
        <v>38</v>
      </c>
      <c r="F691" t="s">
        <v>52</v>
      </c>
      <c r="G691" t="s">
        <v>94</v>
      </c>
      <c r="H691" t="s">
        <v>40</v>
      </c>
      <c r="I691" t="s">
        <v>21</v>
      </c>
      <c r="J691" t="s">
        <v>1036</v>
      </c>
    </row>
    <row r="692" spans="1:10" x14ac:dyDescent="0.25">
      <c r="A692">
        <v>27808534</v>
      </c>
      <c r="B692" t="s">
        <v>17</v>
      </c>
      <c r="C692" s="4">
        <v>44771.145319201387</v>
      </c>
      <c r="F692" t="s">
        <v>23</v>
      </c>
      <c r="G692" t="s">
        <v>98</v>
      </c>
      <c r="H692" t="s">
        <v>196</v>
      </c>
      <c r="I692" t="s">
        <v>21</v>
      </c>
    </row>
    <row r="693" spans="1:10" x14ac:dyDescent="0.25">
      <c r="A693">
        <v>27816819</v>
      </c>
      <c r="B693" t="s">
        <v>17</v>
      </c>
      <c r="C693" s="4">
        <v>44771.287769178241</v>
      </c>
      <c r="D693" t="s">
        <v>1044</v>
      </c>
      <c r="E693" t="s">
        <v>38</v>
      </c>
      <c r="F693" t="s">
        <v>23</v>
      </c>
      <c r="G693" t="s">
        <v>51</v>
      </c>
      <c r="H693" t="s">
        <v>29</v>
      </c>
      <c r="I693" t="s">
        <v>21</v>
      </c>
      <c r="J693" t="s">
        <v>253</v>
      </c>
    </row>
    <row r="694" spans="1:10" x14ac:dyDescent="0.25">
      <c r="A694">
        <v>27808540</v>
      </c>
      <c r="B694" t="s">
        <v>17</v>
      </c>
      <c r="C694" s="4">
        <v>44771.14538440972</v>
      </c>
      <c r="D694" t="s">
        <v>1039</v>
      </c>
      <c r="E694" t="s">
        <v>22</v>
      </c>
      <c r="F694" t="s">
        <v>23</v>
      </c>
      <c r="G694" t="s">
        <v>98</v>
      </c>
      <c r="H694" t="s">
        <v>42</v>
      </c>
      <c r="I694" t="s">
        <v>21</v>
      </c>
      <c r="J694" t="s">
        <v>71</v>
      </c>
    </row>
    <row r="695" spans="1:10" x14ac:dyDescent="0.25">
      <c r="A695">
        <v>27808548</v>
      </c>
      <c r="B695" t="s">
        <v>17</v>
      </c>
      <c r="C695" s="4">
        <v>44771.145656388893</v>
      </c>
      <c r="D695" t="s">
        <v>1039</v>
      </c>
      <c r="E695" t="s">
        <v>22</v>
      </c>
      <c r="F695" t="s">
        <v>23</v>
      </c>
      <c r="G695" t="s">
        <v>98</v>
      </c>
      <c r="H695" t="s">
        <v>54</v>
      </c>
      <c r="I695" t="s">
        <v>21</v>
      </c>
      <c r="J695" t="s">
        <v>71</v>
      </c>
    </row>
    <row r="696" spans="1:10" x14ac:dyDescent="0.25">
      <c r="A696">
        <v>27808552</v>
      </c>
      <c r="B696" t="s">
        <v>17</v>
      </c>
      <c r="C696" s="4">
        <v>44771.145743379631</v>
      </c>
      <c r="D696" t="s">
        <v>1035</v>
      </c>
      <c r="E696" t="s">
        <v>38</v>
      </c>
      <c r="F696" t="s">
        <v>52</v>
      </c>
      <c r="G696" t="s">
        <v>94</v>
      </c>
      <c r="H696" t="s">
        <v>25</v>
      </c>
      <c r="I696" t="s">
        <v>21</v>
      </c>
      <c r="J696" t="s">
        <v>1036</v>
      </c>
    </row>
    <row r="697" spans="1:10" x14ac:dyDescent="0.25">
      <c r="A697">
        <v>27808598</v>
      </c>
      <c r="B697" t="s">
        <v>17</v>
      </c>
      <c r="C697" s="4">
        <v>44771.146255370368</v>
      </c>
      <c r="D697" t="s">
        <v>1045</v>
      </c>
      <c r="E697" t="s">
        <v>27</v>
      </c>
      <c r="F697" t="s">
        <v>18</v>
      </c>
      <c r="G697" t="s">
        <v>428</v>
      </c>
      <c r="H697" t="s">
        <v>29</v>
      </c>
      <c r="I697" t="s">
        <v>21</v>
      </c>
      <c r="J697" t="s">
        <v>1046</v>
      </c>
    </row>
    <row r="698" spans="1:10" x14ac:dyDescent="0.25">
      <c r="A698">
        <v>27808633</v>
      </c>
      <c r="B698" t="s">
        <v>17</v>
      </c>
      <c r="C698" s="4">
        <v>44771.146727743057</v>
      </c>
      <c r="D698" t="s">
        <v>1039</v>
      </c>
      <c r="E698" t="s">
        <v>22</v>
      </c>
      <c r="F698" t="s">
        <v>23</v>
      </c>
      <c r="G698" t="s">
        <v>98</v>
      </c>
      <c r="H698" t="s">
        <v>40</v>
      </c>
      <c r="I698" t="s">
        <v>21</v>
      </c>
      <c r="J698" t="s">
        <v>71</v>
      </c>
    </row>
    <row r="699" spans="1:10" x14ac:dyDescent="0.25">
      <c r="A699">
        <v>27808642</v>
      </c>
      <c r="B699" t="s">
        <v>17</v>
      </c>
      <c r="C699" s="4">
        <v>44771.147112164363</v>
      </c>
      <c r="D699" t="s">
        <v>1047</v>
      </c>
      <c r="E699" t="s">
        <v>22</v>
      </c>
      <c r="F699" t="s">
        <v>57</v>
      </c>
      <c r="G699" t="s">
        <v>383</v>
      </c>
      <c r="H699" t="s">
        <v>29</v>
      </c>
      <c r="I699" t="s">
        <v>21</v>
      </c>
      <c r="J699" t="s">
        <v>1048</v>
      </c>
    </row>
    <row r="700" spans="1:10" x14ac:dyDescent="0.25">
      <c r="A700">
        <v>27808651</v>
      </c>
      <c r="B700" t="s">
        <v>17</v>
      </c>
      <c r="C700" s="4">
        <v>44771.147164571761</v>
      </c>
      <c r="D700" t="s">
        <v>1039</v>
      </c>
      <c r="E700" t="s">
        <v>22</v>
      </c>
      <c r="F700" t="s">
        <v>23</v>
      </c>
      <c r="G700" t="s">
        <v>98</v>
      </c>
      <c r="H700" t="s">
        <v>25</v>
      </c>
      <c r="I700" t="s">
        <v>21</v>
      </c>
      <c r="J700" t="s">
        <v>71</v>
      </c>
    </row>
    <row r="701" spans="1:10" x14ac:dyDescent="0.25">
      <c r="A701">
        <v>27808695</v>
      </c>
      <c r="B701" t="s">
        <v>17</v>
      </c>
      <c r="C701" s="4">
        <v>44771.14827135417</v>
      </c>
      <c r="D701" t="s">
        <v>1049</v>
      </c>
      <c r="E701" t="s">
        <v>27</v>
      </c>
      <c r="F701" t="s">
        <v>18</v>
      </c>
      <c r="G701" t="s">
        <v>380</v>
      </c>
      <c r="H701" t="s">
        <v>29</v>
      </c>
      <c r="I701" t="s">
        <v>21</v>
      </c>
      <c r="J701" t="s">
        <v>1050</v>
      </c>
    </row>
    <row r="702" spans="1:10" x14ac:dyDescent="0.25">
      <c r="A702">
        <v>27808716</v>
      </c>
      <c r="B702" t="s">
        <v>17</v>
      </c>
      <c r="C702" s="4">
        <v>44771.148851631937</v>
      </c>
      <c r="D702" t="s">
        <v>994</v>
      </c>
      <c r="E702" t="s">
        <v>38</v>
      </c>
      <c r="F702" t="s">
        <v>55</v>
      </c>
      <c r="G702" t="s">
        <v>204</v>
      </c>
      <c r="H702" t="s">
        <v>29</v>
      </c>
      <c r="I702" t="s">
        <v>21</v>
      </c>
    </row>
    <row r="703" spans="1:10" x14ac:dyDescent="0.25">
      <c r="A703">
        <v>27808719</v>
      </c>
      <c r="B703" t="s">
        <v>17</v>
      </c>
      <c r="C703" s="4">
        <v>44771.148853969913</v>
      </c>
      <c r="D703" t="s">
        <v>1051</v>
      </c>
      <c r="E703" t="s">
        <v>38</v>
      </c>
      <c r="F703" t="s">
        <v>52</v>
      </c>
      <c r="G703" t="s">
        <v>90</v>
      </c>
      <c r="H703" t="s">
        <v>40</v>
      </c>
      <c r="I703" t="s">
        <v>21</v>
      </c>
    </row>
    <row r="704" spans="1:10" x14ac:dyDescent="0.25">
      <c r="A704">
        <v>27808732</v>
      </c>
      <c r="B704" t="s">
        <v>17</v>
      </c>
      <c r="C704" s="4">
        <v>44771.149221516207</v>
      </c>
      <c r="D704" t="s">
        <v>1051</v>
      </c>
      <c r="E704" t="s">
        <v>38</v>
      </c>
      <c r="F704" t="s">
        <v>52</v>
      </c>
      <c r="G704" t="s">
        <v>90</v>
      </c>
      <c r="H704" t="s">
        <v>25</v>
      </c>
      <c r="I704" t="s">
        <v>21</v>
      </c>
    </row>
    <row r="705" spans="1:10" x14ac:dyDescent="0.25">
      <c r="A705">
        <v>27816835</v>
      </c>
      <c r="B705" t="s">
        <v>17</v>
      </c>
      <c r="C705" s="4">
        <v>44771.288038472223</v>
      </c>
      <c r="D705" t="s">
        <v>764</v>
      </c>
      <c r="E705" t="s">
        <v>72</v>
      </c>
      <c r="F705" t="s">
        <v>49</v>
      </c>
      <c r="G705" t="s">
        <v>132</v>
      </c>
      <c r="H705" t="s">
        <v>232</v>
      </c>
      <c r="I705" t="s">
        <v>21</v>
      </c>
      <c r="J705" t="s">
        <v>765</v>
      </c>
    </row>
    <row r="706" spans="1:10" x14ac:dyDescent="0.25">
      <c r="A706">
        <v>27808791</v>
      </c>
      <c r="B706" t="s">
        <v>17</v>
      </c>
      <c r="C706" s="4">
        <v>44771.150130567134</v>
      </c>
      <c r="D706" t="s">
        <v>1052</v>
      </c>
      <c r="E706" t="s">
        <v>27</v>
      </c>
      <c r="F706" t="s">
        <v>18</v>
      </c>
      <c r="G706" t="s">
        <v>154</v>
      </c>
      <c r="H706" t="s">
        <v>42</v>
      </c>
      <c r="I706" t="s">
        <v>21</v>
      </c>
      <c r="J706" t="s">
        <v>1053</v>
      </c>
    </row>
    <row r="707" spans="1:10" x14ac:dyDescent="0.25">
      <c r="A707">
        <v>27808796</v>
      </c>
      <c r="B707" t="s">
        <v>17</v>
      </c>
      <c r="C707" s="4">
        <v>44771.150166527783</v>
      </c>
      <c r="D707" t="s">
        <v>1052</v>
      </c>
      <c r="E707" t="s">
        <v>27</v>
      </c>
      <c r="F707" t="s">
        <v>18</v>
      </c>
      <c r="G707" t="s">
        <v>154</v>
      </c>
      <c r="H707" t="s">
        <v>54</v>
      </c>
      <c r="I707" t="s">
        <v>21</v>
      </c>
      <c r="J707" t="s">
        <v>1053</v>
      </c>
    </row>
    <row r="708" spans="1:10" x14ac:dyDescent="0.25">
      <c r="A708">
        <v>27808804</v>
      </c>
      <c r="B708" t="s">
        <v>17</v>
      </c>
      <c r="C708" s="4">
        <v>44771.150255324072</v>
      </c>
      <c r="D708" t="s">
        <v>1054</v>
      </c>
      <c r="E708" t="s">
        <v>27</v>
      </c>
      <c r="F708" t="s">
        <v>18</v>
      </c>
      <c r="G708" t="s">
        <v>226</v>
      </c>
      <c r="H708" t="s">
        <v>29</v>
      </c>
      <c r="I708" t="s">
        <v>21</v>
      </c>
      <c r="J708" t="s">
        <v>1055</v>
      </c>
    </row>
    <row r="709" spans="1:10" x14ac:dyDescent="0.25">
      <c r="A709">
        <v>27808842</v>
      </c>
      <c r="B709" t="s">
        <v>17</v>
      </c>
      <c r="C709" s="4">
        <v>44771.151282824067</v>
      </c>
      <c r="D709" t="s">
        <v>1056</v>
      </c>
      <c r="E709" t="s">
        <v>27</v>
      </c>
      <c r="F709" t="s">
        <v>18</v>
      </c>
      <c r="G709" t="s">
        <v>83</v>
      </c>
      <c r="H709" t="s">
        <v>29</v>
      </c>
      <c r="I709" t="s">
        <v>21</v>
      </c>
      <c r="J709" t="s">
        <v>1057</v>
      </c>
    </row>
    <row r="710" spans="1:10" x14ac:dyDescent="0.25">
      <c r="A710">
        <v>27808849</v>
      </c>
      <c r="B710" t="s">
        <v>17</v>
      </c>
      <c r="C710" s="4">
        <v>44771.151445995369</v>
      </c>
      <c r="D710" t="s">
        <v>1058</v>
      </c>
      <c r="E710" t="s">
        <v>38</v>
      </c>
      <c r="F710" t="s">
        <v>55</v>
      </c>
      <c r="G710" t="s">
        <v>420</v>
      </c>
      <c r="H710" t="s">
        <v>29</v>
      </c>
      <c r="I710" t="s">
        <v>21</v>
      </c>
    </row>
    <row r="711" spans="1:10" x14ac:dyDescent="0.25">
      <c r="A711">
        <v>27808887</v>
      </c>
      <c r="B711" t="s">
        <v>17</v>
      </c>
      <c r="C711" s="4">
        <v>44771.152445416657</v>
      </c>
      <c r="D711" t="s">
        <v>1059</v>
      </c>
      <c r="E711" t="s">
        <v>27</v>
      </c>
      <c r="F711" t="s">
        <v>57</v>
      </c>
      <c r="G711" t="s">
        <v>335</v>
      </c>
      <c r="H711" t="s">
        <v>42</v>
      </c>
      <c r="I711" t="s">
        <v>21</v>
      </c>
      <c r="J711" t="s">
        <v>85</v>
      </c>
    </row>
    <row r="712" spans="1:10" x14ac:dyDescent="0.25">
      <c r="A712">
        <v>27808896</v>
      </c>
      <c r="B712" t="s">
        <v>17</v>
      </c>
      <c r="C712" s="4">
        <v>44771.152752499998</v>
      </c>
      <c r="F712" t="s">
        <v>52</v>
      </c>
      <c r="G712" t="s">
        <v>65</v>
      </c>
      <c r="H712" t="s">
        <v>20</v>
      </c>
      <c r="I712" t="s">
        <v>21</v>
      </c>
    </row>
    <row r="713" spans="1:10" x14ac:dyDescent="0.25">
      <c r="A713">
        <v>27808917</v>
      </c>
      <c r="B713" t="s">
        <v>17</v>
      </c>
      <c r="C713" s="4">
        <v>44771.152940254629</v>
      </c>
      <c r="F713" t="s">
        <v>52</v>
      </c>
      <c r="G713" t="s">
        <v>134</v>
      </c>
      <c r="H713" t="s">
        <v>20</v>
      </c>
      <c r="I713" t="s">
        <v>21</v>
      </c>
    </row>
    <row r="714" spans="1:10" x14ac:dyDescent="0.25">
      <c r="A714">
        <v>27808952</v>
      </c>
      <c r="B714" t="s">
        <v>17</v>
      </c>
      <c r="C714" s="4">
        <v>44771.153566226851</v>
      </c>
      <c r="D714" t="s">
        <v>1060</v>
      </c>
      <c r="E714" t="s">
        <v>62</v>
      </c>
      <c r="F714" t="s">
        <v>57</v>
      </c>
      <c r="G714" t="s">
        <v>182</v>
      </c>
      <c r="H714" t="s">
        <v>29</v>
      </c>
      <c r="I714" t="s">
        <v>21</v>
      </c>
      <c r="J714" t="s">
        <v>1061</v>
      </c>
    </row>
    <row r="715" spans="1:10" x14ac:dyDescent="0.25">
      <c r="A715">
        <v>27816852</v>
      </c>
      <c r="B715" t="s">
        <v>17</v>
      </c>
      <c r="C715" s="4">
        <v>44771.288299687498</v>
      </c>
      <c r="D715" t="s">
        <v>1062</v>
      </c>
      <c r="E715" t="s">
        <v>38</v>
      </c>
      <c r="F715" t="s">
        <v>52</v>
      </c>
      <c r="G715" t="s">
        <v>220</v>
      </c>
      <c r="H715" t="s">
        <v>40</v>
      </c>
      <c r="I715" t="s">
        <v>21</v>
      </c>
      <c r="J715" t="s">
        <v>1063</v>
      </c>
    </row>
    <row r="716" spans="1:10" x14ac:dyDescent="0.25">
      <c r="A716">
        <v>27816860</v>
      </c>
      <c r="B716" t="s">
        <v>17</v>
      </c>
      <c r="C716" s="4">
        <v>44771.288374432872</v>
      </c>
      <c r="D716" t="s">
        <v>1064</v>
      </c>
      <c r="E716" t="s">
        <v>22</v>
      </c>
      <c r="F716" t="s">
        <v>23</v>
      </c>
      <c r="G716" t="s">
        <v>178</v>
      </c>
      <c r="H716" t="s">
        <v>29</v>
      </c>
      <c r="I716" t="s">
        <v>21</v>
      </c>
      <c r="J716" t="s">
        <v>1065</v>
      </c>
    </row>
    <row r="717" spans="1:10" x14ac:dyDescent="0.25">
      <c r="A717">
        <v>27809030</v>
      </c>
      <c r="B717" t="s">
        <v>17</v>
      </c>
      <c r="C717" s="4">
        <v>44771.156002326388</v>
      </c>
      <c r="D717" t="s">
        <v>1066</v>
      </c>
      <c r="E717" t="s">
        <v>38</v>
      </c>
      <c r="F717" t="s">
        <v>23</v>
      </c>
      <c r="G717" t="s">
        <v>187</v>
      </c>
      <c r="H717" t="s">
        <v>29</v>
      </c>
      <c r="I717" t="s">
        <v>21</v>
      </c>
      <c r="J717" t="s">
        <v>95</v>
      </c>
    </row>
    <row r="718" spans="1:10" x14ac:dyDescent="0.25">
      <c r="A718">
        <v>27809053</v>
      </c>
      <c r="B718" t="s">
        <v>17</v>
      </c>
      <c r="C718" s="4">
        <v>44771.156269918982</v>
      </c>
      <c r="D718" t="s">
        <v>1067</v>
      </c>
      <c r="E718" t="s">
        <v>27</v>
      </c>
      <c r="F718" t="s">
        <v>18</v>
      </c>
      <c r="G718" t="s">
        <v>102</v>
      </c>
      <c r="H718" t="s">
        <v>29</v>
      </c>
      <c r="I718" t="s">
        <v>21</v>
      </c>
      <c r="J718" t="s">
        <v>1068</v>
      </c>
    </row>
    <row r="719" spans="1:10" x14ac:dyDescent="0.25">
      <c r="A719">
        <v>27809089</v>
      </c>
      <c r="B719" t="s">
        <v>17</v>
      </c>
      <c r="C719" s="4">
        <v>44771.156753148149</v>
      </c>
      <c r="D719" t="s">
        <v>1069</v>
      </c>
      <c r="E719" t="s">
        <v>62</v>
      </c>
      <c r="F719" t="s">
        <v>57</v>
      </c>
      <c r="G719" t="s">
        <v>185</v>
      </c>
      <c r="H719" t="s">
        <v>29</v>
      </c>
      <c r="I719" t="s">
        <v>21</v>
      </c>
      <c r="J719" t="s">
        <v>1070</v>
      </c>
    </row>
    <row r="720" spans="1:10" x14ac:dyDescent="0.25">
      <c r="A720">
        <v>27809117</v>
      </c>
      <c r="B720" t="s">
        <v>17</v>
      </c>
      <c r="C720" s="4">
        <v>44771.157184027783</v>
      </c>
      <c r="D720" t="s">
        <v>1052</v>
      </c>
      <c r="E720" t="s">
        <v>27</v>
      </c>
      <c r="F720" t="s">
        <v>18</v>
      </c>
      <c r="G720" t="s">
        <v>154</v>
      </c>
      <c r="H720" t="s">
        <v>40</v>
      </c>
      <c r="I720" t="s">
        <v>21</v>
      </c>
      <c r="J720" t="s">
        <v>1053</v>
      </c>
    </row>
    <row r="721" spans="1:10" x14ac:dyDescent="0.25">
      <c r="A721">
        <v>27809122</v>
      </c>
      <c r="B721" t="s">
        <v>17</v>
      </c>
      <c r="C721" s="4">
        <v>44771.1573062963</v>
      </c>
      <c r="D721" t="s">
        <v>1071</v>
      </c>
      <c r="E721" t="s">
        <v>62</v>
      </c>
      <c r="F721" t="s">
        <v>57</v>
      </c>
      <c r="G721" t="s">
        <v>182</v>
      </c>
      <c r="H721" t="s">
        <v>42</v>
      </c>
      <c r="I721" t="s">
        <v>21</v>
      </c>
      <c r="J721" t="s">
        <v>189</v>
      </c>
    </row>
    <row r="722" spans="1:10" x14ac:dyDescent="0.25">
      <c r="A722">
        <v>27809142</v>
      </c>
      <c r="B722" t="s">
        <v>17</v>
      </c>
      <c r="C722" s="4">
        <v>44771.157720856478</v>
      </c>
      <c r="D722" t="s">
        <v>1052</v>
      </c>
      <c r="E722" t="s">
        <v>27</v>
      </c>
      <c r="F722" t="s">
        <v>18</v>
      </c>
      <c r="G722" t="s">
        <v>154</v>
      </c>
      <c r="H722" t="s">
        <v>25</v>
      </c>
      <c r="I722" t="s">
        <v>21</v>
      </c>
      <c r="J722" t="s">
        <v>1053</v>
      </c>
    </row>
    <row r="723" spans="1:10" x14ac:dyDescent="0.25">
      <c r="A723">
        <v>27809174</v>
      </c>
      <c r="B723" t="s">
        <v>17</v>
      </c>
      <c r="C723" s="4">
        <v>44771.158412013887</v>
      </c>
      <c r="D723" t="s">
        <v>1072</v>
      </c>
      <c r="E723" t="s">
        <v>22</v>
      </c>
      <c r="F723" t="s">
        <v>52</v>
      </c>
      <c r="G723" t="s">
        <v>400</v>
      </c>
      <c r="H723" t="s">
        <v>29</v>
      </c>
      <c r="I723" t="s">
        <v>21</v>
      </c>
      <c r="J723" t="s">
        <v>109</v>
      </c>
    </row>
    <row r="724" spans="1:10" x14ac:dyDescent="0.25">
      <c r="A724">
        <v>27809185</v>
      </c>
      <c r="B724" t="s">
        <v>17</v>
      </c>
      <c r="C724" s="4">
        <v>44771.15846564815</v>
      </c>
      <c r="D724" t="s">
        <v>1073</v>
      </c>
      <c r="E724" t="s">
        <v>22</v>
      </c>
      <c r="F724" t="s">
        <v>52</v>
      </c>
      <c r="G724" t="s">
        <v>400</v>
      </c>
      <c r="H724" t="s">
        <v>42</v>
      </c>
      <c r="I724" t="s">
        <v>21</v>
      </c>
      <c r="J724" t="s">
        <v>1074</v>
      </c>
    </row>
    <row r="725" spans="1:10" x14ac:dyDescent="0.25">
      <c r="A725">
        <v>27809200</v>
      </c>
      <c r="B725" t="s">
        <v>17</v>
      </c>
      <c r="C725" s="4">
        <v>44771.158892094907</v>
      </c>
      <c r="D725" t="s">
        <v>1075</v>
      </c>
      <c r="E725" t="s">
        <v>72</v>
      </c>
      <c r="F725" t="s">
        <v>49</v>
      </c>
      <c r="G725" t="s">
        <v>74</v>
      </c>
      <c r="H725" t="s">
        <v>29</v>
      </c>
      <c r="I725" t="s">
        <v>21</v>
      </c>
      <c r="J725" t="s">
        <v>131</v>
      </c>
    </row>
    <row r="726" spans="1:10" x14ac:dyDescent="0.25">
      <c r="A726">
        <v>27809211</v>
      </c>
      <c r="B726" t="s">
        <v>17</v>
      </c>
      <c r="C726" s="4">
        <v>44771.158941400463</v>
      </c>
      <c r="D726" t="s">
        <v>1059</v>
      </c>
      <c r="E726" t="s">
        <v>27</v>
      </c>
      <c r="F726" t="s">
        <v>57</v>
      </c>
      <c r="G726" t="s">
        <v>335</v>
      </c>
      <c r="H726" t="s">
        <v>54</v>
      </c>
      <c r="I726" t="s">
        <v>21</v>
      </c>
      <c r="J726" t="s">
        <v>85</v>
      </c>
    </row>
    <row r="727" spans="1:10" x14ac:dyDescent="0.25">
      <c r="A727">
        <v>27809215</v>
      </c>
      <c r="B727" t="s">
        <v>17</v>
      </c>
      <c r="C727" s="4">
        <v>44771.159006828697</v>
      </c>
      <c r="D727" t="s">
        <v>1076</v>
      </c>
      <c r="E727" t="s">
        <v>38</v>
      </c>
      <c r="F727" t="s">
        <v>52</v>
      </c>
      <c r="G727" t="s">
        <v>328</v>
      </c>
      <c r="H727" t="s">
        <v>29</v>
      </c>
      <c r="I727" t="s">
        <v>21</v>
      </c>
      <c r="J727" t="s">
        <v>1077</v>
      </c>
    </row>
    <row r="728" spans="1:10" x14ac:dyDescent="0.25">
      <c r="A728">
        <v>27809223</v>
      </c>
      <c r="B728" t="s">
        <v>17</v>
      </c>
      <c r="C728" s="4">
        <v>44771.159057326389</v>
      </c>
      <c r="D728" t="s">
        <v>1078</v>
      </c>
      <c r="E728" t="s">
        <v>22</v>
      </c>
      <c r="F728" t="s">
        <v>52</v>
      </c>
      <c r="G728" t="s">
        <v>328</v>
      </c>
      <c r="H728" t="s">
        <v>42</v>
      </c>
      <c r="I728" t="s">
        <v>21</v>
      </c>
      <c r="J728" t="s">
        <v>111</v>
      </c>
    </row>
    <row r="729" spans="1:10" x14ac:dyDescent="0.25">
      <c r="A729">
        <v>27809234</v>
      </c>
      <c r="B729" t="s">
        <v>17</v>
      </c>
      <c r="C729" s="4">
        <v>44771.159171064814</v>
      </c>
      <c r="D729" t="s">
        <v>1073</v>
      </c>
      <c r="E729" t="s">
        <v>22</v>
      </c>
      <c r="F729" t="s">
        <v>52</v>
      </c>
      <c r="G729" t="s">
        <v>400</v>
      </c>
      <c r="H729" t="s">
        <v>54</v>
      </c>
      <c r="I729" t="s">
        <v>21</v>
      </c>
      <c r="J729" t="s">
        <v>1074</v>
      </c>
    </row>
    <row r="730" spans="1:10" x14ac:dyDescent="0.25">
      <c r="A730">
        <v>27809239</v>
      </c>
      <c r="B730" t="s">
        <v>17</v>
      </c>
      <c r="C730" s="4">
        <v>44771.159215983796</v>
      </c>
      <c r="D730" t="s">
        <v>1078</v>
      </c>
      <c r="E730" t="s">
        <v>22</v>
      </c>
      <c r="F730" t="s">
        <v>52</v>
      </c>
      <c r="G730" t="s">
        <v>328</v>
      </c>
      <c r="H730" t="s">
        <v>330</v>
      </c>
      <c r="I730" t="s">
        <v>21</v>
      </c>
      <c r="J730" t="s">
        <v>111</v>
      </c>
    </row>
    <row r="731" spans="1:10" x14ac:dyDescent="0.25">
      <c r="A731">
        <v>27809246</v>
      </c>
      <c r="B731" t="s">
        <v>17</v>
      </c>
      <c r="C731" s="4">
        <v>44771.159338287027</v>
      </c>
      <c r="D731" t="s">
        <v>1079</v>
      </c>
      <c r="E731" t="s">
        <v>38</v>
      </c>
      <c r="F731" t="s">
        <v>52</v>
      </c>
      <c r="G731" t="s">
        <v>134</v>
      </c>
      <c r="H731" t="s">
        <v>40</v>
      </c>
      <c r="I731" t="s">
        <v>21</v>
      </c>
      <c r="J731" t="s">
        <v>1080</v>
      </c>
    </row>
    <row r="732" spans="1:10" x14ac:dyDescent="0.25">
      <c r="A732">
        <v>27809256</v>
      </c>
      <c r="B732" t="s">
        <v>17</v>
      </c>
      <c r="C732" s="4">
        <v>44771.159505706019</v>
      </c>
      <c r="D732" t="s">
        <v>1081</v>
      </c>
      <c r="E732" t="s">
        <v>62</v>
      </c>
      <c r="F732" t="s">
        <v>18</v>
      </c>
      <c r="G732" t="s">
        <v>186</v>
      </c>
      <c r="H732" t="s">
        <v>42</v>
      </c>
      <c r="I732" t="s">
        <v>21</v>
      </c>
      <c r="J732" t="s">
        <v>519</v>
      </c>
    </row>
    <row r="733" spans="1:10" x14ac:dyDescent="0.25">
      <c r="A733">
        <v>27809258</v>
      </c>
      <c r="B733" t="s">
        <v>17</v>
      </c>
      <c r="C733" s="4">
        <v>44771.159508634257</v>
      </c>
      <c r="D733" t="s">
        <v>1082</v>
      </c>
      <c r="E733" t="s">
        <v>22</v>
      </c>
      <c r="F733" t="s">
        <v>52</v>
      </c>
      <c r="G733" t="s">
        <v>409</v>
      </c>
      <c r="H733" t="s">
        <v>29</v>
      </c>
      <c r="I733" t="s">
        <v>21</v>
      </c>
      <c r="J733" t="s">
        <v>469</v>
      </c>
    </row>
    <row r="734" spans="1:10" x14ac:dyDescent="0.25">
      <c r="A734">
        <v>27809268</v>
      </c>
      <c r="B734" t="s">
        <v>17</v>
      </c>
      <c r="C734" s="4">
        <v>44771.159548414347</v>
      </c>
      <c r="D734" t="s">
        <v>1081</v>
      </c>
      <c r="E734" t="s">
        <v>62</v>
      </c>
      <c r="F734" t="s">
        <v>18</v>
      </c>
      <c r="G734" t="s">
        <v>186</v>
      </c>
      <c r="H734" t="s">
        <v>54</v>
      </c>
      <c r="I734" t="s">
        <v>21</v>
      </c>
      <c r="J734" t="s">
        <v>519</v>
      </c>
    </row>
    <row r="735" spans="1:10" x14ac:dyDescent="0.25">
      <c r="A735">
        <v>27809278</v>
      </c>
      <c r="B735" t="s">
        <v>17</v>
      </c>
      <c r="C735" s="4">
        <v>44771.159616261582</v>
      </c>
      <c r="D735" t="s">
        <v>1081</v>
      </c>
      <c r="E735" t="s">
        <v>62</v>
      </c>
      <c r="F735" t="s">
        <v>18</v>
      </c>
      <c r="G735" t="s">
        <v>186</v>
      </c>
      <c r="H735" t="s">
        <v>118</v>
      </c>
      <c r="I735" t="s">
        <v>36</v>
      </c>
      <c r="J735" t="s">
        <v>519</v>
      </c>
    </row>
    <row r="736" spans="1:10" x14ac:dyDescent="0.25">
      <c r="A736">
        <v>27809296</v>
      </c>
      <c r="B736" t="s">
        <v>17</v>
      </c>
      <c r="C736" s="4">
        <v>44771.159958032411</v>
      </c>
      <c r="D736" t="s">
        <v>1079</v>
      </c>
      <c r="E736" t="s">
        <v>38</v>
      </c>
      <c r="F736" t="s">
        <v>52</v>
      </c>
      <c r="G736" t="s">
        <v>134</v>
      </c>
      <c r="H736" t="s">
        <v>25</v>
      </c>
      <c r="I736" t="s">
        <v>21</v>
      </c>
      <c r="J736" t="s">
        <v>1080</v>
      </c>
    </row>
    <row r="737" spans="1:10" x14ac:dyDescent="0.25">
      <c r="A737">
        <v>27809304</v>
      </c>
      <c r="B737" t="s">
        <v>17</v>
      </c>
      <c r="C737" s="4">
        <v>44771.160024756937</v>
      </c>
      <c r="D737" t="s">
        <v>996</v>
      </c>
      <c r="E737" t="s">
        <v>62</v>
      </c>
      <c r="F737" t="s">
        <v>57</v>
      </c>
      <c r="G737" t="s">
        <v>63</v>
      </c>
      <c r="H737" t="s">
        <v>46</v>
      </c>
      <c r="I737" t="s">
        <v>21</v>
      </c>
    </row>
    <row r="738" spans="1:10" x14ac:dyDescent="0.25">
      <c r="A738">
        <v>27809308</v>
      </c>
      <c r="B738" t="s">
        <v>17</v>
      </c>
      <c r="C738" s="4">
        <v>44771.160172673612</v>
      </c>
      <c r="D738" t="s">
        <v>1081</v>
      </c>
      <c r="E738" t="s">
        <v>62</v>
      </c>
      <c r="F738" t="s">
        <v>18</v>
      </c>
      <c r="G738" t="s">
        <v>186</v>
      </c>
      <c r="H738" t="s">
        <v>35</v>
      </c>
      <c r="I738" t="s">
        <v>36</v>
      </c>
      <c r="J738" t="s">
        <v>519</v>
      </c>
    </row>
    <row r="739" spans="1:10" x14ac:dyDescent="0.25">
      <c r="A739">
        <v>27809311</v>
      </c>
      <c r="B739" t="s">
        <v>17</v>
      </c>
      <c r="C739" s="4">
        <v>44771.160185196757</v>
      </c>
      <c r="D739" t="s">
        <v>1081</v>
      </c>
      <c r="E739" t="s">
        <v>62</v>
      </c>
      <c r="F739" t="s">
        <v>18</v>
      </c>
      <c r="G739" t="s">
        <v>186</v>
      </c>
      <c r="H739" t="s">
        <v>118</v>
      </c>
      <c r="I739" t="s">
        <v>36</v>
      </c>
      <c r="J739" t="s">
        <v>519</v>
      </c>
    </row>
    <row r="740" spans="1:10" x14ac:dyDescent="0.25">
      <c r="A740">
        <v>27809317</v>
      </c>
      <c r="B740" t="s">
        <v>17</v>
      </c>
      <c r="C740" s="4">
        <v>44771.16031309028</v>
      </c>
      <c r="F740" t="s">
        <v>57</v>
      </c>
      <c r="G740" t="s">
        <v>63</v>
      </c>
      <c r="H740" t="s">
        <v>47</v>
      </c>
      <c r="I740" t="s">
        <v>21</v>
      </c>
    </row>
    <row r="741" spans="1:10" x14ac:dyDescent="0.25">
      <c r="A741">
        <v>27809328</v>
      </c>
      <c r="B741" t="s">
        <v>17</v>
      </c>
      <c r="C741" s="4">
        <v>44771.160410613433</v>
      </c>
      <c r="D741" t="s">
        <v>1081</v>
      </c>
      <c r="E741" t="s">
        <v>62</v>
      </c>
      <c r="F741" t="s">
        <v>18</v>
      </c>
      <c r="G741" t="s">
        <v>186</v>
      </c>
      <c r="H741" t="s">
        <v>35</v>
      </c>
      <c r="I741" t="s">
        <v>36</v>
      </c>
      <c r="J741" t="s">
        <v>519</v>
      </c>
    </row>
    <row r="742" spans="1:10" x14ac:dyDescent="0.25">
      <c r="A742">
        <v>27809332</v>
      </c>
      <c r="B742" t="s">
        <v>17</v>
      </c>
      <c r="C742" s="4">
        <v>44771.160446319453</v>
      </c>
      <c r="D742" t="s">
        <v>1081</v>
      </c>
      <c r="E742" t="s">
        <v>62</v>
      </c>
      <c r="F742" t="s">
        <v>18</v>
      </c>
      <c r="G742" t="s">
        <v>186</v>
      </c>
      <c r="H742" t="s">
        <v>118</v>
      </c>
      <c r="I742" t="s">
        <v>36</v>
      </c>
      <c r="J742" t="s">
        <v>519</v>
      </c>
    </row>
    <row r="743" spans="1:10" x14ac:dyDescent="0.25">
      <c r="A743">
        <v>27816884</v>
      </c>
      <c r="B743" t="s">
        <v>17</v>
      </c>
      <c r="C743" s="4">
        <v>44771.28869483796</v>
      </c>
      <c r="D743" t="s">
        <v>841</v>
      </c>
      <c r="E743" t="s">
        <v>842</v>
      </c>
      <c r="F743" t="s">
        <v>18</v>
      </c>
      <c r="G743" t="s">
        <v>413</v>
      </c>
      <c r="H743" t="s">
        <v>64</v>
      </c>
      <c r="I743" t="s">
        <v>21</v>
      </c>
      <c r="J743" t="s">
        <v>843</v>
      </c>
    </row>
    <row r="744" spans="1:10" x14ac:dyDescent="0.25">
      <c r="A744">
        <v>27809337</v>
      </c>
      <c r="B744" t="s">
        <v>17</v>
      </c>
      <c r="C744" s="4">
        <v>44771.160456979167</v>
      </c>
      <c r="D744" t="s">
        <v>1081</v>
      </c>
      <c r="E744" t="s">
        <v>62</v>
      </c>
      <c r="F744" t="s">
        <v>18</v>
      </c>
      <c r="G744" t="s">
        <v>186</v>
      </c>
      <c r="H744" t="s">
        <v>35</v>
      </c>
      <c r="I744" t="s">
        <v>36</v>
      </c>
      <c r="J744" t="s">
        <v>519</v>
      </c>
    </row>
    <row r="745" spans="1:10" x14ac:dyDescent="0.25">
      <c r="A745">
        <v>27809342</v>
      </c>
      <c r="B745" t="s">
        <v>17</v>
      </c>
      <c r="C745" s="4">
        <v>44771.160557835647</v>
      </c>
      <c r="D745" t="s">
        <v>737</v>
      </c>
      <c r="E745" t="s">
        <v>22</v>
      </c>
      <c r="F745" t="s">
        <v>52</v>
      </c>
      <c r="G745" t="s">
        <v>65</v>
      </c>
      <c r="H745" t="s">
        <v>40</v>
      </c>
      <c r="I745" t="s">
        <v>21</v>
      </c>
      <c r="J745" t="s">
        <v>210</v>
      </c>
    </row>
    <row r="746" spans="1:10" x14ac:dyDescent="0.25">
      <c r="A746">
        <v>27809348</v>
      </c>
      <c r="B746" t="s">
        <v>17</v>
      </c>
      <c r="C746" s="4">
        <v>44771.16064130787</v>
      </c>
      <c r="D746" t="s">
        <v>1071</v>
      </c>
      <c r="E746" t="s">
        <v>62</v>
      </c>
      <c r="F746" t="s">
        <v>57</v>
      </c>
      <c r="G746" t="s">
        <v>182</v>
      </c>
      <c r="H746" t="s">
        <v>54</v>
      </c>
      <c r="I746" t="s">
        <v>21</v>
      </c>
      <c r="J746" t="s">
        <v>189</v>
      </c>
    </row>
    <row r="747" spans="1:10" x14ac:dyDescent="0.25">
      <c r="A747">
        <v>27809353</v>
      </c>
      <c r="B747" t="s">
        <v>17</v>
      </c>
      <c r="C747" s="4">
        <v>44771.160663263887</v>
      </c>
      <c r="D747" t="s">
        <v>1083</v>
      </c>
      <c r="E747" t="s">
        <v>417</v>
      </c>
      <c r="F747" t="s">
        <v>18</v>
      </c>
      <c r="G747" t="s">
        <v>418</v>
      </c>
      <c r="H747" t="s">
        <v>42</v>
      </c>
      <c r="I747" t="s">
        <v>21</v>
      </c>
      <c r="J747" t="s">
        <v>1084</v>
      </c>
    </row>
    <row r="748" spans="1:10" x14ac:dyDescent="0.25">
      <c r="A748">
        <v>27809359</v>
      </c>
      <c r="B748" t="s">
        <v>17</v>
      </c>
      <c r="C748" s="4">
        <v>44771.160701793982</v>
      </c>
      <c r="D748" t="s">
        <v>1083</v>
      </c>
      <c r="E748" t="s">
        <v>417</v>
      </c>
      <c r="F748" t="s">
        <v>18</v>
      </c>
      <c r="G748" t="s">
        <v>418</v>
      </c>
      <c r="H748" t="s">
        <v>54</v>
      </c>
      <c r="I748" t="s">
        <v>21</v>
      </c>
      <c r="J748" t="s">
        <v>1084</v>
      </c>
    </row>
    <row r="749" spans="1:10" x14ac:dyDescent="0.25">
      <c r="A749">
        <v>27809367</v>
      </c>
      <c r="B749" t="s">
        <v>17</v>
      </c>
      <c r="C749" s="4">
        <v>44771.160932974541</v>
      </c>
      <c r="D749" t="s">
        <v>1083</v>
      </c>
      <c r="E749" t="s">
        <v>417</v>
      </c>
      <c r="F749" t="s">
        <v>18</v>
      </c>
      <c r="G749" t="s">
        <v>418</v>
      </c>
      <c r="H749" t="s">
        <v>118</v>
      </c>
      <c r="I749" t="s">
        <v>36</v>
      </c>
      <c r="J749" t="s">
        <v>1084</v>
      </c>
    </row>
    <row r="750" spans="1:10" x14ac:dyDescent="0.25">
      <c r="A750">
        <v>27809373</v>
      </c>
      <c r="B750" t="s">
        <v>17</v>
      </c>
      <c r="C750" s="4">
        <v>44771.160993993057</v>
      </c>
      <c r="D750" t="s">
        <v>1083</v>
      </c>
      <c r="E750" t="s">
        <v>417</v>
      </c>
      <c r="F750" t="s">
        <v>18</v>
      </c>
      <c r="G750" t="s">
        <v>418</v>
      </c>
      <c r="H750" t="s">
        <v>122</v>
      </c>
      <c r="I750" t="s">
        <v>36</v>
      </c>
      <c r="J750" t="s">
        <v>1084</v>
      </c>
    </row>
    <row r="751" spans="1:10" x14ac:dyDescent="0.25">
      <c r="A751">
        <v>27809377</v>
      </c>
      <c r="B751" t="s">
        <v>17</v>
      </c>
      <c r="C751" s="4">
        <v>44771.161008900461</v>
      </c>
      <c r="D751" t="s">
        <v>1083</v>
      </c>
      <c r="E751" t="s">
        <v>417</v>
      </c>
      <c r="F751" t="s">
        <v>18</v>
      </c>
      <c r="G751" t="s">
        <v>418</v>
      </c>
      <c r="H751" t="s">
        <v>42</v>
      </c>
      <c r="I751" t="s">
        <v>21</v>
      </c>
      <c r="J751" t="s">
        <v>1084</v>
      </c>
    </row>
    <row r="752" spans="1:10" x14ac:dyDescent="0.25">
      <c r="A752">
        <v>27809392</v>
      </c>
      <c r="B752" t="s">
        <v>17</v>
      </c>
      <c r="C752" s="4">
        <v>44771.161509074067</v>
      </c>
      <c r="D752" t="s">
        <v>737</v>
      </c>
      <c r="E752" t="s">
        <v>22</v>
      </c>
      <c r="F752" t="s">
        <v>52</v>
      </c>
      <c r="G752" t="s">
        <v>65</v>
      </c>
      <c r="H752" t="s">
        <v>25</v>
      </c>
      <c r="I752" t="s">
        <v>21</v>
      </c>
      <c r="J752" t="s">
        <v>210</v>
      </c>
    </row>
    <row r="753" spans="1:10" x14ac:dyDescent="0.25">
      <c r="A753">
        <v>27809427</v>
      </c>
      <c r="B753" t="s">
        <v>17</v>
      </c>
      <c r="C753" s="4">
        <v>44771.161994444446</v>
      </c>
      <c r="D753" t="s">
        <v>818</v>
      </c>
      <c r="E753" t="s">
        <v>22</v>
      </c>
      <c r="F753" t="s">
        <v>31</v>
      </c>
      <c r="G753" t="s">
        <v>209</v>
      </c>
      <c r="H753" t="s">
        <v>42</v>
      </c>
      <c r="I753" t="s">
        <v>21</v>
      </c>
      <c r="J753" t="s">
        <v>97</v>
      </c>
    </row>
    <row r="754" spans="1:10" x14ac:dyDescent="0.25">
      <c r="A754">
        <v>27809432</v>
      </c>
      <c r="B754" t="s">
        <v>17</v>
      </c>
      <c r="C754" s="4">
        <v>44771.162000636577</v>
      </c>
      <c r="D754" t="s">
        <v>1083</v>
      </c>
      <c r="E754" t="s">
        <v>417</v>
      </c>
      <c r="F754" t="s">
        <v>18</v>
      </c>
      <c r="G754" t="s">
        <v>418</v>
      </c>
      <c r="H754" t="s">
        <v>54</v>
      </c>
      <c r="I754" t="s">
        <v>21</v>
      </c>
      <c r="J754" t="s">
        <v>1084</v>
      </c>
    </row>
    <row r="755" spans="1:10" x14ac:dyDescent="0.25">
      <c r="A755">
        <v>27809441</v>
      </c>
      <c r="B755" t="s">
        <v>17</v>
      </c>
      <c r="C755" s="4">
        <v>44771.162232175928</v>
      </c>
      <c r="D755" t="s">
        <v>1083</v>
      </c>
      <c r="E755" t="s">
        <v>417</v>
      </c>
      <c r="F755" t="s">
        <v>18</v>
      </c>
      <c r="G755" t="s">
        <v>418</v>
      </c>
      <c r="H755" t="s">
        <v>118</v>
      </c>
      <c r="I755" t="s">
        <v>36</v>
      </c>
      <c r="J755" t="s">
        <v>1084</v>
      </c>
    </row>
    <row r="756" spans="1:10" x14ac:dyDescent="0.25">
      <c r="A756">
        <v>27809446</v>
      </c>
      <c r="B756" t="s">
        <v>17</v>
      </c>
      <c r="C756" s="4">
        <v>44771.162293194437</v>
      </c>
      <c r="D756" t="s">
        <v>1083</v>
      </c>
      <c r="E756" t="s">
        <v>417</v>
      </c>
      <c r="F756" t="s">
        <v>18</v>
      </c>
      <c r="G756" t="s">
        <v>418</v>
      </c>
      <c r="H756" t="s">
        <v>122</v>
      </c>
      <c r="I756" t="s">
        <v>36</v>
      </c>
      <c r="J756" t="s">
        <v>1084</v>
      </c>
    </row>
    <row r="757" spans="1:10" x14ac:dyDescent="0.25">
      <c r="A757">
        <v>27809451</v>
      </c>
      <c r="B757" t="s">
        <v>17</v>
      </c>
      <c r="C757" s="4">
        <v>44771.162340023147</v>
      </c>
      <c r="D757" t="s">
        <v>1083</v>
      </c>
      <c r="E757" t="s">
        <v>417</v>
      </c>
      <c r="F757" t="s">
        <v>18</v>
      </c>
      <c r="G757" t="s">
        <v>418</v>
      </c>
      <c r="H757" t="s">
        <v>42</v>
      </c>
      <c r="I757" t="s">
        <v>21</v>
      </c>
      <c r="J757" t="s">
        <v>1084</v>
      </c>
    </row>
    <row r="758" spans="1:10" x14ac:dyDescent="0.25">
      <c r="A758">
        <v>27809473</v>
      </c>
      <c r="B758" t="s">
        <v>17</v>
      </c>
      <c r="C758" s="4">
        <v>44771.163020613429</v>
      </c>
      <c r="D758" t="s">
        <v>891</v>
      </c>
      <c r="E758" t="s">
        <v>62</v>
      </c>
      <c r="F758" t="s">
        <v>57</v>
      </c>
      <c r="G758" t="s">
        <v>297</v>
      </c>
      <c r="H758" t="s">
        <v>29</v>
      </c>
      <c r="I758" t="s">
        <v>21</v>
      </c>
    </row>
    <row r="759" spans="1:10" x14ac:dyDescent="0.25">
      <c r="A759">
        <v>27809478</v>
      </c>
      <c r="B759" t="s">
        <v>17</v>
      </c>
      <c r="C759" s="4">
        <v>44771.163035555554</v>
      </c>
      <c r="D759" t="s">
        <v>1085</v>
      </c>
      <c r="E759" t="s">
        <v>62</v>
      </c>
      <c r="F759" t="s">
        <v>57</v>
      </c>
      <c r="G759" t="s">
        <v>297</v>
      </c>
      <c r="H759" t="s">
        <v>42</v>
      </c>
      <c r="I759" t="s">
        <v>21</v>
      </c>
      <c r="J759" t="s">
        <v>1086</v>
      </c>
    </row>
    <row r="760" spans="1:10" x14ac:dyDescent="0.25">
      <c r="A760">
        <v>27809501</v>
      </c>
      <c r="B760" t="s">
        <v>17</v>
      </c>
      <c r="C760" s="4">
        <v>44771.163408703702</v>
      </c>
      <c r="D760" t="s">
        <v>1059</v>
      </c>
      <c r="E760" t="s">
        <v>27</v>
      </c>
      <c r="F760" t="s">
        <v>57</v>
      </c>
      <c r="G760" t="s">
        <v>335</v>
      </c>
      <c r="H760" t="s">
        <v>40</v>
      </c>
      <c r="I760" t="s">
        <v>21</v>
      </c>
      <c r="J760" t="s">
        <v>85</v>
      </c>
    </row>
    <row r="761" spans="1:10" x14ac:dyDescent="0.25">
      <c r="A761">
        <v>27816895</v>
      </c>
      <c r="B761" t="s">
        <v>17</v>
      </c>
      <c r="C761" s="4">
        <v>44771.288820949077</v>
      </c>
      <c r="D761" t="s">
        <v>1062</v>
      </c>
      <c r="E761" t="s">
        <v>38</v>
      </c>
      <c r="F761" t="s">
        <v>52</v>
      </c>
      <c r="G761" t="s">
        <v>220</v>
      </c>
      <c r="H761" t="s">
        <v>25</v>
      </c>
      <c r="I761" t="s">
        <v>21</v>
      </c>
      <c r="J761" t="s">
        <v>1063</v>
      </c>
    </row>
    <row r="762" spans="1:10" x14ac:dyDescent="0.25">
      <c r="A762">
        <v>27809533</v>
      </c>
      <c r="B762" t="s">
        <v>17</v>
      </c>
      <c r="C762" s="4">
        <v>44771.16391826389</v>
      </c>
      <c r="D762" t="s">
        <v>1087</v>
      </c>
      <c r="E762" t="s">
        <v>27</v>
      </c>
      <c r="F762" t="s">
        <v>18</v>
      </c>
      <c r="G762" t="s">
        <v>428</v>
      </c>
      <c r="H762" t="s">
        <v>42</v>
      </c>
      <c r="I762" t="s">
        <v>21</v>
      </c>
      <c r="J762" t="s">
        <v>1088</v>
      </c>
    </row>
    <row r="763" spans="1:10" x14ac:dyDescent="0.25">
      <c r="A763">
        <v>27809555</v>
      </c>
      <c r="B763" t="s">
        <v>17</v>
      </c>
      <c r="C763" s="4">
        <v>44771.163977812503</v>
      </c>
      <c r="D763" t="s">
        <v>1059</v>
      </c>
      <c r="E763" t="s">
        <v>27</v>
      </c>
      <c r="F763" t="s">
        <v>57</v>
      </c>
      <c r="G763" t="s">
        <v>335</v>
      </c>
      <c r="H763" t="s">
        <v>25</v>
      </c>
      <c r="I763" t="s">
        <v>21</v>
      </c>
      <c r="J763" t="s">
        <v>85</v>
      </c>
    </row>
    <row r="764" spans="1:10" x14ac:dyDescent="0.25">
      <c r="A764">
        <v>27809578</v>
      </c>
      <c r="B764" t="s">
        <v>17</v>
      </c>
      <c r="C764" s="4">
        <v>44771.164159120373</v>
      </c>
      <c r="D764" t="s">
        <v>1085</v>
      </c>
      <c r="E764" t="s">
        <v>62</v>
      </c>
      <c r="F764" t="s">
        <v>57</v>
      </c>
      <c r="G764" t="s">
        <v>297</v>
      </c>
      <c r="H764" t="s">
        <v>54</v>
      </c>
      <c r="I764" t="s">
        <v>21</v>
      </c>
      <c r="J764" t="s">
        <v>1086</v>
      </c>
    </row>
    <row r="765" spans="1:10" x14ac:dyDescent="0.25">
      <c r="A765">
        <v>27809582</v>
      </c>
      <c r="B765" t="s">
        <v>17</v>
      </c>
      <c r="C765" s="4">
        <v>44771.164268773151</v>
      </c>
      <c r="D765" t="s">
        <v>818</v>
      </c>
      <c r="E765" t="s">
        <v>22</v>
      </c>
      <c r="F765" t="s">
        <v>31</v>
      </c>
      <c r="G765" t="s">
        <v>209</v>
      </c>
      <c r="H765" t="s">
        <v>54</v>
      </c>
      <c r="I765" t="s">
        <v>21</v>
      </c>
      <c r="J765" t="s">
        <v>97</v>
      </c>
    </row>
    <row r="766" spans="1:10" x14ac:dyDescent="0.25">
      <c r="A766">
        <v>27809587</v>
      </c>
      <c r="B766" t="s">
        <v>17</v>
      </c>
      <c r="C766" s="4">
        <v>44771.164360034723</v>
      </c>
      <c r="D766" t="s">
        <v>1083</v>
      </c>
      <c r="E766" t="s">
        <v>417</v>
      </c>
      <c r="F766" t="s">
        <v>18</v>
      </c>
      <c r="G766" t="s">
        <v>418</v>
      </c>
      <c r="H766" t="s">
        <v>54</v>
      </c>
      <c r="I766" t="s">
        <v>21</v>
      </c>
      <c r="J766" t="s">
        <v>1084</v>
      </c>
    </row>
    <row r="767" spans="1:10" x14ac:dyDescent="0.25">
      <c r="A767">
        <v>27809589</v>
      </c>
      <c r="B767" t="s">
        <v>17</v>
      </c>
      <c r="C767" s="4">
        <v>44771.164384641197</v>
      </c>
      <c r="D767" t="s">
        <v>1089</v>
      </c>
      <c r="E767" t="s">
        <v>38</v>
      </c>
      <c r="F767" t="s">
        <v>31</v>
      </c>
      <c r="G767" t="s">
        <v>199</v>
      </c>
      <c r="H767" t="s">
        <v>29</v>
      </c>
      <c r="I767" t="s">
        <v>21</v>
      </c>
      <c r="J767" t="s">
        <v>1090</v>
      </c>
    </row>
    <row r="768" spans="1:10" x14ac:dyDescent="0.25">
      <c r="A768">
        <v>27809596</v>
      </c>
      <c r="B768" t="s">
        <v>17</v>
      </c>
      <c r="C768" s="4">
        <v>44771.164417997687</v>
      </c>
      <c r="D768" t="s">
        <v>1087</v>
      </c>
      <c r="E768" t="s">
        <v>27</v>
      </c>
      <c r="F768" t="s">
        <v>18</v>
      </c>
      <c r="G768" t="s">
        <v>428</v>
      </c>
      <c r="H768" t="s">
        <v>54</v>
      </c>
      <c r="I768" t="s">
        <v>21</v>
      </c>
      <c r="J768" t="s">
        <v>1088</v>
      </c>
    </row>
    <row r="769" spans="1:10" x14ac:dyDescent="0.25">
      <c r="A769">
        <v>27817997</v>
      </c>
      <c r="B769" t="s">
        <v>17</v>
      </c>
      <c r="C769" s="4">
        <v>44771.309421030091</v>
      </c>
      <c r="D769" t="s">
        <v>1091</v>
      </c>
      <c r="E769" t="s">
        <v>129</v>
      </c>
      <c r="F769" t="s">
        <v>49</v>
      </c>
      <c r="G769" t="s">
        <v>128</v>
      </c>
      <c r="H769" t="s">
        <v>29</v>
      </c>
      <c r="I769" t="s">
        <v>21</v>
      </c>
      <c r="J769" t="s">
        <v>272</v>
      </c>
    </row>
    <row r="770" spans="1:10" x14ac:dyDescent="0.25">
      <c r="A770">
        <v>27809611</v>
      </c>
      <c r="B770" t="s">
        <v>17</v>
      </c>
      <c r="C770" s="4">
        <v>44771.164592777779</v>
      </c>
      <c r="D770" t="s">
        <v>1083</v>
      </c>
      <c r="E770" t="s">
        <v>417</v>
      </c>
      <c r="F770" t="s">
        <v>18</v>
      </c>
      <c r="G770" t="s">
        <v>418</v>
      </c>
      <c r="H770" t="s">
        <v>118</v>
      </c>
      <c r="I770" t="s">
        <v>36</v>
      </c>
      <c r="J770" t="s">
        <v>1084</v>
      </c>
    </row>
    <row r="771" spans="1:10" x14ac:dyDescent="0.25">
      <c r="A771">
        <v>27809614</v>
      </c>
      <c r="B771" t="s">
        <v>17</v>
      </c>
      <c r="C771" s="4">
        <v>44771.164653865737</v>
      </c>
      <c r="D771" t="s">
        <v>1083</v>
      </c>
      <c r="E771" t="s">
        <v>417</v>
      </c>
      <c r="F771" t="s">
        <v>18</v>
      </c>
      <c r="G771" t="s">
        <v>418</v>
      </c>
      <c r="H771" t="s">
        <v>122</v>
      </c>
      <c r="I771" t="s">
        <v>36</v>
      </c>
      <c r="J771" t="s">
        <v>1084</v>
      </c>
    </row>
    <row r="772" spans="1:10" x14ac:dyDescent="0.25">
      <c r="A772">
        <v>27809618</v>
      </c>
      <c r="B772" t="s">
        <v>17</v>
      </c>
      <c r="C772" s="4">
        <v>44771.164703946757</v>
      </c>
      <c r="D772" t="s">
        <v>1092</v>
      </c>
      <c r="E772" t="s">
        <v>38</v>
      </c>
      <c r="F772" t="s">
        <v>31</v>
      </c>
      <c r="G772" t="s">
        <v>112</v>
      </c>
      <c r="H772" t="s">
        <v>29</v>
      </c>
      <c r="I772" t="s">
        <v>21</v>
      </c>
      <c r="J772" t="s">
        <v>1093</v>
      </c>
    </row>
    <row r="773" spans="1:10" x14ac:dyDescent="0.25">
      <c r="A773">
        <v>27809625</v>
      </c>
      <c r="B773" t="s">
        <v>17</v>
      </c>
      <c r="C773" s="4">
        <v>44771.164713217593</v>
      </c>
      <c r="D773" t="s">
        <v>1083</v>
      </c>
      <c r="E773" t="s">
        <v>417</v>
      </c>
      <c r="F773" t="s">
        <v>18</v>
      </c>
      <c r="G773" t="s">
        <v>418</v>
      </c>
      <c r="H773" t="s">
        <v>42</v>
      </c>
      <c r="I773" t="s">
        <v>21</v>
      </c>
      <c r="J773" t="s">
        <v>1084</v>
      </c>
    </row>
    <row r="774" spans="1:10" x14ac:dyDescent="0.25">
      <c r="A774">
        <v>27809646</v>
      </c>
      <c r="B774" t="s">
        <v>17</v>
      </c>
      <c r="C774" s="4">
        <v>44771.165059930558</v>
      </c>
      <c r="D774" t="s">
        <v>1083</v>
      </c>
      <c r="E774" t="s">
        <v>417</v>
      </c>
      <c r="F774" t="s">
        <v>18</v>
      </c>
      <c r="G774" t="s">
        <v>418</v>
      </c>
      <c r="H774" t="s">
        <v>54</v>
      </c>
      <c r="I774" t="s">
        <v>21</v>
      </c>
      <c r="J774" t="s">
        <v>1084</v>
      </c>
    </row>
    <row r="775" spans="1:10" x14ac:dyDescent="0.25">
      <c r="A775">
        <v>27809649</v>
      </c>
      <c r="B775" t="s">
        <v>17</v>
      </c>
      <c r="C775" s="4">
        <v>44771.165096585653</v>
      </c>
      <c r="D775" t="s">
        <v>1071</v>
      </c>
      <c r="E775" t="s">
        <v>62</v>
      </c>
      <c r="F775" t="s">
        <v>57</v>
      </c>
      <c r="G775" t="s">
        <v>182</v>
      </c>
      <c r="H775" t="s">
        <v>40</v>
      </c>
      <c r="I775" t="s">
        <v>21</v>
      </c>
      <c r="J775" t="s">
        <v>189</v>
      </c>
    </row>
    <row r="776" spans="1:10" x14ac:dyDescent="0.25">
      <c r="A776">
        <v>27809653</v>
      </c>
      <c r="B776" t="s">
        <v>17</v>
      </c>
      <c r="C776" s="4">
        <v>44771.165297314823</v>
      </c>
      <c r="D776" t="s">
        <v>1083</v>
      </c>
      <c r="E776" t="s">
        <v>417</v>
      </c>
      <c r="F776" t="s">
        <v>18</v>
      </c>
      <c r="G776" t="s">
        <v>418</v>
      </c>
      <c r="H776" t="s">
        <v>118</v>
      </c>
      <c r="I776" t="s">
        <v>36</v>
      </c>
      <c r="J776" t="s">
        <v>1084</v>
      </c>
    </row>
    <row r="777" spans="1:10" x14ac:dyDescent="0.25">
      <c r="A777">
        <v>27809664</v>
      </c>
      <c r="B777" t="s">
        <v>17</v>
      </c>
      <c r="C777" s="4">
        <v>44771.165358333332</v>
      </c>
      <c r="D777" t="s">
        <v>1083</v>
      </c>
      <c r="E777" t="s">
        <v>417</v>
      </c>
      <c r="F777" t="s">
        <v>18</v>
      </c>
      <c r="G777" t="s">
        <v>418</v>
      </c>
      <c r="H777" t="s">
        <v>122</v>
      </c>
      <c r="I777" t="s">
        <v>36</v>
      </c>
      <c r="J777" t="s">
        <v>1084</v>
      </c>
    </row>
    <row r="778" spans="1:10" x14ac:dyDescent="0.25">
      <c r="A778">
        <v>27809671</v>
      </c>
      <c r="B778" t="s">
        <v>17</v>
      </c>
      <c r="C778" s="4">
        <v>44771.165407291657</v>
      </c>
      <c r="D778" t="s">
        <v>1083</v>
      </c>
      <c r="E778" t="s">
        <v>417</v>
      </c>
      <c r="F778" t="s">
        <v>18</v>
      </c>
      <c r="G778" t="s">
        <v>418</v>
      </c>
      <c r="H778" t="s">
        <v>42</v>
      </c>
      <c r="I778" t="s">
        <v>21</v>
      </c>
      <c r="J778" t="s">
        <v>1084</v>
      </c>
    </row>
    <row r="779" spans="1:10" x14ac:dyDescent="0.25">
      <c r="A779">
        <v>27809685</v>
      </c>
      <c r="B779" t="s">
        <v>17</v>
      </c>
      <c r="C779" s="4">
        <v>44771.165513287036</v>
      </c>
      <c r="D779" t="s">
        <v>1071</v>
      </c>
      <c r="E779" t="s">
        <v>62</v>
      </c>
      <c r="F779" t="s">
        <v>57</v>
      </c>
      <c r="G779" t="s">
        <v>182</v>
      </c>
      <c r="H779" t="s">
        <v>25</v>
      </c>
      <c r="I779" t="s">
        <v>21</v>
      </c>
      <c r="J779" t="s">
        <v>189</v>
      </c>
    </row>
    <row r="780" spans="1:10" x14ac:dyDescent="0.25">
      <c r="A780">
        <v>27809700</v>
      </c>
      <c r="B780" t="s">
        <v>17</v>
      </c>
      <c r="C780" s="4">
        <v>44771.165714016213</v>
      </c>
      <c r="D780" t="s">
        <v>1094</v>
      </c>
      <c r="E780" t="s">
        <v>105</v>
      </c>
      <c r="F780" t="s">
        <v>49</v>
      </c>
      <c r="G780" t="s">
        <v>218</v>
      </c>
      <c r="H780" t="s">
        <v>29</v>
      </c>
      <c r="I780" t="s">
        <v>21</v>
      </c>
      <c r="J780" t="s">
        <v>107</v>
      </c>
    </row>
    <row r="781" spans="1:10" x14ac:dyDescent="0.25">
      <c r="A781">
        <v>27809710</v>
      </c>
      <c r="B781" t="s">
        <v>17</v>
      </c>
      <c r="C781" s="4">
        <v>44771.165758599527</v>
      </c>
      <c r="D781" t="s">
        <v>1073</v>
      </c>
      <c r="E781" t="s">
        <v>22</v>
      </c>
      <c r="F781" t="s">
        <v>52</v>
      </c>
      <c r="G781" t="s">
        <v>400</v>
      </c>
      <c r="H781" t="s">
        <v>40</v>
      </c>
      <c r="I781" t="s">
        <v>21</v>
      </c>
      <c r="J781" t="s">
        <v>1074</v>
      </c>
    </row>
    <row r="782" spans="1:10" x14ac:dyDescent="0.25">
      <c r="A782">
        <v>27809712</v>
      </c>
      <c r="B782" t="s">
        <v>17</v>
      </c>
      <c r="C782" s="4">
        <v>44771.165760555552</v>
      </c>
      <c r="D782" t="s">
        <v>1081</v>
      </c>
      <c r="E782" t="s">
        <v>62</v>
      </c>
      <c r="F782" t="s">
        <v>18</v>
      </c>
      <c r="G782" t="s">
        <v>186</v>
      </c>
      <c r="H782" t="s">
        <v>40</v>
      </c>
      <c r="I782" t="s">
        <v>21</v>
      </c>
      <c r="J782" t="s">
        <v>519</v>
      </c>
    </row>
    <row r="783" spans="1:10" x14ac:dyDescent="0.25">
      <c r="A783">
        <v>27809726</v>
      </c>
      <c r="B783" t="s">
        <v>17</v>
      </c>
      <c r="C783" s="4">
        <v>44771.166099965281</v>
      </c>
      <c r="D783" t="s">
        <v>1095</v>
      </c>
      <c r="E783" t="s">
        <v>38</v>
      </c>
      <c r="F783" t="s">
        <v>57</v>
      </c>
      <c r="G783" t="s">
        <v>411</v>
      </c>
      <c r="H783" t="s">
        <v>29</v>
      </c>
      <c r="I783" t="s">
        <v>21</v>
      </c>
      <c r="J783" t="s">
        <v>486</v>
      </c>
    </row>
    <row r="784" spans="1:10" x14ac:dyDescent="0.25">
      <c r="A784">
        <v>27809739</v>
      </c>
      <c r="B784" t="s">
        <v>17</v>
      </c>
      <c r="C784" s="4">
        <v>44771.166212800927</v>
      </c>
      <c r="D784" t="s">
        <v>1073</v>
      </c>
      <c r="E784" t="s">
        <v>22</v>
      </c>
      <c r="F784" t="s">
        <v>52</v>
      </c>
      <c r="G784" t="s">
        <v>400</v>
      </c>
      <c r="H784" t="s">
        <v>25</v>
      </c>
      <c r="I784" t="s">
        <v>21</v>
      </c>
      <c r="J784" t="s">
        <v>1074</v>
      </c>
    </row>
    <row r="785" spans="1:10" x14ac:dyDescent="0.25">
      <c r="A785">
        <v>27809743</v>
      </c>
      <c r="B785" t="s">
        <v>17</v>
      </c>
      <c r="C785" s="4">
        <v>44771.166217997677</v>
      </c>
      <c r="D785" t="s">
        <v>1081</v>
      </c>
      <c r="E785" t="s">
        <v>62</v>
      </c>
      <c r="F785" t="s">
        <v>18</v>
      </c>
      <c r="G785" t="s">
        <v>186</v>
      </c>
      <c r="H785" t="s">
        <v>25</v>
      </c>
      <c r="I785" t="s">
        <v>21</v>
      </c>
      <c r="J785" t="s">
        <v>519</v>
      </c>
    </row>
    <row r="786" spans="1:10" x14ac:dyDescent="0.25">
      <c r="A786">
        <v>27809763</v>
      </c>
      <c r="B786" t="s">
        <v>17</v>
      </c>
      <c r="C786" s="4">
        <v>44771.16644591435</v>
      </c>
      <c r="D786" t="s">
        <v>1078</v>
      </c>
      <c r="E786" t="s">
        <v>22</v>
      </c>
      <c r="F786" t="s">
        <v>52</v>
      </c>
      <c r="G786" t="s">
        <v>328</v>
      </c>
      <c r="H786" t="s">
        <v>196</v>
      </c>
      <c r="I786" t="s">
        <v>21</v>
      </c>
      <c r="J786" t="s">
        <v>111</v>
      </c>
    </row>
    <row r="787" spans="1:10" x14ac:dyDescent="0.25">
      <c r="A787">
        <v>27809769</v>
      </c>
      <c r="B787" t="s">
        <v>17</v>
      </c>
      <c r="C787" s="4">
        <v>44771.166508194437</v>
      </c>
      <c r="D787" t="s">
        <v>1078</v>
      </c>
      <c r="E787" t="s">
        <v>22</v>
      </c>
      <c r="F787" t="s">
        <v>52</v>
      </c>
      <c r="G787" t="s">
        <v>328</v>
      </c>
      <c r="H787" t="s">
        <v>42</v>
      </c>
      <c r="I787" t="s">
        <v>21</v>
      </c>
      <c r="J787" t="s">
        <v>111</v>
      </c>
    </row>
    <row r="788" spans="1:10" x14ac:dyDescent="0.25">
      <c r="A788">
        <v>27809791</v>
      </c>
      <c r="B788" t="s">
        <v>17</v>
      </c>
      <c r="C788" s="4">
        <v>44771.166898773146</v>
      </c>
      <c r="D788" t="s">
        <v>1078</v>
      </c>
      <c r="E788" t="s">
        <v>22</v>
      </c>
      <c r="F788" t="s">
        <v>52</v>
      </c>
      <c r="G788" t="s">
        <v>328</v>
      </c>
      <c r="H788" t="s">
        <v>54</v>
      </c>
      <c r="I788" t="s">
        <v>21</v>
      </c>
      <c r="J788" t="s">
        <v>111</v>
      </c>
    </row>
    <row r="789" spans="1:10" x14ac:dyDescent="0.25">
      <c r="A789">
        <v>27809800</v>
      </c>
      <c r="B789" t="s">
        <v>17</v>
      </c>
      <c r="C789" s="4">
        <v>44771.167008391203</v>
      </c>
      <c r="D789" t="s">
        <v>1085</v>
      </c>
      <c r="E789" t="s">
        <v>62</v>
      </c>
      <c r="F789" t="s">
        <v>57</v>
      </c>
      <c r="G789" t="s">
        <v>297</v>
      </c>
      <c r="H789" t="s">
        <v>40</v>
      </c>
      <c r="I789" t="s">
        <v>21</v>
      </c>
      <c r="J789" t="s">
        <v>1086</v>
      </c>
    </row>
    <row r="790" spans="1:10" x14ac:dyDescent="0.25">
      <c r="A790">
        <v>27809810</v>
      </c>
      <c r="B790" t="s">
        <v>17</v>
      </c>
      <c r="C790" s="4">
        <v>44771.16716986111</v>
      </c>
      <c r="D790" t="s">
        <v>1078</v>
      </c>
      <c r="E790" t="s">
        <v>22</v>
      </c>
      <c r="F790" t="s">
        <v>52</v>
      </c>
      <c r="G790" t="s">
        <v>328</v>
      </c>
      <c r="H790" t="s">
        <v>40</v>
      </c>
      <c r="I790" t="s">
        <v>21</v>
      </c>
      <c r="J790" t="s">
        <v>111</v>
      </c>
    </row>
    <row r="791" spans="1:10" x14ac:dyDescent="0.25">
      <c r="A791">
        <v>27809828</v>
      </c>
      <c r="B791" t="s">
        <v>17</v>
      </c>
      <c r="C791" s="4">
        <v>44771.167390266201</v>
      </c>
      <c r="D791" t="s">
        <v>1085</v>
      </c>
      <c r="E791" t="s">
        <v>62</v>
      </c>
      <c r="F791" t="s">
        <v>57</v>
      </c>
      <c r="G791" t="s">
        <v>297</v>
      </c>
      <c r="H791" t="s">
        <v>25</v>
      </c>
      <c r="I791" t="s">
        <v>21</v>
      </c>
      <c r="J791" t="s">
        <v>1086</v>
      </c>
    </row>
    <row r="792" spans="1:10" x14ac:dyDescent="0.25">
      <c r="A792">
        <v>27809846</v>
      </c>
      <c r="B792" t="s">
        <v>17</v>
      </c>
      <c r="C792" s="4">
        <v>44771.167547743047</v>
      </c>
      <c r="D792" t="s">
        <v>1083</v>
      </c>
      <c r="E792" t="s">
        <v>417</v>
      </c>
      <c r="F792" t="s">
        <v>18</v>
      </c>
      <c r="G792" t="s">
        <v>418</v>
      </c>
      <c r="H792" t="s">
        <v>54</v>
      </c>
      <c r="I792" t="s">
        <v>21</v>
      </c>
      <c r="J792" t="s">
        <v>1084</v>
      </c>
    </row>
    <row r="793" spans="1:10" x14ac:dyDescent="0.25">
      <c r="A793">
        <v>27809855</v>
      </c>
      <c r="B793" t="s">
        <v>17</v>
      </c>
      <c r="C793" s="4">
        <v>44771.167777847222</v>
      </c>
      <c r="D793" t="s">
        <v>1083</v>
      </c>
      <c r="E793" t="s">
        <v>417</v>
      </c>
      <c r="F793" t="s">
        <v>18</v>
      </c>
      <c r="G793" t="s">
        <v>418</v>
      </c>
      <c r="H793" t="s">
        <v>118</v>
      </c>
      <c r="I793" t="s">
        <v>36</v>
      </c>
      <c r="J793" t="s">
        <v>1084</v>
      </c>
    </row>
    <row r="794" spans="1:10" x14ac:dyDescent="0.25">
      <c r="A794">
        <v>27809858</v>
      </c>
      <c r="B794" t="s">
        <v>17</v>
      </c>
      <c r="C794" s="4">
        <v>44771.16783888889</v>
      </c>
      <c r="D794" t="s">
        <v>1083</v>
      </c>
      <c r="E794" t="s">
        <v>417</v>
      </c>
      <c r="F794" t="s">
        <v>18</v>
      </c>
      <c r="G794" t="s">
        <v>418</v>
      </c>
      <c r="H794" t="s">
        <v>122</v>
      </c>
      <c r="I794" t="s">
        <v>36</v>
      </c>
      <c r="J794" t="s">
        <v>1084</v>
      </c>
    </row>
    <row r="795" spans="1:10" x14ac:dyDescent="0.25">
      <c r="A795">
        <v>27809866</v>
      </c>
      <c r="B795" t="s">
        <v>17</v>
      </c>
      <c r="C795" s="4">
        <v>44771.167895740742</v>
      </c>
      <c r="D795" t="s">
        <v>1083</v>
      </c>
      <c r="E795" t="s">
        <v>417</v>
      </c>
      <c r="F795" t="s">
        <v>18</v>
      </c>
      <c r="G795" t="s">
        <v>418</v>
      </c>
      <c r="H795" t="s">
        <v>42</v>
      </c>
      <c r="I795" t="s">
        <v>21</v>
      </c>
      <c r="J795" t="s">
        <v>1084</v>
      </c>
    </row>
    <row r="796" spans="1:10" x14ac:dyDescent="0.25">
      <c r="A796">
        <v>27816917</v>
      </c>
      <c r="B796" t="s">
        <v>17</v>
      </c>
      <c r="C796" s="4">
        <v>44771.289609537038</v>
      </c>
      <c r="D796" t="s">
        <v>697</v>
      </c>
      <c r="E796" t="s">
        <v>27</v>
      </c>
      <c r="F796" t="s">
        <v>18</v>
      </c>
      <c r="G796" t="s">
        <v>265</v>
      </c>
      <c r="H796" t="s">
        <v>42</v>
      </c>
      <c r="I796" t="s">
        <v>21</v>
      </c>
      <c r="J796" t="s">
        <v>698</v>
      </c>
    </row>
    <row r="797" spans="1:10" x14ac:dyDescent="0.25">
      <c r="A797">
        <v>27809873</v>
      </c>
      <c r="B797" t="s">
        <v>17</v>
      </c>
      <c r="C797" s="4">
        <v>44771.167916828701</v>
      </c>
      <c r="D797" t="s">
        <v>1078</v>
      </c>
      <c r="E797" t="s">
        <v>22</v>
      </c>
      <c r="F797" t="s">
        <v>52</v>
      </c>
      <c r="G797" t="s">
        <v>328</v>
      </c>
      <c r="H797" t="s">
        <v>25</v>
      </c>
      <c r="I797" t="s">
        <v>21</v>
      </c>
      <c r="J797" t="s">
        <v>111</v>
      </c>
    </row>
    <row r="798" spans="1:10" x14ac:dyDescent="0.25">
      <c r="A798">
        <v>27809897</v>
      </c>
      <c r="B798" t="s">
        <v>17</v>
      </c>
      <c r="C798" s="4">
        <v>44771.168082546297</v>
      </c>
      <c r="D798" t="s">
        <v>1096</v>
      </c>
      <c r="E798" t="s">
        <v>27</v>
      </c>
      <c r="F798" t="s">
        <v>18</v>
      </c>
      <c r="G798" t="s">
        <v>380</v>
      </c>
      <c r="H798" t="s">
        <v>42</v>
      </c>
      <c r="I798" t="s">
        <v>21</v>
      </c>
      <c r="J798" t="s">
        <v>435</v>
      </c>
    </row>
    <row r="799" spans="1:10" x14ac:dyDescent="0.25">
      <c r="A799">
        <v>27809909</v>
      </c>
      <c r="B799" t="s">
        <v>17</v>
      </c>
      <c r="C799" s="4">
        <v>44771.168129953701</v>
      </c>
      <c r="D799" t="s">
        <v>1097</v>
      </c>
      <c r="E799" t="s">
        <v>38</v>
      </c>
      <c r="F799" t="s">
        <v>52</v>
      </c>
      <c r="G799" t="s">
        <v>69</v>
      </c>
      <c r="H799" t="s">
        <v>29</v>
      </c>
      <c r="I799" t="s">
        <v>21</v>
      </c>
      <c r="J799" t="s">
        <v>92</v>
      </c>
    </row>
    <row r="800" spans="1:10" x14ac:dyDescent="0.25">
      <c r="A800">
        <v>27809923</v>
      </c>
      <c r="B800" t="s">
        <v>17</v>
      </c>
      <c r="C800" s="4">
        <v>44771.168207974537</v>
      </c>
      <c r="D800" t="s">
        <v>1098</v>
      </c>
      <c r="E800" t="s">
        <v>38</v>
      </c>
      <c r="F800" t="s">
        <v>52</v>
      </c>
      <c r="G800" t="s">
        <v>53</v>
      </c>
      <c r="H800" t="s">
        <v>29</v>
      </c>
      <c r="I800" t="s">
        <v>21</v>
      </c>
      <c r="J800" t="s">
        <v>101</v>
      </c>
    </row>
    <row r="801" spans="1:10" x14ac:dyDescent="0.25">
      <c r="A801">
        <v>27809930</v>
      </c>
      <c r="B801" t="s">
        <v>17</v>
      </c>
      <c r="C801" s="4">
        <v>44771.168217650462</v>
      </c>
      <c r="D801" t="s">
        <v>1083</v>
      </c>
      <c r="E801" t="s">
        <v>417</v>
      </c>
      <c r="F801" t="s">
        <v>18</v>
      </c>
      <c r="G801" t="s">
        <v>418</v>
      </c>
      <c r="H801" t="s">
        <v>54</v>
      </c>
      <c r="I801" t="s">
        <v>21</v>
      </c>
      <c r="J801" t="s">
        <v>1084</v>
      </c>
    </row>
    <row r="802" spans="1:10" x14ac:dyDescent="0.25">
      <c r="A802">
        <v>27809953</v>
      </c>
      <c r="B802" t="s">
        <v>17</v>
      </c>
      <c r="C802" s="4">
        <v>44771.168322789352</v>
      </c>
      <c r="D802" t="s">
        <v>1096</v>
      </c>
      <c r="E802" t="s">
        <v>27</v>
      </c>
      <c r="F802" t="s">
        <v>18</v>
      </c>
      <c r="G802" t="s">
        <v>380</v>
      </c>
      <c r="H802" t="s">
        <v>54</v>
      </c>
      <c r="I802" t="s">
        <v>21</v>
      </c>
      <c r="J802" t="s">
        <v>435</v>
      </c>
    </row>
    <row r="803" spans="1:10" x14ac:dyDescent="0.25">
      <c r="A803">
        <v>27809962</v>
      </c>
      <c r="B803" t="s">
        <v>17</v>
      </c>
      <c r="C803" s="4">
        <v>44771.168485254631</v>
      </c>
      <c r="D803" t="s">
        <v>1083</v>
      </c>
      <c r="E803" t="s">
        <v>417</v>
      </c>
      <c r="F803" t="s">
        <v>18</v>
      </c>
      <c r="G803" t="s">
        <v>418</v>
      </c>
      <c r="H803" t="s">
        <v>118</v>
      </c>
      <c r="I803" t="s">
        <v>36</v>
      </c>
      <c r="J803" t="s">
        <v>1084</v>
      </c>
    </row>
    <row r="804" spans="1:10" x14ac:dyDescent="0.25">
      <c r="A804">
        <v>27809970</v>
      </c>
      <c r="B804" t="s">
        <v>17</v>
      </c>
      <c r="C804" s="4">
        <v>44771.168546400462</v>
      </c>
      <c r="D804" t="s">
        <v>1083</v>
      </c>
      <c r="E804" t="s">
        <v>417</v>
      </c>
      <c r="F804" t="s">
        <v>18</v>
      </c>
      <c r="G804" t="s">
        <v>418</v>
      </c>
      <c r="H804" t="s">
        <v>122</v>
      </c>
      <c r="I804" t="s">
        <v>36</v>
      </c>
      <c r="J804" t="s">
        <v>1084</v>
      </c>
    </row>
    <row r="805" spans="1:10" x14ac:dyDescent="0.25">
      <c r="A805">
        <v>27809979</v>
      </c>
      <c r="B805" t="s">
        <v>17</v>
      </c>
      <c r="C805" s="4">
        <v>44771.16859021991</v>
      </c>
      <c r="D805" t="s">
        <v>1083</v>
      </c>
      <c r="E805" t="s">
        <v>417</v>
      </c>
      <c r="F805" t="s">
        <v>18</v>
      </c>
      <c r="G805" t="s">
        <v>418</v>
      </c>
      <c r="H805" t="s">
        <v>42</v>
      </c>
      <c r="I805" t="s">
        <v>21</v>
      </c>
      <c r="J805" t="s">
        <v>1084</v>
      </c>
    </row>
    <row r="806" spans="1:10" x14ac:dyDescent="0.25">
      <c r="A806">
        <v>27809985</v>
      </c>
      <c r="B806" t="s">
        <v>17</v>
      </c>
      <c r="C806" s="4">
        <v>44771.168700798611</v>
      </c>
      <c r="D806" t="s">
        <v>1099</v>
      </c>
      <c r="E806" t="s">
        <v>38</v>
      </c>
      <c r="F806" t="s">
        <v>31</v>
      </c>
      <c r="G806" t="s">
        <v>148</v>
      </c>
      <c r="H806" t="s">
        <v>29</v>
      </c>
      <c r="I806" t="s">
        <v>21</v>
      </c>
      <c r="J806" t="s">
        <v>342</v>
      </c>
    </row>
    <row r="807" spans="1:10" x14ac:dyDescent="0.25">
      <c r="A807">
        <v>27809987</v>
      </c>
      <c r="B807" t="s">
        <v>17</v>
      </c>
      <c r="C807" s="4">
        <v>44771.168701747687</v>
      </c>
      <c r="D807" t="s">
        <v>1100</v>
      </c>
      <c r="E807" t="s">
        <v>22</v>
      </c>
      <c r="F807" t="s">
        <v>57</v>
      </c>
      <c r="G807" t="s">
        <v>426</v>
      </c>
      <c r="H807" t="s">
        <v>29</v>
      </c>
      <c r="I807" t="s">
        <v>21</v>
      </c>
      <c r="J807" t="s">
        <v>849</v>
      </c>
    </row>
    <row r="808" spans="1:10" x14ac:dyDescent="0.25">
      <c r="A808">
        <v>27810000</v>
      </c>
      <c r="B808" t="s">
        <v>17</v>
      </c>
      <c r="C808" s="4">
        <v>44771.168723287039</v>
      </c>
      <c r="D808" t="s">
        <v>1087</v>
      </c>
      <c r="E808" t="s">
        <v>27</v>
      </c>
      <c r="F808" t="s">
        <v>18</v>
      </c>
      <c r="G808" t="s">
        <v>428</v>
      </c>
      <c r="H808" t="s">
        <v>40</v>
      </c>
      <c r="I808" t="s">
        <v>21</v>
      </c>
      <c r="J808" t="s">
        <v>1088</v>
      </c>
    </row>
    <row r="809" spans="1:10" x14ac:dyDescent="0.25">
      <c r="A809">
        <v>27810013</v>
      </c>
      <c r="B809" t="s">
        <v>17</v>
      </c>
      <c r="C809" s="4">
        <v>44771.16905759259</v>
      </c>
      <c r="D809" t="s">
        <v>1087</v>
      </c>
      <c r="E809" t="s">
        <v>27</v>
      </c>
      <c r="F809" t="s">
        <v>18</v>
      </c>
      <c r="G809" t="s">
        <v>428</v>
      </c>
      <c r="H809" t="s">
        <v>25</v>
      </c>
      <c r="I809" t="s">
        <v>21</v>
      </c>
      <c r="J809" t="s">
        <v>1088</v>
      </c>
    </row>
    <row r="810" spans="1:10" x14ac:dyDescent="0.25">
      <c r="A810">
        <v>27810021</v>
      </c>
      <c r="B810" t="s">
        <v>17</v>
      </c>
      <c r="C810" s="4">
        <v>44771.16908201389</v>
      </c>
      <c r="F810" t="s">
        <v>23</v>
      </c>
      <c r="G810" t="s">
        <v>187</v>
      </c>
      <c r="H810" t="s">
        <v>20</v>
      </c>
      <c r="I810" t="s">
        <v>21</v>
      </c>
    </row>
    <row r="811" spans="1:10" x14ac:dyDescent="0.25">
      <c r="A811">
        <v>27810035</v>
      </c>
      <c r="B811" t="s">
        <v>17</v>
      </c>
      <c r="C811" s="4">
        <v>44771.169170173613</v>
      </c>
      <c r="D811" t="s">
        <v>1101</v>
      </c>
      <c r="E811" t="s">
        <v>62</v>
      </c>
      <c r="F811" t="s">
        <v>57</v>
      </c>
      <c r="G811" t="s">
        <v>185</v>
      </c>
      <c r="H811" t="s">
        <v>42</v>
      </c>
      <c r="I811" t="s">
        <v>21</v>
      </c>
      <c r="J811" t="s">
        <v>1102</v>
      </c>
    </row>
    <row r="812" spans="1:10" x14ac:dyDescent="0.25">
      <c r="A812">
        <v>27810054</v>
      </c>
      <c r="B812" t="s">
        <v>17</v>
      </c>
      <c r="C812" s="4">
        <v>44771.169824965284</v>
      </c>
      <c r="D812" t="s">
        <v>1103</v>
      </c>
      <c r="E812" t="s">
        <v>72</v>
      </c>
      <c r="F812" t="s">
        <v>49</v>
      </c>
      <c r="G812" t="s">
        <v>146</v>
      </c>
      <c r="H812" t="s">
        <v>29</v>
      </c>
      <c r="I812" t="s">
        <v>21</v>
      </c>
      <c r="J812" t="s">
        <v>1104</v>
      </c>
    </row>
    <row r="813" spans="1:10" x14ac:dyDescent="0.25">
      <c r="A813">
        <v>27816925</v>
      </c>
      <c r="B813" t="s">
        <v>17</v>
      </c>
      <c r="C813" s="4">
        <v>44771.289728877317</v>
      </c>
      <c r="D813" t="s">
        <v>697</v>
      </c>
      <c r="E813" t="s">
        <v>27</v>
      </c>
      <c r="F813" t="s">
        <v>18</v>
      </c>
      <c r="G813" t="s">
        <v>265</v>
      </c>
      <c r="H813" t="s">
        <v>54</v>
      </c>
      <c r="I813" t="s">
        <v>21</v>
      </c>
      <c r="J813" t="s">
        <v>698</v>
      </c>
    </row>
    <row r="814" spans="1:10" x14ac:dyDescent="0.25">
      <c r="A814">
        <v>27810108</v>
      </c>
      <c r="B814" t="s">
        <v>17</v>
      </c>
      <c r="C814" s="4">
        <v>44771.170519953703</v>
      </c>
      <c r="D814" t="s">
        <v>818</v>
      </c>
      <c r="E814" t="s">
        <v>22</v>
      </c>
      <c r="F814" t="s">
        <v>31</v>
      </c>
      <c r="G814" t="s">
        <v>209</v>
      </c>
      <c r="H814" t="s">
        <v>40</v>
      </c>
      <c r="I814" t="s">
        <v>21</v>
      </c>
      <c r="J814" t="s">
        <v>97</v>
      </c>
    </row>
    <row r="815" spans="1:10" x14ac:dyDescent="0.25">
      <c r="A815">
        <v>27810112</v>
      </c>
      <c r="B815" t="s">
        <v>17</v>
      </c>
      <c r="C815" s="4">
        <v>44771.170635219911</v>
      </c>
      <c r="D815" t="s">
        <v>1105</v>
      </c>
      <c r="E815" t="s">
        <v>38</v>
      </c>
      <c r="F815" t="s">
        <v>55</v>
      </c>
      <c r="G815" t="s">
        <v>59</v>
      </c>
      <c r="H815" t="s">
        <v>29</v>
      </c>
      <c r="I815" t="s">
        <v>21</v>
      </c>
      <c r="J815" t="s">
        <v>363</v>
      </c>
    </row>
    <row r="816" spans="1:10" x14ac:dyDescent="0.25">
      <c r="A816">
        <v>27810118</v>
      </c>
      <c r="B816" t="s">
        <v>17</v>
      </c>
      <c r="C816" s="4">
        <v>44771.170669317129</v>
      </c>
      <c r="D816" t="s">
        <v>1106</v>
      </c>
      <c r="E816" t="s">
        <v>62</v>
      </c>
      <c r="F816" t="s">
        <v>18</v>
      </c>
      <c r="G816" t="s">
        <v>375</v>
      </c>
      <c r="H816" t="s">
        <v>29</v>
      </c>
      <c r="I816" t="s">
        <v>21</v>
      </c>
      <c r="J816" t="s">
        <v>1107</v>
      </c>
    </row>
    <row r="817" spans="1:10" x14ac:dyDescent="0.25">
      <c r="A817">
        <v>27810133</v>
      </c>
      <c r="B817" t="s">
        <v>17</v>
      </c>
      <c r="C817" s="4">
        <v>44771.170936736111</v>
      </c>
      <c r="D817" t="s">
        <v>818</v>
      </c>
      <c r="E817" t="s">
        <v>22</v>
      </c>
      <c r="F817" t="s">
        <v>31</v>
      </c>
      <c r="G817" t="s">
        <v>209</v>
      </c>
      <c r="H817" t="s">
        <v>25</v>
      </c>
      <c r="I817" t="s">
        <v>21</v>
      </c>
      <c r="J817" t="s">
        <v>97</v>
      </c>
    </row>
    <row r="818" spans="1:10" x14ac:dyDescent="0.25">
      <c r="A818">
        <v>27810168</v>
      </c>
      <c r="B818" t="s">
        <v>17</v>
      </c>
      <c r="C818" s="4">
        <v>44771.171426990739</v>
      </c>
      <c r="D818" t="s">
        <v>1108</v>
      </c>
      <c r="E818" t="s">
        <v>38</v>
      </c>
      <c r="F818" t="s">
        <v>57</v>
      </c>
      <c r="G818" t="s">
        <v>306</v>
      </c>
      <c r="H818" t="s">
        <v>29</v>
      </c>
      <c r="I818" t="s">
        <v>21</v>
      </c>
      <c r="J818" t="s">
        <v>1109</v>
      </c>
    </row>
    <row r="819" spans="1:10" x14ac:dyDescent="0.25">
      <c r="A819">
        <v>27810201</v>
      </c>
      <c r="B819" t="s">
        <v>17</v>
      </c>
      <c r="C819" s="4">
        <v>44771.172312164352</v>
      </c>
      <c r="D819" t="s">
        <v>771</v>
      </c>
      <c r="E819" t="s">
        <v>22</v>
      </c>
      <c r="F819" t="s">
        <v>23</v>
      </c>
      <c r="G819" t="s">
        <v>187</v>
      </c>
      <c r="H819" t="s">
        <v>40</v>
      </c>
      <c r="I819" t="s">
        <v>21</v>
      </c>
      <c r="J819" t="s">
        <v>772</v>
      </c>
    </row>
    <row r="820" spans="1:10" x14ac:dyDescent="0.25">
      <c r="A820">
        <v>27810210</v>
      </c>
      <c r="B820" t="s">
        <v>17</v>
      </c>
      <c r="C820" s="4">
        <v>44771.172637453703</v>
      </c>
      <c r="D820" t="s">
        <v>1110</v>
      </c>
      <c r="E820" t="s">
        <v>38</v>
      </c>
      <c r="F820" t="s">
        <v>33</v>
      </c>
      <c r="G820" t="s">
        <v>164</v>
      </c>
      <c r="H820" t="s">
        <v>29</v>
      </c>
      <c r="I820" t="s">
        <v>21</v>
      </c>
      <c r="J820" t="s">
        <v>1111</v>
      </c>
    </row>
    <row r="821" spans="1:10" x14ac:dyDescent="0.25">
      <c r="A821">
        <v>27816933</v>
      </c>
      <c r="B821" t="s">
        <v>17</v>
      </c>
      <c r="C821" s="4">
        <v>44771.289773460638</v>
      </c>
      <c r="D821" t="s">
        <v>704</v>
      </c>
      <c r="E821" t="s">
        <v>387</v>
      </c>
      <c r="F821" t="s">
        <v>18</v>
      </c>
      <c r="G821" t="s">
        <v>395</v>
      </c>
      <c r="H821" t="s">
        <v>42</v>
      </c>
      <c r="I821" t="s">
        <v>21</v>
      </c>
      <c r="J821" t="s">
        <v>705</v>
      </c>
    </row>
    <row r="822" spans="1:10" x14ac:dyDescent="0.25">
      <c r="A822">
        <v>27810230</v>
      </c>
      <c r="B822" t="s">
        <v>17</v>
      </c>
      <c r="C822" s="4">
        <v>44771.172870949071</v>
      </c>
      <c r="D822" t="s">
        <v>771</v>
      </c>
      <c r="E822" t="s">
        <v>22</v>
      </c>
      <c r="F822" t="s">
        <v>23</v>
      </c>
      <c r="G822" t="s">
        <v>187</v>
      </c>
      <c r="H822" t="s">
        <v>25</v>
      </c>
      <c r="I822" t="s">
        <v>21</v>
      </c>
      <c r="J822" t="s">
        <v>772</v>
      </c>
    </row>
    <row r="823" spans="1:10" x14ac:dyDescent="0.25">
      <c r="A823">
        <v>27816939</v>
      </c>
      <c r="B823" t="s">
        <v>17</v>
      </c>
      <c r="C823" s="4">
        <v>44771.289785497684</v>
      </c>
      <c r="F823" t="s">
        <v>23</v>
      </c>
      <c r="G823" t="s">
        <v>110</v>
      </c>
      <c r="H823" t="s">
        <v>20</v>
      </c>
      <c r="I823" t="s">
        <v>21</v>
      </c>
    </row>
    <row r="824" spans="1:10" x14ac:dyDescent="0.25">
      <c r="A824">
        <v>27810240</v>
      </c>
      <c r="B824" t="s">
        <v>17</v>
      </c>
      <c r="C824" s="4">
        <v>44771.173026504628</v>
      </c>
      <c r="D824" t="s">
        <v>1083</v>
      </c>
      <c r="E824" t="s">
        <v>417</v>
      </c>
      <c r="F824" t="s">
        <v>18</v>
      </c>
      <c r="G824" t="s">
        <v>418</v>
      </c>
      <c r="H824" t="s">
        <v>64</v>
      </c>
      <c r="I824" t="s">
        <v>21</v>
      </c>
      <c r="J824" t="s">
        <v>1084</v>
      </c>
    </row>
    <row r="825" spans="1:10" x14ac:dyDescent="0.25">
      <c r="A825">
        <v>27810288</v>
      </c>
      <c r="B825" t="s">
        <v>17</v>
      </c>
      <c r="C825" s="4">
        <v>44771.17367452546</v>
      </c>
      <c r="D825" t="s">
        <v>1112</v>
      </c>
      <c r="E825" t="s">
        <v>22</v>
      </c>
      <c r="F825" t="s">
        <v>23</v>
      </c>
      <c r="G825" t="s">
        <v>172</v>
      </c>
      <c r="H825" t="s">
        <v>29</v>
      </c>
      <c r="I825" t="s">
        <v>21</v>
      </c>
      <c r="J825" t="s">
        <v>121</v>
      </c>
    </row>
    <row r="826" spans="1:10" x14ac:dyDescent="0.25">
      <c r="A826">
        <v>27810300</v>
      </c>
      <c r="B826" t="s">
        <v>17</v>
      </c>
      <c r="C826" s="4">
        <v>44771.173755462973</v>
      </c>
      <c r="D826" t="s">
        <v>1096</v>
      </c>
      <c r="E826" t="s">
        <v>27</v>
      </c>
      <c r="F826" t="s">
        <v>18</v>
      </c>
      <c r="G826" t="s">
        <v>380</v>
      </c>
      <c r="H826" t="s">
        <v>40</v>
      </c>
      <c r="I826" t="s">
        <v>21</v>
      </c>
      <c r="J826" t="s">
        <v>435</v>
      </c>
    </row>
    <row r="827" spans="1:10" x14ac:dyDescent="0.25">
      <c r="A827">
        <v>27810314</v>
      </c>
      <c r="B827" t="s">
        <v>17</v>
      </c>
      <c r="C827" s="4">
        <v>44771.173949282413</v>
      </c>
      <c r="D827" t="s">
        <v>1101</v>
      </c>
      <c r="E827" t="s">
        <v>62</v>
      </c>
      <c r="F827" t="s">
        <v>57</v>
      </c>
      <c r="G827" t="s">
        <v>185</v>
      </c>
      <c r="H827" t="s">
        <v>54</v>
      </c>
      <c r="I827" t="s">
        <v>21</v>
      </c>
      <c r="J827" t="s">
        <v>1102</v>
      </c>
    </row>
    <row r="828" spans="1:10" x14ac:dyDescent="0.25">
      <c r="A828">
        <v>27810319</v>
      </c>
      <c r="B828" t="s">
        <v>17</v>
      </c>
      <c r="C828" s="4">
        <v>44771.174090671288</v>
      </c>
      <c r="D828" t="s">
        <v>1113</v>
      </c>
      <c r="E828" t="s">
        <v>22</v>
      </c>
      <c r="F828" t="s">
        <v>23</v>
      </c>
      <c r="G828" t="s">
        <v>178</v>
      </c>
      <c r="H828" t="s">
        <v>29</v>
      </c>
      <c r="I828" t="s">
        <v>21</v>
      </c>
      <c r="J828" t="s">
        <v>463</v>
      </c>
    </row>
    <row r="829" spans="1:10" x14ac:dyDescent="0.25">
      <c r="A829">
        <v>27810325</v>
      </c>
      <c r="B829" t="s">
        <v>17</v>
      </c>
      <c r="C829" s="4">
        <v>44771.174126412043</v>
      </c>
      <c r="D829" t="s">
        <v>1114</v>
      </c>
      <c r="E829" t="s">
        <v>129</v>
      </c>
      <c r="F829" t="s">
        <v>49</v>
      </c>
      <c r="G829" t="s">
        <v>74</v>
      </c>
      <c r="H829" t="s">
        <v>29</v>
      </c>
      <c r="I829" t="s">
        <v>21</v>
      </c>
      <c r="J829" t="s">
        <v>75</v>
      </c>
    </row>
    <row r="830" spans="1:10" x14ac:dyDescent="0.25">
      <c r="A830">
        <v>27816949</v>
      </c>
      <c r="B830" t="s">
        <v>17</v>
      </c>
      <c r="C830" s="4">
        <v>44771.289863182872</v>
      </c>
      <c r="D830" t="s">
        <v>704</v>
      </c>
      <c r="E830" t="s">
        <v>387</v>
      </c>
      <c r="F830" t="s">
        <v>18</v>
      </c>
      <c r="G830" t="s">
        <v>395</v>
      </c>
      <c r="H830" t="s">
        <v>54</v>
      </c>
      <c r="I830" t="s">
        <v>21</v>
      </c>
      <c r="J830" t="s">
        <v>705</v>
      </c>
    </row>
    <row r="831" spans="1:10" x14ac:dyDescent="0.25">
      <c r="A831">
        <v>27816953</v>
      </c>
      <c r="B831" t="s">
        <v>17</v>
      </c>
      <c r="C831" s="4">
        <v>44771.290103796287</v>
      </c>
      <c r="D831" t="s">
        <v>848</v>
      </c>
      <c r="E831" t="s">
        <v>22</v>
      </c>
      <c r="F831" t="s">
        <v>57</v>
      </c>
      <c r="G831" t="s">
        <v>383</v>
      </c>
      <c r="H831" t="s">
        <v>54</v>
      </c>
      <c r="I831" t="s">
        <v>21</v>
      </c>
      <c r="J831" t="s">
        <v>849</v>
      </c>
    </row>
    <row r="832" spans="1:10" x14ac:dyDescent="0.25">
      <c r="A832">
        <v>27810332</v>
      </c>
      <c r="B832" t="s">
        <v>17</v>
      </c>
      <c r="C832" s="4">
        <v>44771.174142696756</v>
      </c>
      <c r="E832" t="s">
        <v>38</v>
      </c>
      <c r="F832" t="s">
        <v>55</v>
      </c>
      <c r="G832" t="s">
        <v>138</v>
      </c>
      <c r="H832" t="s">
        <v>29</v>
      </c>
      <c r="I832" t="s">
        <v>21</v>
      </c>
    </row>
    <row r="833" spans="1:10" x14ac:dyDescent="0.25">
      <c r="A833">
        <v>27810334</v>
      </c>
      <c r="B833" t="s">
        <v>17</v>
      </c>
      <c r="C833" s="4">
        <v>44771.174143136574</v>
      </c>
      <c r="D833" t="s">
        <v>1096</v>
      </c>
      <c r="E833" t="s">
        <v>27</v>
      </c>
      <c r="F833" t="s">
        <v>18</v>
      </c>
      <c r="G833" t="s">
        <v>380</v>
      </c>
      <c r="H833" t="s">
        <v>25</v>
      </c>
      <c r="I833" t="s">
        <v>21</v>
      </c>
      <c r="J833" t="s">
        <v>435</v>
      </c>
    </row>
    <row r="834" spans="1:10" x14ac:dyDescent="0.25">
      <c r="A834">
        <v>27816959</v>
      </c>
      <c r="B834" t="s">
        <v>17</v>
      </c>
      <c r="C834" s="4">
        <v>44771.290152800917</v>
      </c>
      <c r="D834" t="s">
        <v>848</v>
      </c>
      <c r="E834" t="s">
        <v>22</v>
      </c>
      <c r="F834" t="s">
        <v>57</v>
      </c>
      <c r="G834" t="s">
        <v>383</v>
      </c>
      <c r="H834" t="s">
        <v>40</v>
      </c>
      <c r="I834" t="s">
        <v>21</v>
      </c>
      <c r="J834" t="s">
        <v>849</v>
      </c>
    </row>
    <row r="835" spans="1:10" x14ac:dyDescent="0.25">
      <c r="A835">
        <v>27810379</v>
      </c>
      <c r="B835" t="s">
        <v>17</v>
      </c>
      <c r="C835" s="4">
        <v>44771.174477905093</v>
      </c>
      <c r="F835" t="s">
        <v>31</v>
      </c>
      <c r="G835" t="s">
        <v>148</v>
      </c>
      <c r="H835" t="s">
        <v>20</v>
      </c>
      <c r="I835" t="s">
        <v>21</v>
      </c>
    </row>
    <row r="836" spans="1:10" x14ac:dyDescent="0.25">
      <c r="A836">
        <v>27810390</v>
      </c>
      <c r="B836" t="s">
        <v>17</v>
      </c>
      <c r="C836" s="4">
        <v>44771.17459372685</v>
      </c>
      <c r="F836" t="s">
        <v>52</v>
      </c>
      <c r="G836" t="s">
        <v>409</v>
      </c>
      <c r="H836" t="s">
        <v>20</v>
      </c>
      <c r="I836" t="s">
        <v>21</v>
      </c>
    </row>
    <row r="837" spans="1:10" x14ac:dyDescent="0.25">
      <c r="A837">
        <v>27810401</v>
      </c>
      <c r="B837" t="s">
        <v>17</v>
      </c>
      <c r="C837" s="4">
        <v>44771.174853391203</v>
      </c>
      <c r="F837" t="s">
        <v>31</v>
      </c>
      <c r="G837" t="s">
        <v>199</v>
      </c>
      <c r="H837" t="s">
        <v>20</v>
      </c>
      <c r="I837" t="s">
        <v>21</v>
      </c>
    </row>
    <row r="838" spans="1:10" x14ac:dyDescent="0.25">
      <c r="A838">
        <v>27810410</v>
      </c>
      <c r="B838" t="s">
        <v>17</v>
      </c>
      <c r="C838" s="4">
        <v>44771.174968136584</v>
      </c>
      <c r="F838" t="s">
        <v>52</v>
      </c>
      <c r="G838" t="s">
        <v>69</v>
      </c>
      <c r="H838" t="s">
        <v>20</v>
      </c>
      <c r="I838" t="s">
        <v>21</v>
      </c>
    </row>
    <row r="839" spans="1:10" x14ac:dyDescent="0.25">
      <c r="A839">
        <v>27810420</v>
      </c>
      <c r="B839" t="s">
        <v>17</v>
      </c>
      <c r="C839" s="4">
        <v>44771.175100347224</v>
      </c>
      <c r="F839" t="s">
        <v>31</v>
      </c>
      <c r="G839" t="s">
        <v>112</v>
      </c>
      <c r="H839" t="s">
        <v>20</v>
      </c>
      <c r="I839" t="s">
        <v>21</v>
      </c>
    </row>
    <row r="840" spans="1:10" x14ac:dyDescent="0.25">
      <c r="A840">
        <v>27810431</v>
      </c>
      <c r="B840" t="s">
        <v>17</v>
      </c>
      <c r="C840" s="4">
        <v>44771.175251423607</v>
      </c>
      <c r="F840" t="s">
        <v>23</v>
      </c>
      <c r="G840" t="s">
        <v>172</v>
      </c>
      <c r="H840" t="s">
        <v>20</v>
      </c>
      <c r="I840" t="s">
        <v>21</v>
      </c>
    </row>
    <row r="841" spans="1:10" x14ac:dyDescent="0.25">
      <c r="A841">
        <v>27810478</v>
      </c>
      <c r="B841" t="s">
        <v>17</v>
      </c>
      <c r="C841" s="4">
        <v>44771.176268784722</v>
      </c>
      <c r="D841" t="s">
        <v>1115</v>
      </c>
      <c r="E841" t="s">
        <v>22</v>
      </c>
      <c r="F841" t="s">
        <v>23</v>
      </c>
      <c r="G841" t="s">
        <v>51</v>
      </c>
      <c r="H841" t="s">
        <v>29</v>
      </c>
      <c r="I841" t="s">
        <v>21</v>
      </c>
      <c r="J841" t="s">
        <v>623</v>
      </c>
    </row>
    <row r="842" spans="1:10" x14ac:dyDescent="0.25">
      <c r="A842">
        <v>27810542</v>
      </c>
      <c r="B842" t="s">
        <v>17</v>
      </c>
      <c r="C842" s="4">
        <v>44771.177714953701</v>
      </c>
      <c r="D842" t="s">
        <v>1116</v>
      </c>
      <c r="E842" t="s">
        <v>38</v>
      </c>
      <c r="F842" t="s">
        <v>31</v>
      </c>
      <c r="G842" t="s">
        <v>86</v>
      </c>
      <c r="H842" t="s">
        <v>29</v>
      </c>
      <c r="I842" t="s">
        <v>21</v>
      </c>
      <c r="J842" t="s">
        <v>113</v>
      </c>
    </row>
    <row r="843" spans="1:10" x14ac:dyDescent="0.25">
      <c r="A843">
        <v>27810578</v>
      </c>
      <c r="B843" t="s">
        <v>17</v>
      </c>
      <c r="C843" s="4">
        <v>44771.178062928237</v>
      </c>
      <c r="D843" t="s">
        <v>1101</v>
      </c>
      <c r="E843" t="s">
        <v>62</v>
      </c>
      <c r="F843" t="s">
        <v>57</v>
      </c>
      <c r="G843" t="s">
        <v>185</v>
      </c>
      <c r="H843" t="s">
        <v>40</v>
      </c>
      <c r="I843" t="s">
        <v>21</v>
      </c>
      <c r="J843" t="s">
        <v>1102</v>
      </c>
    </row>
    <row r="844" spans="1:10" x14ac:dyDescent="0.25">
      <c r="A844">
        <v>27810592</v>
      </c>
      <c r="B844" t="s">
        <v>17</v>
      </c>
      <c r="C844" s="4">
        <v>44771.178450729167</v>
      </c>
      <c r="D844" t="s">
        <v>1101</v>
      </c>
      <c r="E844" t="s">
        <v>62</v>
      </c>
      <c r="F844" t="s">
        <v>57</v>
      </c>
      <c r="G844" t="s">
        <v>185</v>
      </c>
      <c r="H844" t="s">
        <v>25</v>
      </c>
      <c r="I844" t="s">
        <v>21</v>
      </c>
      <c r="J844" t="s">
        <v>1102</v>
      </c>
    </row>
    <row r="845" spans="1:10" x14ac:dyDescent="0.25">
      <c r="A845">
        <v>27810602</v>
      </c>
      <c r="B845" t="s">
        <v>17</v>
      </c>
      <c r="C845" s="4">
        <v>44771.178492453713</v>
      </c>
      <c r="D845" t="s">
        <v>1117</v>
      </c>
      <c r="E845" t="s">
        <v>22</v>
      </c>
      <c r="F845" t="s">
        <v>52</v>
      </c>
      <c r="G845" t="s">
        <v>328</v>
      </c>
      <c r="H845" t="s">
        <v>126</v>
      </c>
      <c r="I845" t="s">
        <v>21</v>
      </c>
      <c r="J845" t="s">
        <v>347</v>
      </c>
    </row>
    <row r="846" spans="1:10" x14ac:dyDescent="0.25">
      <c r="A846">
        <v>27810612</v>
      </c>
      <c r="B846" t="s">
        <v>17</v>
      </c>
      <c r="C846" s="4">
        <v>44771.17855113426</v>
      </c>
      <c r="D846" t="s">
        <v>1118</v>
      </c>
      <c r="E846" t="s">
        <v>38</v>
      </c>
      <c r="F846" t="s">
        <v>31</v>
      </c>
      <c r="G846" t="s">
        <v>39</v>
      </c>
      <c r="H846" t="s">
        <v>29</v>
      </c>
      <c r="I846" t="s">
        <v>21</v>
      </c>
      <c r="J846" t="s">
        <v>1119</v>
      </c>
    </row>
    <row r="847" spans="1:10" x14ac:dyDescent="0.25">
      <c r="A847">
        <v>27816970</v>
      </c>
      <c r="B847" t="s">
        <v>17</v>
      </c>
      <c r="C847" s="4">
        <v>44771.290384016203</v>
      </c>
      <c r="D847" t="s">
        <v>850</v>
      </c>
      <c r="E847" t="s">
        <v>27</v>
      </c>
      <c r="F847" t="s">
        <v>18</v>
      </c>
      <c r="G847" t="s">
        <v>285</v>
      </c>
      <c r="H847" t="s">
        <v>40</v>
      </c>
      <c r="I847" t="s">
        <v>21</v>
      </c>
      <c r="J847" t="s">
        <v>851</v>
      </c>
    </row>
    <row r="848" spans="1:10" x14ac:dyDescent="0.25">
      <c r="A848">
        <v>27810642</v>
      </c>
      <c r="B848" t="s">
        <v>17</v>
      </c>
      <c r="C848" s="4">
        <v>44771.179051527783</v>
      </c>
      <c r="D848" t="s">
        <v>1117</v>
      </c>
      <c r="E848" t="s">
        <v>22</v>
      </c>
      <c r="F848" t="s">
        <v>52</v>
      </c>
      <c r="G848" t="s">
        <v>328</v>
      </c>
      <c r="H848" t="s">
        <v>93</v>
      </c>
      <c r="I848" t="s">
        <v>21</v>
      </c>
    </row>
    <row r="849" spans="1:10" x14ac:dyDescent="0.25">
      <c r="A849">
        <v>27810649</v>
      </c>
      <c r="B849" t="s">
        <v>17</v>
      </c>
      <c r="C849" s="4">
        <v>44771.179109143523</v>
      </c>
      <c r="D849" t="s">
        <v>1120</v>
      </c>
      <c r="E849" t="s">
        <v>27</v>
      </c>
      <c r="F849" t="s">
        <v>57</v>
      </c>
      <c r="G849" t="s">
        <v>286</v>
      </c>
      <c r="H849" t="s">
        <v>29</v>
      </c>
      <c r="I849" t="s">
        <v>21</v>
      </c>
    </row>
    <row r="850" spans="1:10" x14ac:dyDescent="0.25">
      <c r="A850">
        <v>27810714</v>
      </c>
      <c r="B850" t="s">
        <v>17</v>
      </c>
      <c r="C850" s="4">
        <v>44771.18065908565</v>
      </c>
      <c r="D850" t="s">
        <v>1121</v>
      </c>
      <c r="E850" t="s">
        <v>38</v>
      </c>
      <c r="F850" t="s">
        <v>57</v>
      </c>
      <c r="G850" t="s">
        <v>190</v>
      </c>
      <c r="H850" t="s">
        <v>29</v>
      </c>
      <c r="I850" t="s">
        <v>21</v>
      </c>
      <c r="J850" t="s">
        <v>751</v>
      </c>
    </row>
    <row r="851" spans="1:10" x14ac:dyDescent="0.25">
      <c r="A851">
        <v>27810717</v>
      </c>
      <c r="B851" t="s">
        <v>17</v>
      </c>
      <c r="C851" s="4">
        <v>44771.180663460647</v>
      </c>
      <c r="D851" t="s">
        <v>795</v>
      </c>
      <c r="E851" t="s">
        <v>38</v>
      </c>
      <c r="F851" t="s">
        <v>31</v>
      </c>
      <c r="G851" t="s">
        <v>148</v>
      </c>
      <c r="H851" t="s">
        <v>40</v>
      </c>
      <c r="I851" t="s">
        <v>21</v>
      </c>
      <c r="J851" t="s">
        <v>237</v>
      </c>
    </row>
    <row r="852" spans="1:10" x14ac:dyDescent="0.25">
      <c r="A852">
        <v>27816972</v>
      </c>
      <c r="B852" t="s">
        <v>17</v>
      </c>
      <c r="C852" s="4">
        <v>44771.290427245367</v>
      </c>
      <c r="F852" t="s">
        <v>57</v>
      </c>
      <c r="G852" t="s">
        <v>63</v>
      </c>
      <c r="H852" t="s">
        <v>67</v>
      </c>
      <c r="I852" t="s">
        <v>21</v>
      </c>
    </row>
    <row r="853" spans="1:10" x14ac:dyDescent="0.25">
      <c r="A853">
        <v>27810736</v>
      </c>
      <c r="B853" t="s">
        <v>17</v>
      </c>
      <c r="C853" s="4">
        <v>44771.180852395832</v>
      </c>
      <c r="D853" t="s">
        <v>757</v>
      </c>
      <c r="E853" t="s">
        <v>22</v>
      </c>
      <c r="F853" t="s">
        <v>52</v>
      </c>
      <c r="G853" t="s">
        <v>409</v>
      </c>
      <c r="H853" t="s">
        <v>40</v>
      </c>
      <c r="I853" t="s">
        <v>21</v>
      </c>
      <c r="J853" t="s">
        <v>758</v>
      </c>
    </row>
    <row r="854" spans="1:10" x14ac:dyDescent="0.25">
      <c r="A854">
        <v>27810737</v>
      </c>
      <c r="B854" t="s">
        <v>17</v>
      </c>
      <c r="C854" s="4">
        <v>44771.180867199073</v>
      </c>
      <c r="D854" t="s">
        <v>757</v>
      </c>
      <c r="E854" t="s">
        <v>22</v>
      </c>
      <c r="F854" t="s">
        <v>52</v>
      </c>
      <c r="G854" t="s">
        <v>409</v>
      </c>
      <c r="H854" t="s">
        <v>343</v>
      </c>
      <c r="I854" t="s">
        <v>21</v>
      </c>
      <c r="J854" t="s">
        <v>758</v>
      </c>
    </row>
    <row r="855" spans="1:10" x14ac:dyDescent="0.25">
      <c r="A855">
        <v>27810739</v>
      </c>
      <c r="B855" t="s">
        <v>17</v>
      </c>
      <c r="C855" s="4">
        <v>44771.180925000001</v>
      </c>
      <c r="D855" t="s">
        <v>757</v>
      </c>
      <c r="E855" t="s">
        <v>22</v>
      </c>
      <c r="F855" t="s">
        <v>52</v>
      </c>
      <c r="G855" t="s">
        <v>409</v>
      </c>
      <c r="H855" t="s">
        <v>40</v>
      </c>
      <c r="I855" t="s">
        <v>21</v>
      </c>
      <c r="J855" t="s">
        <v>758</v>
      </c>
    </row>
    <row r="856" spans="1:10" x14ac:dyDescent="0.25">
      <c r="A856">
        <v>27810746</v>
      </c>
      <c r="B856" t="s">
        <v>17</v>
      </c>
      <c r="C856" s="4">
        <v>44771.180975833333</v>
      </c>
      <c r="D856" t="s">
        <v>1122</v>
      </c>
      <c r="E856" t="s">
        <v>27</v>
      </c>
      <c r="F856" t="s">
        <v>18</v>
      </c>
      <c r="G856" t="s">
        <v>183</v>
      </c>
      <c r="H856" t="s">
        <v>42</v>
      </c>
      <c r="I856" t="s">
        <v>21</v>
      </c>
      <c r="J856" t="s">
        <v>1123</v>
      </c>
    </row>
    <row r="857" spans="1:10" x14ac:dyDescent="0.25">
      <c r="A857">
        <v>27810749</v>
      </c>
      <c r="B857" t="s">
        <v>17</v>
      </c>
      <c r="C857" s="4">
        <v>44771.181022835648</v>
      </c>
      <c r="D857" t="s">
        <v>1122</v>
      </c>
      <c r="E857" t="s">
        <v>27</v>
      </c>
      <c r="F857" t="s">
        <v>18</v>
      </c>
      <c r="G857" t="s">
        <v>183</v>
      </c>
      <c r="H857" t="s">
        <v>54</v>
      </c>
      <c r="I857" t="s">
        <v>21</v>
      </c>
      <c r="J857" t="s">
        <v>1123</v>
      </c>
    </row>
    <row r="858" spans="1:10" x14ac:dyDescent="0.25">
      <c r="A858">
        <v>27810776</v>
      </c>
      <c r="B858" t="s">
        <v>17</v>
      </c>
      <c r="C858" s="4">
        <v>44771.18129177083</v>
      </c>
      <c r="D858" t="s">
        <v>795</v>
      </c>
      <c r="E858" t="s">
        <v>38</v>
      </c>
      <c r="F858" t="s">
        <v>31</v>
      </c>
      <c r="G858" t="s">
        <v>148</v>
      </c>
      <c r="H858" t="s">
        <v>25</v>
      </c>
      <c r="I858" t="s">
        <v>21</v>
      </c>
      <c r="J858" t="s">
        <v>237</v>
      </c>
    </row>
    <row r="859" spans="1:10" x14ac:dyDescent="0.25">
      <c r="A859">
        <v>27810792</v>
      </c>
      <c r="B859" t="s">
        <v>17</v>
      </c>
      <c r="C859" s="4">
        <v>44771.181529097223</v>
      </c>
      <c r="E859" t="s">
        <v>22</v>
      </c>
      <c r="F859" t="s">
        <v>49</v>
      </c>
      <c r="G859" t="s">
        <v>50</v>
      </c>
      <c r="H859" t="s">
        <v>29</v>
      </c>
      <c r="I859" t="s">
        <v>21</v>
      </c>
    </row>
    <row r="860" spans="1:10" x14ac:dyDescent="0.25">
      <c r="A860">
        <v>27810796</v>
      </c>
      <c r="B860" t="s">
        <v>17</v>
      </c>
      <c r="C860" s="4">
        <v>44771.181611817126</v>
      </c>
      <c r="D860" t="s">
        <v>757</v>
      </c>
      <c r="E860" t="s">
        <v>22</v>
      </c>
      <c r="F860" t="s">
        <v>52</v>
      </c>
      <c r="G860" t="s">
        <v>409</v>
      </c>
      <c r="H860" t="s">
        <v>25</v>
      </c>
      <c r="I860" t="s">
        <v>21</v>
      </c>
      <c r="J860" t="s">
        <v>758</v>
      </c>
    </row>
    <row r="861" spans="1:10" x14ac:dyDescent="0.25">
      <c r="A861">
        <v>27810805</v>
      </c>
      <c r="B861" t="s">
        <v>17</v>
      </c>
      <c r="C861" s="4">
        <v>44771.181720416673</v>
      </c>
      <c r="D861" t="s">
        <v>827</v>
      </c>
      <c r="E861" t="s">
        <v>38</v>
      </c>
      <c r="F861" t="s">
        <v>23</v>
      </c>
      <c r="G861" t="s">
        <v>172</v>
      </c>
      <c r="H861" t="s">
        <v>40</v>
      </c>
      <c r="I861" t="s">
        <v>21</v>
      </c>
      <c r="J861" t="s">
        <v>828</v>
      </c>
    </row>
    <row r="862" spans="1:10" x14ac:dyDescent="0.25">
      <c r="A862">
        <v>27810814</v>
      </c>
      <c r="B862" t="s">
        <v>17</v>
      </c>
      <c r="C862" s="4">
        <v>44771.18193377315</v>
      </c>
      <c r="D862" t="s">
        <v>996</v>
      </c>
      <c r="E862" t="s">
        <v>62</v>
      </c>
      <c r="F862" t="s">
        <v>57</v>
      </c>
      <c r="G862" t="s">
        <v>63</v>
      </c>
      <c r="H862" t="s">
        <v>46</v>
      </c>
      <c r="I862" t="s">
        <v>21</v>
      </c>
      <c r="J862" t="s">
        <v>169</v>
      </c>
    </row>
    <row r="863" spans="1:10" x14ac:dyDescent="0.25">
      <c r="A863">
        <v>27810821</v>
      </c>
      <c r="B863" t="s">
        <v>17</v>
      </c>
      <c r="C863" s="4">
        <v>44771.182221967603</v>
      </c>
      <c r="F863" t="s">
        <v>57</v>
      </c>
      <c r="G863" t="s">
        <v>63</v>
      </c>
      <c r="H863" t="s">
        <v>47</v>
      </c>
      <c r="I863" t="s">
        <v>21</v>
      </c>
    </row>
    <row r="864" spans="1:10" x14ac:dyDescent="0.25">
      <c r="A864">
        <v>27810826</v>
      </c>
      <c r="B864" t="s">
        <v>17</v>
      </c>
      <c r="C864" s="4">
        <v>44771.182249999998</v>
      </c>
      <c r="D864" t="s">
        <v>1124</v>
      </c>
      <c r="E864" t="s">
        <v>417</v>
      </c>
      <c r="F864" t="s">
        <v>18</v>
      </c>
      <c r="G864" t="s">
        <v>418</v>
      </c>
      <c r="H864" t="s">
        <v>46</v>
      </c>
      <c r="I864" t="s">
        <v>21</v>
      </c>
    </row>
    <row r="865" spans="1:10" x14ac:dyDescent="0.25">
      <c r="A865">
        <v>27810830</v>
      </c>
      <c r="B865" t="s">
        <v>17</v>
      </c>
      <c r="C865" s="4">
        <v>44771.182437974538</v>
      </c>
      <c r="D865" t="s">
        <v>827</v>
      </c>
      <c r="E865" t="s">
        <v>38</v>
      </c>
      <c r="F865" t="s">
        <v>23</v>
      </c>
      <c r="G865" t="s">
        <v>172</v>
      </c>
      <c r="H865" t="s">
        <v>25</v>
      </c>
      <c r="I865" t="s">
        <v>21</v>
      </c>
      <c r="J865" t="s">
        <v>828</v>
      </c>
    </row>
    <row r="866" spans="1:10" x14ac:dyDescent="0.25">
      <c r="A866">
        <v>27810849</v>
      </c>
      <c r="B866" t="s">
        <v>17</v>
      </c>
      <c r="C866" s="4">
        <v>44771.182610150463</v>
      </c>
      <c r="F866" t="s">
        <v>52</v>
      </c>
      <c r="G866" t="s">
        <v>53</v>
      </c>
      <c r="H866" t="s">
        <v>20</v>
      </c>
      <c r="I866" t="s">
        <v>21</v>
      </c>
    </row>
    <row r="867" spans="1:10" x14ac:dyDescent="0.25">
      <c r="A867">
        <v>27810874</v>
      </c>
      <c r="B867" t="s">
        <v>17</v>
      </c>
      <c r="C867" s="4">
        <v>44771.182749814812</v>
      </c>
      <c r="F867" t="s">
        <v>23</v>
      </c>
      <c r="G867" t="s">
        <v>178</v>
      </c>
      <c r="H867" t="s">
        <v>20</v>
      </c>
      <c r="I867" t="s">
        <v>21</v>
      </c>
    </row>
    <row r="868" spans="1:10" x14ac:dyDescent="0.25">
      <c r="A868">
        <v>27816986</v>
      </c>
      <c r="B868" t="s">
        <v>17</v>
      </c>
      <c r="C868" s="4">
        <v>44771.290715902767</v>
      </c>
      <c r="F868" t="s">
        <v>57</v>
      </c>
      <c r="G868" t="s">
        <v>63</v>
      </c>
      <c r="H868" t="s">
        <v>68</v>
      </c>
      <c r="I868" t="s">
        <v>21</v>
      </c>
    </row>
    <row r="869" spans="1:10" x14ac:dyDescent="0.25">
      <c r="A869">
        <v>27810909</v>
      </c>
      <c r="B869" t="s">
        <v>17</v>
      </c>
      <c r="C869" s="4">
        <v>44771.183826365741</v>
      </c>
      <c r="D869" t="s">
        <v>744</v>
      </c>
      <c r="E869" t="s">
        <v>38</v>
      </c>
      <c r="F869" t="s">
        <v>52</v>
      </c>
      <c r="G869" t="s">
        <v>69</v>
      </c>
      <c r="H869" t="s">
        <v>40</v>
      </c>
      <c r="I869" t="s">
        <v>21</v>
      </c>
      <c r="J869" t="s">
        <v>745</v>
      </c>
    </row>
    <row r="870" spans="1:10" x14ac:dyDescent="0.25">
      <c r="A870">
        <v>27810912</v>
      </c>
      <c r="B870" t="s">
        <v>17</v>
      </c>
      <c r="C870" s="4">
        <v>44771.184008171287</v>
      </c>
      <c r="D870" t="s">
        <v>1125</v>
      </c>
      <c r="E870" t="s">
        <v>38</v>
      </c>
      <c r="F870" t="s">
        <v>31</v>
      </c>
      <c r="G870" t="s">
        <v>199</v>
      </c>
      <c r="H870" t="s">
        <v>40</v>
      </c>
      <c r="I870" t="s">
        <v>21</v>
      </c>
      <c r="J870" t="s">
        <v>776</v>
      </c>
    </row>
    <row r="871" spans="1:10" x14ac:dyDescent="0.25">
      <c r="A871">
        <v>27810927</v>
      </c>
      <c r="B871" t="s">
        <v>17</v>
      </c>
      <c r="C871" s="4">
        <v>44771.184331319448</v>
      </c>
      <c r="F871" t="s">
        <v>18</v>
      </c>
      <c r="G871" t="s">
        <v>418</v>
      </c>
      <c r="H871" t="s">
        <v>47</v>
      </c>
      <c r="I871" t="s">
        <v>21</v>
      </c>
    </row>
    <row r="872" spans="1:10" x14ac:dyDescent="0.25">
      <c r="A872">
        <v>27810930</v>
      </c>
      <c r="B872" t="s">
        <v>17</v>
      </c>
      <c r="C872" s="4">
        <v>44771.184332210651</v>
      </c>
      <c r="D872" t="s">
        <v>1126</v>
      </c>
      <c r="E872" t="s">
        <v>38</v>
      </c>
      <c r="F872" t="s">
        <v>31</v>
      </c>
      <c r="G872" t="s">
        <v>86</v>
      </c>
      <c r="H872" t="s">
        <v>42</v>
      </c>
      <c r="I872" t="s">
        <v>21</v>
      </c>
      <c r="J872" t="s">
        <v>1127</v>
      </c>
    </row>
    <row r="873" spans="1:10" x14ac:dyDescent="0.25">
      <c r="A873">
        <v>27810935</v>
      </c>
      <c r="B873" t="s">
        <v>17</v>
      </c>
      <c r="C873" s="4">
        <v>44771.184360069441</v>
      </c>
      <c r="D873" t="s">
        <v>1126</v>
      </c>
      <c r="E873" t="s">
        <v>38</v>
      </c>
      <c r="F873" t="s">
        <v>31</v>
      </c>
      <c r="G873" t="s">
        <v>86</v>
      </c>
      <c r="H873" t="s">
        <v>54</v>
      </c>
      <c r="I873" t="s">
        <v>21</v>
      </c>
      <c r="J873" t="s">
        <v>1127</v>
      </c>
    </row>
    <row r="874" spans="1:10" x14ac:dyDescent="0.25">
      <c r="A874">
        <v>27810953</v>
      </c>
      <c r="B874" t="s">
        <v>17</v>
      </c>
      <c r="C874" s="4">
        <v>44771.184533622683</v>
      </c>
      <c r="D874" t="s">
        <v>1125</v>
      </c>
      <c r="E874" t="s">
        <v>38</v>
      </c>
      <c r="F874" t="s">
        <v>31</v>
      </c>
      <c r="G874" t="s">
        <v>199</v>
      </c>
      <c r="H874" t="s">
        <v>25</v>
      </c>
      <c r="I874" t="s">
        <v>21</v>
      </c>
      <c r="J874" t="s">
        <v>776</v>
      </c>
    </row>
    <row r="875" spans="1:10" x14ac:dyDescent="0.25">
      <c r="A875">
        <v>27810967</v>
      </c>
      <c r="B875" t="s">
        <v>17</v>
      </c>
      <c r="C875" s="4">
        <v>44771.184613425918</v>
      </c>
      <c r="D875" t="s">
        <v>744</v>
      </c>
      <c r="E875" t="s">
        <v>38</v>
      </c>
      <c r="F875" t="s">
        <v>52</v>
      </c>
      <c r="G875" t="s">
        <v>69</v>
      </c>
      <c r="H875" t="s">
        <v>25</v>
      </c>
      <c r="I875" t="s">
        <v>21</v>
      </c>
      <c r="J875" t="s">
        <v>745</v>
      </c>
    </row>
    <row r="876" spans="1:10" x14ac:dyDescent="0.25">
      <c r="A876">
        <v>27816998</v>
      </c>
      <c r="B876" t="s">
        <v>17</v>
      </c>
      <c r="C876" s="4">
        <v>44771.290933206023</v>
      </c>
      <c r="D876" t="s">
        <v>848</v>
      </c>
      <c r="E876" t="s">
        <v>22</v>
      </c>
      <c r="F876" t="s">
        <v>57</v>
      </c>
      <c r="G876" t="s">
        <v>383</v>
      </c>
      <c r="H876" t="s">
        <v>25</v>
      </c>
      <c r="I876" t="s">
        <v>21</v>
      </c>
      <c r="J876" t="s">
        <v>849</v>
      </c>
    </row>
    <row r="877" spans="1:10" x14ac:dyDescent="0.25">
      <c r="A877">
        <v>27811057</v>
      </c>
      <c r="B877" t="s">
        <v>17</v>
      </c>
      <c r="C877" s="4">
        <v>44771.186428622677</v>
      </c>
      <c r="D877" t="s">
        <v>1122</v>
      </c>
      <c r="E877" t="s">
        <v>27</v>
      </c>
      <c r="F877" t="s">
        <v>18</v>
      </c>
      <c r="G877" t="s">
        <v>183</v>
      </c>
      <c r="H877" t="s">
        <v>40</v>
      </c>
      <c r="I877" t="s">
        <v>21</v>
      </c>
      <c r="J877" t="s">
        <v>1123</v>
      </c>
    </row>
    <row r="878" spans="1:10" x14ac:dyDescent="0.25">
      <c r="A878">
        <v>27811074</v>
      </c>
      <c r="B878" t="s">
        <v>17</v>
      </c>
      <c r="C878" s="4">
        <v>44771.186804502307</v>
      </c>
      <c r="D878" t="s">
        <v>1122</v>
      </c>
      <c r="E878" t="s">
        <v>27</v>
      </c>
      <c r="F878" t="s">
        <v>18</v>
      </c>
      <c r="G878" t="s">
        <v>183</v>
      </c>
      <c r="H878" t="s">
        <v>25</v>
      </c>
      <c r="I878" t="s">
        <v>21</v>
      </c>
      <c r="J878" t="s">
        <v>1123</v>
      </c>
    </row>
    <row r="879" spans="1:10" x14ac:dyDescent="0.25">
      <c r="A879">
        <v>27811088</v>
      </c>
      <c r="B879" t="s">
        <v>17</v>
      </c>
      <c r="C879" s="4">
        <v>44771.187487499999</v>
      </c>
      <c r="D879" t="s">
        <v>1128</v>
      </c>
      <c r="E879" t="s">
        <v>27</v>
      </c>
      <c r="F879" t="s">
        <v>18</v>
      </c>
      <c r="G879" t="s">
        <v>260</v>
      </c>
      <c r="H879" t="s">
        <v>29</v>
      </c>
      <c r="I879" t="s">
        <v>21</v>
      </c>
      <c r="J879" t="s">
        <v>369</v>
      </c>
    </row>
    <row r="880" spans="1:10" x14ac:dyDescent="0.25">
      <c r="A880">
        <v>27811112</v>
      </c>
      <c r="B880" t="s">
        <v>17</v>
      </c>
      <c r="C880" s="4">
        <v>44771.187642418983</v>
      </c>
      <c r="D880" t="s">
        <v>1129</v>
      </c>
      <c r="E880" t="s">
        <v>38</v>
      </c>
      <c r="F880" t="s">
        <v>55</v>
      </c>
      <c r="G880" t="s">
        <v>152</v>
      </c>
      <c r="H880" t="s">
        <v>29</v>
      </c>
      <c r="I880" t="s">
        <v>21</v>
      </c>
      <c r="J880" t="s">
        <v>1127</v>
      </c>
    </row>
    <row r="881" spans="1:10" x14ac:dyDescent="0.25">
      <c r="A881">
        <v>27811159</v>
      </c>
      <c r="B881" t="s">
        <v>17</v>
      </c>
      <c r="C881" s="4">
        <v>44771.188091724543</v>
      </c>
      <c r="D881" t="s">
        <v>1130</v>
      </c>
      <c r="E881" t="s">
        <v>38</v>
      </c>
      <c r="F881" t="s">
        <v>31</v>
      </c>
      <c r="G881" t="s">
        <v>161</v>
      </c>
      <c r="H881" t="s">
        <v>29</v>
      </c>
      <c r="I881" t="s">
        <v>21</v>
      </c>
      <c r="J881" t="s">
        <v>142</v>
      </c>
    </row>
    <row r="882" spans="1:10" x14ac:dyDescent="0.25">
      <c r="A882">
        <v>27811186</v>
      </c>
      <c r="B882" t="s">
        <v>17</v>
      </c>
      <c r="C882" s="4">
        <v>44771.188623668982</v>
      </c>
      <c r="D882" t="s">
        <v>873</v>
      </c>
      <c r="E882" t="s">
        <v>62</v>
      </c>
      <c r="F882" t="s">
        <v>18</v>
      </c>
      <c r="G882" t="s">
        <v>285</v>
      </c>
      <c r="H882" t="s">
        <v>29</v>
      </c>
      <c r="I882" t="s">
        <v>21</v>
      </c>
      <c r="J882" t="s">
        <v>1131</v>
      </c>
    </row>
    <row r="883" spans="1:10" x14ac:dyDescent="0.25">
      <c r="A883">
        <v>27811243</v>
      </c>
      <c r="B883" t="s">
        <v>17</v>
      </c>
      <c r="C883" s="4">
        <v>44771.189581527768</v>
      </c>
      <c r="D883" t="s">
        <v>1132</v>
      </c>
      <c r="E883" t="s">
        <v>38</v>
      </c>
      <c r="F883" t="s">
        <v>31</v>
      </c>
      <c r="G883" t="s">
        <v>215</v>
      </c>
      <c r="H883" t="s">
        <v>29</v>
      </c>
      <c r="I883" t="s">
        <v>21</v>
      </c>
      <c r="J883" t="s">
        <v>624</v>
      </c>
    </row>
    <row r="884" spans="1:10" x14ac:dyDescent="0.25">
      <c r="A884">
        <v>27817013</v>
      </c>
      <c r="B884" t="s">
        <v>17</v>
      </c>
      <c r="C884" s="4">
        <v>44771.291179861109</v>
      </c>
      <c r="D884" t="s">
        <v>850</v>
      </c>
      <c r="E884" t="s">
        <v>27</v>
      </c>
      <c r="F884" t="s">
        <v>18</v>
      </c>
      <c r="G884" t="s">
        <v>285</v>
      </c>
      <c r="H884" t="s">
        <v>25</v>
      </c>
      <c r="I884" t="s">
        <v>21</v>
      </c>
      <c r="J884" t="s">
        <v>851</v>
      </c>
    </row>
    <row r="885" spans="1:10" x14ac:dyDescent="0.25">
      <c r="A885">
        <v>27811275</v>
      </c>
      <c r="B885" t="s">
        <v>17</v>
      </c>
      <c r="C885" s="4">
        <v>44771.190347812502</v>
      </c>
      <c r="D885" t="s">
        <v>1133</v>
      </c>
      <c r="E885" t="s">
        <v>38</v>
      </c>
      <c r="F885" t="s">
        <v>52</v>
      </c>
      <c r="G885" t="s">
        <v>53</v>
      </c>
      <c r="H885" t="s">
        <v>40</v>
      </c>
      <c r="I885" t="s">
        <v>21</v>
      </c>
      <c r="J885" t="s">
        <v>1134</v>
      </c>
    </row>
    <row r="886" spans="1:10" x14ac:dyDescent="0.25">
      <c r="A886">
        <v>27811302</v>
      </c>
      <c r="B886" t="s">
        <v>17</v>
      </c>
      <c r="C886" s="4">
        <v>44771.191017268517</v>
      </c>
      <c r="D886" t="s">
        <v>1135</v>
      </c>
      <c r="E886" t="s">
        <v>38</v>
      </c>
      <c r="F886" t="s">
        <v>57</v>
      </c>
      <c r="G886" t="s">
        <v>58</v>
      </c>
      <c r="H886" t="s">
        <v>29</v>
      </c>
      <c r="I886" t="s">
        <v>21</v>
      </c>
      <c r="J886" t="s">
        <v>492</v>
      </c>
    </row>
    <row r="887" spans="1:10" x14ac:dyDescent="0.25">
      <c r="A887">
        <v>27811309</v>
      </c>
      <c r="B887" t="s">
        <v>17</v>
      </c>
      <c r="C887" s="4">
        <v>44771.191081736113</v>
      </c>
      <c r="D887" t="s">
        <v>1133</v>
      </c>
      <c r="E887" t="s">
        <v>38</v>
      </c>
      <c r="F887" t="s">
        <v>52</v>
      </c>
      <c r="G887" t="s">
        <v>53</v>
      </c>
      <c r="H887" t="s">
        <v>25</v>
      </c>
      <c r="I887" t="s">
        <v>21</v>
      </c>
      <c r="J887" t="s">
        <v>1134</v>
      </c>
    </row>
    <row r="888" spans="1:10" x14ac:dyDescent="0.25">
      <c r="A888">
        <v>27811328</v>
      </c>
      <c r="B888" t="s">
        <v>17</v>
      </c>
      <c r="C888" s="4">
        <v>44771.191138946757</v>
      </c>
      <c r="F888" t="s">
        <v>31</v>
      </c>
      <c r="G888" t="s">
        <v>215</v>
      </c>
      <c r="H888" t="s">
        <v>20</v>
      </c>
      <c r="I888" t="s">
        <v>21</v>
      </c>
    </row>
    <row r="889" spans="1:10" x14ac:dyDescent="0.25">
      <c r="A889">
        <v>27811335</v>
      </c>
      <c r="B889" t="s">
        <v>17</v>
      </c>
      <c r="C889" s="4">
        <v>44771.191224189817</v>
      </c>
      <c r="D889" t="s">
        <v>1136</v>
      </c>
      <c r="E889" t="s">
        <v>38</v>
      </c>
      <c r="F889" t="s">
        <v>55</v>
      </c>
      <c r="G889" t="s">
        <v>275</v>
      </c>
      <c r="H889" t="s">
        <v>29</v>
      </c>
      <c r="I889" t="s">
        <v>21</v>
      </c>
      <c r="J889" t="s">
        <v>644</v>
      </c>
    </row>
    <row r="890" spans="1:10" x14ac:dyDescent="0.25">
      <c r="A890">
        <v>27811360</v>
      </c>
      <c r="B890" t="s">
        <v>17</v>
      </c>
      <c r="C890" s="4">
        <v>44771.191721840281</v>
      </c>
      <c r="D890" t="s">
        <v>1137</v>
      </c>
      <c r="E890" t="s">
        <v>62</v>
      </c>
      <c r="F890" t="s">
        <v>18</v>
      </c>
      <c r="G890" t="s">
        <v>28</v>
      </c>
      <c r="H890" t="s">
        <v>29</v>
      </c>
      <c r="I890" t="s">
        <v>21</v>
      </c>
      <c r="J890" t="s">
        <v>1138</v>
      </c>
    </row>
    <row r="891" spans="1:10" x14ac:dyDescent="0.25">
      <c r="A891">
        <v>27817025</v>
      </c>
      <c r="B891" t="s">
        <v>17</v>
      </c>
      <c r="C891" s="4">
        <v>44771.291245219909</v>
      </c>
      <c r="D891" t="s">
        <v>1139</v>
      </c>
      <c r="E891" t="s">
        <v>27</v>
      </c>
      <c r="F891" t="s">
        <v>45</v>
      </c>
      <c r="G891" t="s">
        <v>283</v>
      </c>
      <c r="H891" t="s">
        <v>29</v>
      </c>
      <c r="I891" t="s">
        <v>21</v>
      </c>
    </row>
    <row r="892" spans="1:10" x14ac:dyDescent="0.25">
      <c r="A892">
        <v>27811395</v>
      </c>
      <c r="B892" t="s">
        <v>17</v>
      </c>
      <c r="C892" s="4">
        <v>44771.19214496528</v>
      </c>
      <c r="D892" t="s">
        <v>1140</v>
      </c>
      <c r="E892" t="s">
        <v>129</v>
      </c>
      <c r="F892" t="s">
        <v>49</v>
      </c>
      <c r="G892" t="s">
        <v>50</v>
      </c>
      <c r="H892" t="s">
        <v>42</v>
      </c>
      <c r="I892" t="s">
        <v>21</v>
      </c>
      <c r="J892" t="s">
        <v>158</v>
      </c>
    </row>
    <row r="893" spans="1:10" x14ac:dyDescent="0.25">
      <c r="A893">
        <v>27811409</v>
      </c>
      <c r="B893" t="s">
        <v>17</v>
      </c>
      <c r="C893" s="4">
        <v>44771.192657743057</v>
      </c>
      <c r="D893" t="s">
        <v>1141</v>
      </c>
      <c r="E893" t="s">
        <v>38</v>
      </c>
      <c r="F893" t="s">
        <v>52</v>
      </c>
      <c r="G893" t="s">
        <v>229</v>
      </c>
      <c r="H893" t="s">
        <v>29</v>
      </c>
      <c r="I893" t="s">
        <v>21</v>
      </c>
      <c r="J893" t="s">
        <v>1142</v>
      </c>
    </row>
    <row r="894" spans="1:10" x14ac:dyDescent="0.25">
      <c r="A894">
        <v>27811426</v>
      </c>
      <c r="B894" t="s">
        <v>17</v>
      </c>
      <c r="C894" s="4">
        <v>44771.19327275463</v>
      </c>
      <c r="D894" t="s">
        <v>1143</v>
      </c>
      <c r="E894" t="s">
        <v>22</v>
      </c>
      <c r="F894" t="s">
        <v>23</v>
      </c>
      <c r="G894" t="s">
        <v>178</v>
      </c>
      <c r="H894" t="s">
        <v>40</v>
      </c>
      <c r="I894" t="s">
        <v>21</v>
      </c>
      <c r="J894" t="s">
        <v>1065</v>
      </c>
    </row>
    <row r="895" spans="1:10" x14ac:dyDescent="0.25">
      <c r="A895">
        <v>27811432</v>
      </c>
      <c r="B895" t="s">
        <v>17</v>
      </c>
      <c r="C895" s="4">
        <v>44771.193633113427</v>
      </c>
      <c r="D895" t="s">
        <v>1143</v>
      </c>
      <c r="E895" t="s">
        <v>22</v>
      </c>
      <c r="F895" t="s">
        <v>23</v>
      </c>
      <c r="G895" t="s">
        <v>178</v>
      </c>
      <c r="H895" t="s">
        <v>25</v>
      </c>
      <c r="I895" t="s">
        <v>21</v>
      </c>
      <c r="J895" t="s">
        <v>1065</v>
      </c>
    </row>
    <row r="896" spans="1:10" x14ac:dyDescent="0.25">
      <c r="A896">
        <v>27811443</v>
      </c>
      <c r="B896" t="s">
        <v>17</v>
      </c>
      <c r="C896" s="4">
        <v>44771.193809745368</v>
      </c>
      <c r="D896" t="s">
        <v>919</v>
      </c>
      <c r="E896" t="s">
        <v>38</v>
      </c>
      <c r="F896" t="s">
        <v>31</v>
      </c>
      <c r="G896" t="s">
        <v>168</v>
      </c>
      <c r="H896" t="s">
        <v>29</v>
      </c>
      <c r="I896" t="s">
        <v>21</v>
      </c>
      <c r="J896" t="s">
        <v>454</v>
      </c>
    </row>
    <row r="897" spans="1:10" x14ac:dyDescent="0.25">
      <c r="A897">
        <v>27811459</v>
      </c>
      <c r="B897" t="s">
        <v>17</v>
      </c>
      <c r="C897" s="4">
        <v>44771.193948402783</v>
      </c>
      <c r="D897" t="s">
        <v>1140</v>
      </c>
      <c r="E897" t="s">
        <v>129</v>
      </c>
      <c r="F897" t="s">
        <v>49</v>
      </c>
      <c r="G897" t="s">
        <v>50</v>
      </c>
      <c r="H897" t="s">
        <v>239</v>
      </c>
      <c r="I897" t="s">
        <v>21</v>
      </c>
      <c r="J897" t="s">
        <v>158</v>
      </c>
    </row>
    <row r="898" spans="1:10" x14ac:dyDescent="0.25">
      <c r="A898">
        <v>27811460</v>
      </c>
      <c r="B898" t="s">
        <v>17</v>
      </c>
      <c r="C898" s="4">
        <v>44771.193956134259</v>
      </c>
      <c r="D898" t="s">
        <v>1140</v>
      </c>
      <c r="E898" t="s">
        <v>129</v>
      </c>
      <c r="F898" t="s">
        <v>49</v>
      </c>
      <c r="G898" t="s">
        <v>50</v>
      </c>
      <c r="H898" t="s">
        <v>240</v>
      </c>
      <c r="I898" t="s">
        <v>21</v>
      </c>
      <c r="J898" t="s">
        <v>158</v>
      </c>
    </row>
    <row r="899" spans="1:10" x14ac:dyDescent="0.25">
      <c r="A899">
        <v>27811504</v>
      </c>
      <c r="B899" t="s">
        <v>17</v>
      </c>
      <c r="C899" s="4">
        <v>44771.1949346412</v>
      </c>
      <c r="D899" t="s">
        <v>1144</v>
      </c>
      <c r="E899" t="s">
        <v>38</v>
      </c>
      <c r="F899" t="s">
        <v>23</v>
      </c>
      <c r="G899" t="s">
        <v>149</v>
      </c>
      <c r="H899" t="s">
        <v>29</v>
      </c>
      <c r="I899" t="s">
        <v>21</v>
      </c>
      <c r="J899" t="s">
        <v>633</v>
      </c>
    </row>
    <row r="900" spans="1:10" x14ac:dyDescent="0.25">
      <c r="A900">
        <v>27811545</v>
      </c>
      <c r="B900" t="s">
        <v>17</v>
      </c>
      <c r="C900" s="4">
        <v>44771.195768530088</v>
      </c>
      <c r="D900" t="s">
        <v>1145</v>
      </c>
      <c r="E900" t="s">
        <v>22</v>
      </c>
      <c r="F900" t="s">
        <v>52</v>
      </c>
      <c r="G900" t="s">
        <v>234</v>
      </c>
      <c r="H900" t="s">
        <v>29</v>
      </c>
      <c r="I900" t="s">
        <v>21</v>
      </c>
      <c r="J900" t="s">
        <v>1146</v>
      </c>
    </row>
    <row r="901" spans="1:10" x14ac:dyDescent="0.25">
      <c r="A901">
        <v>27811555</v>
      </c>
      <c r="B901" t="s">
        <v>17</v>
      </c>
      <c r="C901" s="4">
        <v>44771.196013472218</v>
      </c>
      <c r="D901" t="s">
        <v>814</v>
      </c>
      <c r="E901" t="s">
        <v>38</v>
      </c>
      <c r="F901" t="s">
        <v>31</v>
      </c>
      <c r="G901" t="s">
        <v>112</v>
      </c>
      <c r="H901" t="s">
        <v>79</v>
      </c>
      <c r="I901" t="s">
        <v>21</v>
      </c>
      <c r="J901" t="s">
        <v>815</v>
      </c>
    </row>
    <row r="902" spans="1:10" x14ac:dyDescent="0.25">
      <c r="A902">
        <v>27811579</v>
      </c>
      <c r="B902" t="s">
        <v>17</v>
      </c>
      <c r="C902" s="4">
        <v>44771.196658043977</v>
      </c>
      <c r="F902" t="s">
        <v>57</v>
      </c>
      <c r="G902" t="s">
        <v>58</v>
      </c>
      <c r="H902" t="s">
        <v>67</v>
      </c>
      <c r="I902" t="s">
        <v>21</v>
      </c>
    </row>
    <row r="903" spans="1:10" x14ac:dyDescent="0.25">
      <c r="A903">
        <v>27811583</v>
      </c>
      <c r="B903" t="s">
        <v>17</v>
      </c>
      <c r="C903" s="4">
        <v>44771.196939050933</v>
      </c>
      <c r="F903" t="s">
        <v>57</v>
      </c>
      <c r="G903" t="s">
        <v>58</v>
      </c>
      <c r="H903" t="s">
        <v>68</v>
      </c>
      <c r="I903" t="s">
        <v>21</v>
      </c>
    </row>
    <row r="904" spans="1:10" x14ac:dyDescent="0.25">
      <c r="A904">
        <v>27811610</v>
      </c>
      <c r="B904" t="s">
        <v>17</v>
      </c>
      <c r="C904" s="4">
        <v>44771.197620868057</v>
      </c>
      <c r="D904" t="s">
        <v>1147</v>
      </c>
      <c r="E904" t="s">
        <v>27</v>
      </c>
      <c r="F904" t="s">
        <v>18</v>
      </c>
      <c r="G904" t="s">
        <v>273</v>
      </c>
      <c r="H904" t="s">
        <v>29</v>
      </c>
      <c r="I904" t="s">
        <v>21</v>
      </c>
      <c r="J904" t="s">
        <v>1148</v>
      </c>
    </row>
    <row r="905" spans="1:10" x14ac:dyDescent="0.25">
      <c r="A905">
        <v>27811642</v>
      </c>
      <c r="B905" t="s">
        <v>17</v>
      </c>
      <c r="C905" s="4">
        <v>44771.197968865737</v>
      </c>
      <c r="D905" t="s">
        <v>1149</v>
      </c>
      <c r="E905" t="s">
        <v>62</v>
      </c>
      <c r="F905" t="s">
        <v>57</v>
      </c>
      <c r="G905" t="s">
        <v>292</v>
      </c>
      <c r="H905" t="s">
        <v>29</v>
      </c>
      <c r="I905" t="s">
        <v>21</v>
      </c>
      <c r="J905" t="s">
        <v>1150</v>
      </c>
    </row>
    <row r="906" spans="1:10" x14ac:dyDescent="0.25">
      <c r="A906">
        <v>27817043</v>
      </c>
      <c r="B906" t="s">
        <v>17</v>
      </c>
      <c r="C906" s="4">
        <v>44771.291653981483</v>
      </c>
      <c r="D906" t="s">
        <v>1151</v>
      </c>
      <c r="E906" t="s">
        <v>62</v>
      </c>
      <c r="F906" t="s">
        <v>18</v>
      </c>
      <c r="G906" t="s">
        <v>333</v>
      </c>
      <c r="H906" t="s">
        <v>29</v>
      </c>
      <c r="I906" t="s">
        <v>21</v>
      </c>
    </row>
    <row r="907" spans="1:10" x14ac:dyDescent="0.25">
      <c r="A907">
        <v>27811682</v>
      </c>
      <c r="B907" t="s">
        <v>17</v>
      </c>
      <c r="C907" s="4">
        <v>44771.198045439807</v>
      </c>
      <c r="D907" t="s">
        <v>1140</v>
      </c>
      <c r="E907" t="s">
        <v>129</v>
      </c>
      <c r="F907" t="s">
        <v>49</v>
      </c>
      <c r="G907" t="s">
        <v>50</v>
      </c>
      <c r="H907" t="s">
        <v>40</v>
      </c>
      <c r="I907" t="s">
        <v>21</v>
      </c>
      <c r="J907" t="s">
        <v>158</v>
      </c>
    </row>
    <row r="908" spans="1:10" x14ac:dyDescent="0.25">
      <c r="A908">
        <v>27811696</v>
      </c>
      <c r="B908" t="s">
        <v>17</v>
      </c>
      <c r="C908" s="4">
        <v>44771.19806166667</v>
      </c>
      <c r="D908" t="s">
        <v>1126</v>
      </c>
      <c r="E908" t="s">
        <v>38</v>
      </c>
      <c r="F908" t="s">
        <v>31</v>
      </c>
      <c r="G908" t="s">
        <v>86</v>
      </c>
      <c r="H908" t="s">
        <v>40</v>
      </c>
      <c r="I908" t="s">
        <v>21</v>
      </c>
      <c r="J908" t="s">
        <v>1127</v>
      </c>
    </row>
    <row r="909" spans="1:10" x14ac:dyDescent="0.25">
      <c r="A909">
        <v>27811724</v>
      </c>
      <c r="B909" t="s">
        <v>17</v>
      </c>
      <c r="C909" s="4">
        <v>44771.198666249998</v>
      </c>
      <c r="D909" t="s">
        <v>1126</v>
      </c>
      <c r="E909" t="s">
        <v>38</v>
      </c>
      <c r="F909" t="s">
        <v>31</v>
      </c>
      <c r="G909" t="s">
        <v>86</v>
      </c>
      <c r="H909" t="s">
        <v>25</v>
      </c>
      <c r="I909" t="s">
        <v>21</v>
      </c>
      <c r="J909" t="s">
        <v>1127</v>
      </c>
    </row>
    <row r="910" spans="1:10" x14ac:dyDescent="0.25">
      <c r="A910">
        <v>27811741</v>
      </c>
      <c r="B910" t="s">
        <v>17</v>
      </c>
      <c r="C910" s="4">
        <v>44771.198804363426</v>
      </c>
      <c r="D910" t="s">
        <v>1140</v>
      </c>
      <c r="E910" t="s">
        <v>129</v>
      </c>
      <c r="F910" t="s">
        <v>49</v>
      </c>
      <c r="G910" t="s">
        <v>50</v>
      </c>
      <c r="H910" t="s">
        <v>25</v>
      </c>
      <c r="I910" t="s">
        <v>21</v>
      </c>
      <c r="J910" t="s">
        <v>158</v>
      </c>
    </row>
    <row r="911" spans="1:10" x14ac:dyDescent="0.25">
      <c r="A911">
        <v>27811804</v>
      </c>
      <c r="B911" t="s">
        <v>17</v>
      </c>
      <c r="C911" s="4">
        <v>44771.200495069454</v>
      </c>
      <c r="D911" t="s">
        <v>1152</v>
      </c>
      <c r="E911" t="s">
        <v>38</v>
      </c>
      <c r="F911" t="s">
        <v>31</v>
      </c>
      <c r="G911" t="s">
        <v>215</v>
      </c>
      <c r="H911" t="s">
        <v>40</v>
      </c>
      <c r="I911" t="s">
        <v>21</v>
      </c>
      <c r="J911" t="s">
        <v>136</v>
      </c>
    </row>
    <row r="912" spans="1:10" x14ac:dyDescent="0.25">
      <c r="A912">
        <v>27811841</v>
      </c>
      <c r="B912" t="s">
        <v>17</v>
      </c>
      <c r="C912" s="4">
        <v>44771.201086423607</v>
      </c>
      <c r="D912" t="s">
        <v>1152</v>
      </c>
      <c r="E912" t="s">
        <v>38</v>
      </c>
      <c r="F912" t="s">
        <v>31</v>
      </c>
      <c r="G912" t="s">
        <v>215</v>
      </c>
      <c r="H912" t="s">
        <v>25</v>
      </c>
      <c r="I912" t="s">
        <v>21</v>
      </c>
      <c r="J912" t="s">
        <v>136</v>
      </c>
    </row>
    <row r="913" spans="1:10" x14ac:dyDescent="0.25">
      <c r="A913">
        <v>27811877</v>
      </c>
      <c r="B913" t="s">
        <v>17</v>
      </c>
      <c r="C913" s="4">
        <v>44771.20168327546</v>
      </c>
      <c r="D913" t="s">
        <v>1153</v>
      </c>
      <c r="E913" t="s">
        <v>22</v>
      </c>
      <c r="F913" t="s">
        <v>23</v>
      </c>
      <c r="G913" t="s">
        <v>110</v>
      </c>
      <c r="H913" t="s">
        <v>29</v>
      </c>
      <c r="I913" t="s">
        <v>21</v>
      </c>
      <c r="J913" t="s">
        <v>1154</v>
      </c>
    </row>
    <row r="914" spans="1:10" x14ac:dyDescent="0.25">
      <c r="A914">
        <v>27811904</v>
      </c>
      <c r="B914" t="s">
        <v>17</v>
      </c>
      <c r="C914" s="4">
        <v>44771.202053564812</v>
      </c>
      <c r="D914" t="s">
        <v>1155</v>
      </c>
      <c r="E914" t="s">
        <v>22</v>
      </c>
      <c r="F914" t="s">
        <v>31</v>
      </c>
      <c r="G914" t="s">
        <v>159</v>
      </c>
      <c r="H914" t="s">
        <v>29</v>
      </c>
      <c r="I914" t="s">
        <v>21</v>
      </c>
      <c r="J914" t="s">
        <v>1156</v>
      </c>
    </row>
    <row r="915" spans="1:10" x14ac:dyDescent="0.25">
      <c r="A915">
        <v>27811930</v>
      </c>
      <c r="B915" t="s">
        <v>17</v>
      </c>
      <c r="C915" s="4">
        <v>44771.202887650463</v>
      </c>
      <c r="D915" t="s">
        <v>766</v>
      </c>
      <c r="E915" t="s">
        <v>38</v>
      </c>
      <c r="F915" t="s">
        <v>31</v>
      </c>
      <c r="G915" t="s">
        <v>150</v>
      </c>
      <c r="H915" t="s">
        <v>29</v>
      </c>
      <c r="I915" t="s">
        <v>21</v>
      </c>
      <c r="J915" t="s">
        <v>515</v>
      </c>
    </row>
    <row r="916" spans="1:10" x14ac:dyDescent="0.25">
      <c r="A916">
        <v>27811953</v>
      </c>
      <c r="B916" t="s">
        <v>17</v>
      </c>
      <c r="C916" s="4">
        <v>44771.203293032413</v>
      </c>
      <c r="D916" t="s">
        <v>1157</v>
      </c>
      <c r="E916" t="s">
        <v>38</v>
      </c>
      <c r="F916" t="s">
        <v>23</v>
      </c>
      <c r="G916" t="s">
        <v>224</v>
      </c>
      <c r="H916" t="s">
        <v>29</v>
      </c>
      <c r="I916" t="s">
        <v>21</v>
      </c>
      <c r="J916" t="s">
        <v>162</v>
      </c>
    </row>
    <row r="917" spans="1:10" x14ac:dyDescent="0.25">
      <c r="A917">
        <v>27811977</v>
      </c>
      <c r="B917" t="s">
        <v>17</v>
      </c>
      <c r="C917" s="4">
        <v>44771.203857476852</v>
      </c>
      <c r="D917" t="s">
        <v>996</v>
      </c>
      <c r="E917" t="s">
        <v>62</v>
      </c>
      <c r="F917" t="s">
        <v>57</v>
      </c>
      <c r="G917" t="s">
        <v>63</v>
      </c>
      <c r="H917" t="s">
        <v>46</v>
      </c>
      <c r="I917" t="s">
        <v>21</v>
      </c>
      <c r="J917" t="s">
        <v>169</v>
      </c>
    </row>
    <row r="918" spans="1:10" x14ac:dyDescent="0.25">
      <c r="A918">
        <v>27811983</v>
      </c>
      <c r="B918" t="s">
        <v>17</v>
      </c>
      <c r="C918" s="4">
        <v>44771.204145891214</v>
      </c>
      <c r="F918" t="s">
        <v>57</v>
      </c>
      <c r="G918" t="s">
        <v>63</v>
      </c>
      <c r="H918" t="s">
        <v>47</v>
      </c>
      <c r="I918" t="s">
        <v>21</v>
      </c>
    </row>
    <row r="919" spans="1:10" x14ac:dyDescent="0.25">
      <c r="A919">
        <v>27812047</v>
      </c>
      <c r="B919" t="s">
        <v>17</v>
      </c>
      <c r="C919" s="4">
        <v>44771.205223900462</v>
      </c>
      <c r="D919" t="s">
        <v>1158</v>
      </c>
      <c r="E919" t="s">
        <v>72</v>
      </c>
      <c r="F919" t="s">
        <v>49</v>
      </c>
      <c r="G919" t="s">
        <v>74</v>
      </c>
      <c r="H919" t="s">
        <v>42</v>
      </c>
      <c r="I919" t="s">
        <v>21</v>
      </c>
      <c r="J919" t="s">
        <v>171</v>
      </c>
    </row>
    <row r="920" spans="1:10" x14ac:dyDescent="0.25">
      <c r="A920">
        <v>27812091</v>
      </c>
      <c r="B920" t="s">
        <v>17</v>
      </c>
      <c r="C920" s="4">
        <v>44771.206247523151</v>
      </c>
      <c r="D920" t="s">
        <v>1124</v>
      </c>
      <c r="E920" t="s">
        <v>417</v>
      </c>
      <c r="F920" t="s">
        <v>18</v>
      </c>
      <c r="G920" t="s">
        <v>418</v>
      </c>
      <c r="H920" t="s">
        <v>46</v>
      </c>
      <c r="I920" t="s">
        <v>21</v>
      </c>
    </row>
    <row r="921" spans="1:10" x14ac:dyDescent="0.25">
      <c r="A921">
        <v>27812097</v>
      </c>
      <c r="B921" t="s">
        <v>17</v>
      </c>
      <c r="C921" s="4">
        <v>44771.206514953701</v>
      </c>
      <c r="F921" t="s">
        <v>31</v>
      </c>
      <c r="G921" t="s">
        <v>112</v>
      </c>
      <c r="H921" t="s">
        <v>116</v>
      </c>
      <c r="I921" t="s">
        <v>21</v>
      </c>
    </row>
    <row r="922" spans="1:10" x14ac:dyDescent="0.25">
      <c r="A922">
        <v>27812108</v>
      </c>
      <c r="B922" t="s">
        <v>17</v>
      </c>
      <c r="C922" s="4">
        <v>44771.20680284722</v>
      </c>
      <c r="D922" t="s">
        <v>1158</v>
      </c>
      <c r="E922" t="s">
        <v>72</v>
      </c>
      <c r="F922" t="s">
        <v>49</v>
      </c>
      <c r="G922" t="s">
        <v>74</v>
      </c>
      <c r="H922" t="s">
        <v>239</v>
      </c>
      <c r="I922" t="s">
        <v>21</v>
      </c>
      <c r="J922" t="s">
        <v>171</v>
      </c>
    </row>
    <row r="923" spans="1:10" x14ac:dyDescent="0.25">
      <c r="A923">
        <v>27812109</v>
      </c>
      <c r="B923" t="s">
        <v>17</v>
      </c>
      <c r="C923" s="4">
        <v>44771.206809583331</v>
      </c>
      <c r="D923" t="s">
        <v>1158</v>
      </c>
      <c r="E923" t="s">
        <v>72</v>
      </c>
      <c r="F923" t="s">
        <v>49</v>
      </c>
      <c r="G923" t="s">
        <v>74</v>
      </c>
      <c r="H923" t="s">
        <v>240</v>
      </c>
      <c r="I923" t="s">
        <v>21</v>
      </c>
      <c r="J923" t="s">
        <v>171</v>
      </c>
    </row>
    <row r="924" spans="1:10" x14ac:dyDescent="0.25">
      <c r="A924">
        <v>27812145</v>
      </c>
      <c r="B924" t="s">
        <v>17</v>
      </c>
      <c r="C924" s="4">
        <v>44771.2076084375</v>
      </c>
      <c r="E924" t="s">
        <v>38</v>
      </c>
      <c r="F924" t="s">
        <v>55</v>
      </c>
      <c r="G924" t="s">
        <v>403</v>
      </c>
      <c r="H924" t="s">
        <v>29</v>
      </c>
      <c r="I924" t="s">
        <v>21</v>
      </c>
    </row>
    <row r="925" spans="1:10" x14ac:dyDescent="0.25">
      <c r="A925">
        <v>27812149</v>
      </c>
      <c r="B925" t="s">
        <v>17</v>
      </c>
      <c r="C925" s="4">
        <v>44771.207667800933</v>
      </c>
      <c r="D925" t="s">
        <v>1159</v>
      </c>
      <c r="E925" t="s">
        <v>38</v>
      </c>
      <c r="F925" t="s">
        <v>55</v>
      </c>
      <c r="G925" t="s">
        <v>403</v>
      </c>
      <c r="H925" t="s">
        <v>42</v>
      </c>
      <c r="I925" t="s">
        <v>21</v>
      </c>
      <c r="J925" t="s">
        <v>545</v>
      </c>
    </row>
    <row r="926" spans="1:10" x14ac:dyDescent="0.25">
      <c r="A926">
        <v>27812152</v>
      </c>
      <c r="B926" t="s">
        <v>17</v>
      </c>
      <c r="C926" s="4">
        <v>44771.207671504628</v>
      </c>
      <c r="E926" t="s">
        <v>38</v>
      </c>
      <c r="F926" t="s">
        <v>55</v>
      </c>
      <c r="G926" t="s">
        <v>403</v>
      </c>
      <c r="H926" t="s">
        <v>232</v>
      </c>
      <c r="I926" t="s">
        <v>21</v>
      </c>
      <c r="J926" t="s">
        <v>545</v>
      </c>
    </row>
    <row r="927" spans="1:10" x14ac:dyDescent="0.25">
      <c r="A927">
        <v>27812180</v>
      </c>
      <c r="B927" t="s">
        <v>17</v>
      </c>
      <c r="C927" s="4">
        <v>44771.207943935187</v>
      </c>
      <c r="D927" t="s">
        <v>1160</v>
      </c>
      <c r="E927" t="s">
        <v>62</v>
      </c>
      <c r="F927" t="s">
        <v>49</v>
      </c>
      <c r="G927" t="s">
        <v>50</v>
      </c>
      <c r="H927" t="s">
        <v>42</v>
      </c>
      <c r="I927" t="s">
        <v>21</v>
      </c>
      <c r="J927" t="s">
        <v>264</v>
      </c>
    </row>
    <row r="928" spans="1:10" x14ac:dyDescent="0.25">
      <c r="A928">
        <v>27812185</v>
      </c>
      <c r="B928" t="s">
        <v>17</v>
      </c>
      <c r="C928" s="4">
        <v>44771.208051157409</v>
      </c>
      <c r="F928" t="s">
        <v>18</v>
      </c>
      <c r="G928" t="s">
        <v>418</v>
      </c>
      <c r="H928" t="s">
        <v>47</v>
      </c>
      <c r="I928" t="s">
        <v>21</v>
      </c>
    </row>
    <row r="929" spans="1:10" x14ac:dyDescent="0.25">
      <c r="A929">
        <v>27812190</v>
      </c>
      <c r="B929" t="s">
        <v>17</v>
      </c>
      <c r="C929" s="4">
        <v>44771.208134421293</v>
      </c>
      <c r="D929" t="s">
        <v>1161</v>
      </c>
      <c r="E929" t="s">
        <v>38</v>
      </c>
      <c r="F929" t="s">
        <v>31</v>
      </c>
      <c r="G929" t="s">
        <v>141</v>
      </c>
      <c r="H929" t="s">
        <v>29</v>
      </c>
      <c r="I929" t="s">
        <v>21</v>
      </c>
      <c r="J929" t="s">
        <v>1162</v>
      </c>
    </row>
    <row r="930" spans="1:10" x14ac:dyDescent="0.25">
      <c r="A930">
        <v>27812196</v>
      </c>
      <c r="B930" t="s">
        <v>17</v>
      </c>
      <c r="C930" s="4">
        <v>44771.208169641213</v>
      </c>
      <c r="D930" t="s">
        <v>1160</v>
      </c>
      <c r="E930" t="s">
        <v>62</v>
      </c>
      <c r="F930" t="s">
        <v>49</v>
      </c>
      <c r="G930" t="s">
        <v>50</v>
      </c>
      <c r="H930" t="s">
        <v>239</v>
      </c>
      <c r="I930" t="s">
        <v>21</v>
      </c>
      <c r="J930" t="s">
        <v>264</v>
      </c>
    </row>
    <row r="931" spans="1:10" x14ac:dyDescent="0.25">
      <c r="A931">
        <v>27812197</v>
      </c>
      <c r="B931" t="s">
        <v>17</v>
      </c>
      <c r="C931" s="4">
        <v>44771.208180208327</v>
      </c>
      <c r="D931" t="s">
        <v>1160</v>
      </c>
      <c r="E931" t="s">
        <v>62</v>
      </c>
      <c r="F931" t="s">
        <v>49</v>
      </c>
      <c r="G931" t="s">
        <v>50</v>
      </c>
      <c r="H931" t="s">
        <v>240</v>
      </c>
      <c r="I931" t="s">
        <v>21</v>
      </c>
      <c r="J931" t="s">
        <v>264</v>
      </c>
    </row>
    <row r="932" spans="1:10" x14ac:dyDescent="0.25">
      <c r="A932">
        <v>27812202</v>
      </c>
      <c r="B932" t="s">
        <v>17</v>
      </c>
      <c r="C932" s="4">
        <v>44771.208306354158</v>
      </c>
      <c r="D932" t="s">
        <v>1163</v>
      </c>
      <c r="E932" t="s">
        <v>38</v>
      </c>
      <c r="F932" t="s">
        <v>52</v>
      </c>
      <c r="G932" t="s">
        <v>220</v>
      </c>
      <c r="H932" t="s">
        <v>29</v>
      </c>
      <c r="I932" t="s">
        <v>21</v>
      </c>
      <c r="J932" t="s">
        <v>1164</v>
      </c>
    </row>
    <row r="933" spans="1:10" x14ac:dyDescent="0.25">
      <c r="A933">
        <v>27812283</v>
      </c>
      <c r="B933" t="s">
        <v>17</v>
      </c>
      <c r="C933" s="4">
        <v>44771.209089386582</v>
      </c>
      <c r="D933" t="s">
        <v>1165</v>
      </c>
      <c r="E933" t="s">
        <v>38</v>
      </c>
      <c r="F933" t="s">
        <v>23</v>
      </c>
      <c r="G933" t="s">
        <v>337</v>
      </c>
      <c r="H933" t="s">
        <v>29</v>
      </c>
      <c r="I933" t="s">
        <v>21</v>
      </c>
      <c r="J933" t="s">
        <v>151</v>
      </c>
    </row>
    <row r="934" spans="1:10" x14ac:dyDescent="0.25">
      <c r="A934">
        <v>27817101</v>
      </c>
      <c r="B934" t="s">
        <v>17</v>
      </c>
      <c r="C934" s="4">
        <v>44771.292594756953</v>
      </c>
      <c r="F934" t="s">
        <v>52</v>
      </c>
      <c r="G934" t="s">
        <v>69</v>
      </c>
      <c r="H934" t="s">
        <v>195</v>
      </c>
      <c r="I934" t="s">
        <v>21</v>
      </c>
    </row>
    <row r="935" spans="1:10" x14ac:dyDescent="0.25">
      <c r="A935">
        <v>27812290</v>
      </c>
      <c r="B935" t="s">
        <v>17</v>
      </c>
      <c r="C935" s="4">
        <v>44771.209101273147</v>
      </c>
      <c r="D935" t="s">
        <v>1166</v>
      </c>
      <c r="E935" t="s">
        <v>72</v>
      </c>
      <c r="F935" t="s">
        <v>49</v>
      </c>
      <c r="G935" t="s">
        <v>359</v>
      </c>
      <c r="H935" t="s">
        <v>42</v>
      </c>
      <c r="I935" t="s">
        <v>21</v>
      </c>
      <c r="J935" t="s">
        <v>1167</v>
      </c>
    </row>
    <row r="936" spans="1:10" x14ac:dyDescent="0.25">
      <c r="A936">
        <v>27812347</v>
      </c>
      <c r="B936" t="s">
        <v>17</v>
      </c>
      <c r="C936" s="4">
        <v>44771.210316539349</v>
      </c>
      <c r="D936" t="s">
        <v>1168</v>
      </c>
      <c r="E936" t="s">
        <v>72</v>
      </c>
      <c r="F936" t="s">
        <v>49</v>
      </c>
      <c r="G936" t="s">
        <v>250</v>
      </c>
      <c r="H936" t="s">
        <v>42</v>
      </c>
      <c r="I936" t="s">
        <v>21</v>
      </c>
      <c r="J936" t="s">
        <v>1169</v>
      </c>
    </row>
    <row r="937" spans="1:10" x14ac:dyDescent="0.25">
      <c r="A937">
        <v>27812359</v>
      </c>
      <c r="B937" t="s">
        <v>17</v>
      </c>
      <c r="C937" s="4">
        <v>44771.210811354169</v>
      </c>
      <c r="F937" t="s">
        <v>49</v>
      </c>
      <c r="G937" t="s">
        <v>106</v>
      </c>
      <c r="H937" t="s">
        <v>67</v>
      </c>
      <c r="I937" t="s">
        <v>21</v>
      </c>
    </row>
    <row r="938" spans="1:10" x14ac:dyDescent="0.25">
      <c r="A938">
        <v>27812361</v>
      </c>
      <c r="B938" t="s">
        <v>17</v>
      </c>
      <c r="C938" s="4">
        <v>44771.210837175917</v>
      </c>
      <c r="D938" t="s">
        <v>1170</v>
      </c>
      <c r="E938" t="s">
        <v>38</v>
      </c>
      <c r="F938" t="s">
        <v>23</v>
      </c>
      <c r="G938" t="s">
        <v>355</v>
      </c>
      <c r="H938" t="s">
        <v>29</v>
      </c>
      <c r="I938" t="s">
        <v>21</v>
      </c>
      <c r="J938" t="s">
        <v>173</v>
      </c>
    </row>
    <row r="939" spans="1:10" x14ac:dyDescent="0.25">
      <c r="A939">
        <v>27812383</v>
      </c>
      <c r="B939" t="s">
        <v>17</v>
      </c>
      <c r="C939" s="4">
        <v>44771.211447696762</v>
      </c>
      <c r="D939" t="s">
        <v>721</v>
      </c>
      <c r="E939" t="s">
        <v>22</v>
      </c>
      <c r="F939" t="s">
        <v>49</v>
      </c>
      <c r="G939" t="s">
        <v>132</v>
      </c>
      <c r="H939" t="s">
        <v>29</v>
      </c>
      <c r="I939" t="s">
        <v>21</v>
      </c>
    </row>
    <row r="940" spans="1:10" x14ac:dyDescent="0.25">
      <c r="A940">
        <v>27812435</v>
      </c>
      <c r="B940" t="s">
        <v>17</v>
      </c>
      <c r="C940" s="4">
        <v>44771.211944918978</v>
      </c>
      <c r="F940" t="s">
        <v>23</v>
      </c>
      <c r="G940" t="s">
        <v>337</v>
      </c>
      <c r="H940" t="s">
        <v>20</v>
      </c>
      <c r="I940" t="s">
        <v>21</v>
      </c>
    </row>
    <row r="941" spans="1:10" x14ac:dyDescent="0.25">
      <c r="A941">
        <v>27812440</v>
      </c>
      <c r="B941" t="s">
        <v>17</v>
      </c>
      <c r="C941" s="4">
        <v>44771.211994722224</v>
      </c>
      <c r="E941" t="s">
        <v>38</v>
      </c>
      <c r="F941" t="s">
        <v>23</v>
      </c>
      <c r="G941" t="s">
        <v>337</v>
      </c>
      <c r="H941" t="s">
        <v>118</v>
      </c>
      <c r="I941" t="s">
        <v>36</v>
      </c>
    </row>
    <row r="942" spans="1:10" x14ac:dyDescent="0.25">
      <c r="A942">
        <v>27812450</v>
      </c>
      <c r="B942" t="s">
        <v>17</v>
      </c>
      <c r="C942" s="4">
        <v>44771.212090752313</v>
      </c>
      <c r="D942" t="s">
        <v>1171</v>
      </c>
      <c r="E942" t="s">
        <v>38</v>
      </c>
      <c r="F942" t="s">
        <v>31</v>
      </c>
      <c r="G942" t="s">
        <v>133</v>
      </c>
      <c r="H942" t="s">
        <v>29</v>
      </c>
      <c r="I942" t="s">
        <v>21</v>
      </c>
      <c r="J942" t="s">
        <v>1172</v>
      </c>
    </row>
    <row r="943" spans="1:10" x14ac:dyDescent="0.25">
      <c r="A943">
        <v>27812459</v>
      </c>
      <c r="B943" t="s">
        <v>17</v>
      </c>
      <c r="C943" s="4">
        <v>44771.212189849539</v>
      </c>
      <c r="F943" t="s">
        <v>23</v>
      </c>
      <c r="G943" t="s">
        <v>149</v>
      </c>
      <c r="H943" t="s">
        <v>20</v>
      </c>
      <c r="I943" t="s">
        <v>21</v>
      </c>
    </row>
    <row r="944" spans="1:10" x14ac:dyDescent="0.25">
      <c r="A944">
        <v>27812476</v>
      </c>
      <c r="B944" t="s">
        <v>17</v>
      </c>
      <c r="C944" s="4">
        <v>44771.212409756947</v>
      </c>
      <c r="E944" t="s">
        <v>38</v>
      </c>
      <c r="F944" t="s">
        <v>23</v>
      </c>
      <c r="G944" t="s">
        <v>337</v>
      </c>
      <c r="H944" t="s">
        <v>122</v>
      </c>
      <c r="I944" t="s">
        <v>36</v>
      </c>
    </row>
    <row r="945" spans="1:10" x14ac:dyDescent="0.25">
      <c r="A945">
        <v>27812488</v>
      </c>
      <c r="B945" t="s">
        <v>17</v>
      </c>
      <c r="C945" s="4">
        <v>44771.212465104167</v>
      </c>
      <c r="F945" t="s">
        <v>23</v>
      </c>
      <c r="G945" t="s">
        <v>337</v>
      </c>
      <c r="H945" t="s">
        <v>20</v>
      </c>
      <c r="I945" t="s">
        <v>21</v>
      </c>
    </row>
    <row r="946" spans="1:10" x14ac:dyDescent="0.25">
      <c r="A946">
        <v>27812490</v>
      </c>
      <c r="B946" t="s">
        <v>17</v>
      </c>
      <c r="C946" s="4">
        <v>44771.212492870371</v>
      </c>
      <c r="D946" t="s">
        <v>852</v>
      </c>
      <c r="E946" t="s">
        <v>38</v>
      </c>
      <c r="F946" t="s">
        <v>23</v>
      </c>
      <c r="G946" t="s">
        <v>337</v>
      </c>
      <c r="H946" t="s">
        <v>118</v>
      </c>
      <c r="I946" t="s">
        <v>36</v>
      </c>
      <c r="J946" t="s">
        <v>853</v>
      </c>
    </row>
    <row r="947" spans="1:10" x14ac:dyDescent="0.25">
      <c r="A947">
        <v>27812511</v>
      </c>
      <c r="B947" t="s">
        <v>17</v>
      </c>
      <c r="C947" s="4">
        <v>44771.212862453707</v>
      </c>
      <c r="D947" t="s">
        <v>1173</v>
      </c>
      <c r="E947" t="s">
        <v>62</v>
      </c>
      <c r="F947" t="s">
        <v>57</v>
      </c>
      <c r="G947" t="s">
        <v>292</v>
      </c>
      <c r="H947" t="s">
        <v>42</v>
      </c>
      <c r="I947" t="s">
        <v>21</v>
      </c>
      <c r="J947" t="s">
        <v>1174</v>
      </c>
    </row>
    <row r="948" spans="1:10" x14ac:dyDescent="0.25">
      <c r="A948">
        <v>27812513</v>
      </c>
      <c r="B948" t="s">
        <v>17</v>
      </c>
      <c r="C948" s="4">
        <v>44771.212867835653</v>
      </c>
      <c r="D948" t="s">
        <v>1166</v>
      </c>
      <c r="E948" t="s">
        <v>72</v>
      </c>
      <c r="F948" t="s">
        <v>49</v>
      </c>
      <c r="G948" t="s">
        <v>359</v>
      </c>
      <c r="H948" t="s">
        <v>239</v>
      </c>
      <c r="I948" t="s">
        <v>21</v>
      </c>
      <c r="J948" t="s">
        <v>1167</v>
      </c>
    </row>
    <row r="949" spans="1:10" x14ac:dyDescent="0.25">
      <c r="A949">
        <v>27812514</v>
      </c>
      <c r="B949" t="s">
        <v>17</v>
      </c>
      <c r="C949" s="4">
        <v>44771.212874641213</v>
      </c>
      <c r="D949" t="s">
        <v>1166</v>
      </c>
      <c r="E949" t="s">
        <v>72</v>
      </c>
      <c r="F949" t="s">
        <v>49</v>
      </c>
      <c r="G949" t="s">
        <v>359</v>
      </c>
      <c r="H949" t="s">
        <v>240</v>
      </c>
      <c r="I949" t="s">
        <v>21</v>
      </c>
      <c r="J949" t="s">
        <v>1167</v>
      </c>
    </row>
    <row r="950" spans="1:10" x14ac:dyDescent="0.25">
      <c r="A950">
        <v>27812522</v>
      </c>
      <c r="B950" t="s">
        <v>17</v>
      </c>
      <c r="C950" s="4">
        <v>44771.213097048611</v>
      </c>
      <c r="D950" t="s">
        <v>1175</v>
      </c>
      <c r="E950" t="s">
        <v>62</v>
      </c>
      <c r="F950" t="s">
        <v>57</v>
      </c>
      <c r="G950" t="s">
        <v>88</v>
      </c>
      <c r="H950" t="s">
        <v>29</v>
      </c>
      <c r="I950" t="s">
        <v>21</v>
      </c>
      <c r="J950" t="s">
        <v>1176</v>
      </c>
    </row>
    <row r="951" spans="1:10" x14ac:dyDescent="0.25">
      <c r="A951">
        <v>27812531</v>
      </c>
      <c r="B951" t="s">
        <v>17</v>
      </c>
      <c r="C951" s="4">
        <v>44771.213217256947</v>
      </c>
      <c r="F951" t="s">
        <v>49</v>
      </c>
      <c r="G951" t="s">
        <v>106</v>
      </c>
      <c r="H951" t="s">
        <v>68</v>
      </c>
      <c r="I951" t="s">
        <v>21</v>
      </c>
    </row>
    <row r="952" spans="1:10" x14ac:dyDescent="0.25">
      <c r="A952">
        <v>27812544</v>
      </c>
      <c r="B952" t="s">
        <v>17</v>
      </c>
      <c r="C952" s="4">
        <v>44771.213539629629</v>
      </c>
      <c r="D952" t="s">
        <v>996</v>
      </c>
      <c r="E952" t="s">
        <v>62</v>
      </c>
      <c r="F952" t="s">
        <v>57</v>
      </c>
      <c r="G952" t="s">
        <v>63</v>
      </c>
      <c r="H952" t="s">
        <v>29</v>
      </c>
      <c r="I952" t="s">
        <v>21</v>
      </c>
      <c r="J952" t="s">
        <v>169</v>
      </c>
    </row>
    <row r="953" spans="1:10" x14ac:dyDescent="0.25">
      <c r="A953">
        <v>27812565</v>
      </c>
      <c r="B953" t="s">
        <v>17</v>
      </c>
      <c r="C953" s="4">
        <v>44771.214235370368</v>
      </c>
      <c r="D953" t="s">
        <v>1177</v>
      </c>
      <c r="E953" t="s">
        <v>38</v>
      </c>
      <c r="F953" t="s">
        <v>55</v>
      </c>
      <c r="G953" t="s">
        <v>211</v>
      </c>
      <c r="H953" t="s">
        <v>29</v>
      </c>
      <c r="I953" t="s">
        <v>21</v>
      </c>
    </row>
    <row r="954" spans="1:10" x14ac:dyDescent="0.25">
      <c r="A954">
        <v>27812604</v>
      </c>
      <c r="B954" t="s">
        <v>17</v>
      </c>
      <c r="C954" s="4">
        <v>44771.214968472217</v>
      </c>
      <c r="D954" t="s">
        <v>1168</v>
      </c>
      <c r="E954" t="s">
        <v>72</v>
      </c>
      <c r="F954" t="s">
        <v>49</v>
      </c>
      <c r="G954" t="s">
        <v>250</v>
      </c>
      <c r="H954" t="s">
        <v>54</v>
      </c>
      <c r="I954" t="s">
        <v>21</v>
      </c>
      <c r="J954" t="s">
        <v>1169</v>
      </c>
    </row>
    <row r="955" spans="1:10" x14ac:dyDescent="0.25">
      <c r="A955">
        <v>27812609</v>
      </c>
      <c r="B955" t="s">
        <v>17</v>
      </c>
      <c r="C955" s="4">
        <v>44771.215037650472</v>
      </c>
      <c r="D955" t="s">
        <v>1178</v>
      </c>
      <c r="E955" t="s">
        <v>38</v>
      </c>
      <c r="F955" t="s">
        <v>55</v>
      </c>
      <c r="G955" t="s">
        <v>167</v>
      </c>
      <c r="H955" t="s">
        <v>29</v>
      </c>
      <c r="I955" t="s">
        <v>21</v>
      </c>
      <c r="J955" t="s">
        <v>448</v>
      </c>
    </row>
    <row r="956" spans="1:10" x14ac:dyDescent="0.25">
      <c r="A956">
        <v>27812636</v>
      </c>
      <c r="B956" t="s">
        <v>17</v>
      </c>
      <c r="C956" s="4">
        <v>44771.215317013892</v>
      </c>
      <c r="D956" t="s">
        <v>852</v>
      </c>
      <c r="E956" t="s">
        <v>38</v>
      </c>
      <c r="F956" t="s">
        <v>23</v>
      </c>
      <c r="G956" t="s">
        <v>337</v>
      </c>
      <c r="H956" t="s">
        <v>122</v>
      </c>
      <c r="I956" t="s">
        <v>36</v>
      </c>
      <c r="J956" t="s">
        <v>853</v>
      </c>
    </row>
    <row r="957" spans="1:10" x14ac:dyDescent="0.25">
      <c r="A957">
        <v>27812641</v>
      </c>
      <c r="B957" t="s">
        <v>17</v>
      </c>
      <c r="C957" s="4">
        <v>44771.215368472222</v>
      </c>
      <c r="D957" t="s">
        <v>1179</v>
      </c>
      <c r="E957" t="s">
        <v>27</v>
      </c>
      <c r="F957" t="s">
        <v>18</v>
      </c>
      <c r="G957" t="s">
        <v>19</v>
      </c>
      <c r="H957" t="s">
        <v>29</v>
      </c>
      <c r="I957" t="s">
        <v>21</v>
      </c>
      <c r="J957" t="s">
        <v>1180</v>
      </c>
    </row>
    <row r="958" spans="1:10" x14ac:dyDescent="0.25">
      <c r="A958">
        <v>27817140</v>
      </c>
      <c r="B958" t="s">
        <v>17</v>
      </c>
      <c r="C958" s="4">
        <v>44771.293247754627</v>
      </c>
      <c r="D958" t="s">
        <v>1181</v>
      </c>
      <c r="E958" t="s">
        <v>30</v>
      </c>
      <c r="F958" t="s">
        <v>31</v>
      </c>
      <c r="G958" t="s">
        <v>161</v>
      </c>
      <c r="H958" t="s">
        <v>42</v>
      </c>
      <c r="I958" t="s">
        <v>21</v>
      </c>
      <c r="J958" t="s">
        <v>60</v>
      </c>
    </row>
    <row r="959" spans="1:10" x14ac:dyDescent="0.25">
      <c r="A959">
        <v>27812674</v>
      </c>
      <c r="B959" t="s">
        <v>17</v>
      </c>
      <c r="C959" s="4">
        <v>44771.215790775474</v>
      </c>
      <c r="D959" t="s">
        <v>1158</v>
      </c>
      <c r="E959" t="s">
        <v>72</v>
      </c>
      <c r="F959" t="s">
        <v>49</v>
      </c>
      <c r="G959" t="s">
        <v>74</v>
      </c>
      <c r="H959" t="s">
        <v>40</v>
      </c>
      <c r="I959" t="s">
        <v>21</v>
      </c>
      <c r="J959" t="s">
        <v>171</v>
      </c>
    </row>
    <row r="960" spans="1:10" x14ac:dyDescent="0.25">
      <c r="A960">
        <v>27812703</v>
      </c>
      <c r="B960" t="s">
        <v>17</v>
      </c>
      <c r="C960" s="4">
        <v>44771.216701620368</v>
      </c>
      <c r="D960" t="s">
        <v>1182</v>
      </c>
      <c r="E960" t="s">
        <v>27</v>
      </c>
      <c r="F960" t="s">
        <v>18</v>
      </c>
      <c r="G960" t="s">
        <v>154</v>
      </c>
      <c r="H960" t="s">
        <v>29</v>
      </c>
      <c r="I960" t="s">
        <v>21</v>
      </c>
      <c r="J960" t="s">
        <v>1183</v>
      </c>
    </row>
    <row r="961" spans="1:10" x14ac:dyDescent="0.25">
      <c r="A961">
        <v>27812724</v>
      </c>
      <c r="B961" t="s">
        <v>17</v>
      </c>
      <c r="C961" s="4">
        <v>44771.216816111111</v>
      </c>
      <c r="D961" t="s">
        <v>1158</v>
      </c>
      <c r="E961" t="s">
        <v>72</v>
      </c>
      <c r="F961" t="s">
        <v>49</v>
      </c>
      <c r="G961" t="s">
        <v>74</v>
      </c>
      <c r="H961" t="s">
        <v>25</v>
      </c>
      <c r="I961" t="s">
        <v>21</v>
      </c>
      <c r="J961" t="s">
        <v>171</v>
      </c>
    </row>
    <row r="962" spans="1:10" x14ac:dyDescent="0.25">
      <c r="A962">
        <v>27812751</v>
      </c>
      <c r="B962" t="s">
        <v>17</v>
      </c>
      <c r="C962" s="4">
        <v>44771.217087245372</v>
      </c>
      <c r="D962" t="s">
        <v>1184</v>
      </c>
      <c r="E962" t="s">
        <v>129</v>
      </c>
      <c r="F962" t="s">
        <v>49</v>
      </c>
      <c r="G962" t="s">
        <v>192</v>
      </c>
      <c r="H962" t="s">
        <v>42</v>
      </c>
      <c r="I962" t="s">
        <v>21</v>
      </c>
      <c r="J962" t="s">
        <v>174</v>
      </c>
    </row>
    <row r="963" spans="1:10" x14ac:dyDescent="0.25">
      <c r="A963">
        <v>27812763</v>
      </c>
      <c r="B963" t="s">
        <v>17</v>
      </c>
      <c r="C963" s="4">
        <v>44771.217203912027</v>
      </c>
      <c r="D963" t="s">
        <v>1160</v>
      </c>
      <c r="E963" t="s">
        <v>62</v>
      </c>
      <c r="F963" t="s">
        <v>49</v>
      </c>
      <c r="G963" t="s">
        <v>50</v>
      </c>
      <c r="H963" t="s">
        <v>40</v>
      </c>
      <c r="I963" t="s">
        <v>21</v>
      </c>
      <c r="J963" t="s">
        <v>264</v>
      </c>
    </row>
    <row r="964" spans="1:10" x14ac:dyDescent="0.25">
      <c r="A964">
        <v>27812764</v>
      </c>
      <c r="B964" t="s">
        <v>17</v>
      </c>
      <c r="C964" s="4">
        <v>44771.217325532409</v>
      </c>
      <c r="D964" t="s">
        <v>1185</v>
      </c>
      <c r="E964" t="s">
        <v>38</v>
      </c>
      <c r="F964" t="s">
        <v>52</v>
      </c>
      <c r="G964" t="s">
        <v>91</v>
      </c>
      <c r="H964" t="s">
        <v>29</v>
      </c>
      <c r="I964" t="s">
        <v>21</v>
      </c>
      <c r="J964" t="s">
        <v>1186</v>
      </c>
    </row>
    <row r="965" spans="1:10" x14ac:dyDescent="0.25">
      <c r="A965">
        <v>27817155</v>
      </c>
      <c r="B965" t="s">
        <v>17</v>
      </c>
      <c r="C965" s="4">
        <v>44771.293526701389</v>
      </c>
      <c r="D965" t="s">
        <v>1187</v>
      </c>
      <c r="E965" t="s">
        <v>62</v>
      </c>
      <c r="F965" t="s">
        <v>49</v>
      </c>
      <c r="G965" t="s">
        <v>132</v>
      </c>
      <c r="H965" t="s">
        <v>29</v>
      </c>
      <c r="I965" t="s">
        <v>21</v>
      </c>
      <c r="J965" t="s">
        <v>1188</v>
      </c>
    </row>
    <row r="966" spans="1:10" x14ac:dyDescent="0.25">
      <c r="A966">
        <v>27812780</v>
      </c>
      <c r="B966" t="s">
        <v>17</v>
      </c>
      <c r="C966" s="4">
        <v>44771.217464791669</v>
      </c>
      <c r="D966" t="s">
        <v>1184</v>
      </c>
      <c r="E966" t="s">
        <v>129</v>
      </c>
      <c r="F966" t="s">
        <v>49</v>
      </c>
      <c r="G966" t="s">
        <v>192</v>
      </c>
      <c r="H966" t="s">
        <v>54</v>
      </c>
      <c r="I966" t="s">
        <v>21</v>
      </c>
      <c r="J966" t="s">
        <v>174</v>
      </c>
    </row>
    <row r="967" spans="1:10" x14ac:dyDescent="0.25">
      <c r="A967">
        <v>27812784</v>
      </c>
      <c r="B967" t="s">
        <v>17</v>
      </c>
      <c r="C967" s="4">
        <v>44771.217604664351</v>
      </c>
      <c r="D967" t="s">
        <v>1160</v>
      </c>
      <c r="E967" t="s">
        <v>62</v>
      </c>
      <c r="F967" t="s">
        <v>49</v>
      </c>
      <c r="G967" t="s">
        <v>50</v>
      </c>
      <c r="H967" t="s">
        <v>25</v>
      </c>
      <c r="I967" t="s">
        <v>21</v>
      </c>
      <c r="J967" t="s">
        <v>264</v>
      </c>
    </row>
    <row r="968" spans="1:10" x14ac:dyDescent="0.25">
      <c r="A968">
        <v>27812867</v>
      </c>
      <c r="B968" t="s">
        <v>17</v>
      </c>
      <c r="C968" s="4">
        <v>44771.218933587959</v>
      </c>
      <c r="F968" t="s">
        <v>52</v>
      </c>
      <c r="G968" t="s">
        <v>234</v>
      </c>
      <c r="H968" t="s">
        <v>20</v>
      </c>
      <c r="I968" t="s">
        <v>21</v>
      </c>
    </row>
    <row r="969" spans="1:10" x14ac:dyDescent="0.25">
      <c r="A969">
        <v>27812880</v>
      </c>
      <c r="B969" t="s">
        <v>17</v>
      </c>
      <c r="C969" s="4">
        <v>44771.219055092603</v>
      </c>
      <c r="D969" t="s">
        <v>1189</v>
      </c>
      <c r="E969" t="s">
        <v>387</v>
      </c>
      <c r="F969" t="s">
        <v>18</v>
      </c>
      <c r="G969" t="s">
        <v>271</v>
      </c>
      <c r="H969" t="s">
        <v>42</v>
      </c>
      <c r="I969" t="s">
        <v>21</v>
      </c>
      <c r="J969" t="s">
        <v>1190</v>
      </c>
    </row>
    <row r="970" spans="1:10" x14ac:dyDescent="0.25">
      <c r="A970">
        <v>27812887</v>
      </c>
      <c r="B970" t="s">
        <v>17</v>
      </c>
      <c r="C970" s="4">
        <v>44771.219119027781</v>
      </c>
      <c r="D970" t="s">
        <v>1189</v>
      </c>
      <c r="E970" t="s">
        <v>387</v>
      </c>
      <c r="F970" t="s">
        <v>18</v>
      </c>
      <c r="G970" t="s">
        <v>271</v>
      </c>
      <c r="H970" t="s">
        <v>54</v>
      </c>
      <c r="I970" t="s">
        <v>21</v>
      </c>
      <c r="J970" t="s">
        <v>1190</v>
      </c>
    </row>
    <row r="971" spans="1:10" x14ac:dyDescent="0.25">
      <c r="A971">
        <v>27812908</v>
      </c>
      <c r="B971" t="s">
        <v>17</v>
      </c>
      <c r="C971" s="4">
        <v>44771.219784479174</v>
      </c>
      <c r="D971" t="s">
        <v>1168</v>
      </c>
      <c r="E971" t="s">
        <v>72</v>
      </c>
      <c r="F971" t="s">
        <v>49</v>
      </c>
      <c r="G971" t="s">
        <v>250</v>
      </c>
      <c r="H971" t="s">
        <v>40</v>
      </c>
      <c r="I971" t="s">
        <v>21</v>
      </c>
      <c r="J971" t="s">
        <v>1169</v>
      </c>
    </row>
    <row r="972" spans="1:10" x14ac:dyDescent="0.25">
      <c r="A972">
        <v>27817163</v>
      </c>
      <c r="B972" t="s">
        <v>17</v>
      </c>
      <c r="C972" s="4">
        <v>44771.293584537038</v>
      </c>
      <c r="D972" t="s">
        <v>684</v>
      </c>
      <c r="E972" t="s">
        <v>72</v>
      </c>
      <c r="F972" t="s">
        <v>49</v>
      </c>
      <c r="G972" t="s">
        <v>50</v>
      </c>
      <c r="H972" t="s">
        <v>40</v>
      </c>
      <c r="I972" t="s">
        <v>21</v>
      </c>
      <c r="J972" t="s">
        <v>246</v>
      </c>
    </row>
    <row r="973" spans="1:10" x14ac:dyDescent="0.25">
      <c r="A973">
        <v>27812917</v>
      </c>
      <c r="B973" t="s">
        <v>17</v>
      </c>
      <c r="C973" s="4">
        <v>44771.219936041663</v>
      </c>
      <c r="F973" t="s">
        <v>23</v>
      </c>
      <c r="G973" t="s">
        <v>51</v>
      </c>
      <c r="H973" t="s">
        <v>20</v>
      </c>
      <c r="I973" t="s">
        <v>21</v>
      </c>
    </row>
    <row r="974" spans="1:10" x14ac:dyDescent="0.25">
      <c r="A974">
        <v>27812926</v>
      </c>
      <c r="B974" t="s">
        <v>17</v>
      </c>
      <c r="C974" s="4">
        <v>44771.220060162043</v>
      </c>
      <c r="D974" t="s">
        <v>1168</v>
      </c>
      <c r="E974" t="s">
        <v>72</v>
      </c>
      <c r="F974" t="s">
        <v>49</v>
      </c>
      <c r="G974" t="s">
        <v>250</v>
      </c>
      <c r="H974" t="s">
        <v>25</v>
      </c>
      <c r="I974" t="s">
        <v>21</v>
      </c>
      <c r="J974" t="s">
        <v>1169</v>
      </c>
    </row>
    <row r="975" spans="1:10" x14ac:dyDescent="0.25">
      <c r="A975">
        <v>27812940</v>
      </c>
      <c r="B975" t="s">
        <v>17</v>
      </c>
      <c r="C975" s="4">
        <v>44771.220180324082</v>
      </c>
      <c r="D975" t="s">
        <v>1166</v>
      </c>
      <c r="E975" t="s">
        <v>72</v>
      </c>
      <c r="F975" t="s">
        <v>49</v>
      </c>
      <c r="G975" t="s">
        <v>359</v>
      </c>
      <c r="H975" t="s">
        <v>40</v>
      </c>
      <c r="I975" t="s">
        <v>21</v>
      </c>
      <c r="J975" t="s">
        <v>1167</v>
      </c>
    </row>
    <row r="976" spans="1:10" x14ac:dyDescent="0.25">
      <c r="A976">
        <v>27812951</v>
      </c>
      <c r="B976" t="s">
        <v>17</v>
      </c>
      <c r="C976" s="4">
        <v>44771.220567141201</v>
      </c>
      <c r="D976" t="s">
        <v>1191</v>
      </c>
      <c r="E976" t="s">
        <v>38</v>
      </c>
      <c r="F976" t="s">
        <v>52</v>
      </c>
      <c r="G976" t="s">
        <v>408</v>
      </c>
      <c r="H976" t="s">
        <v>29</v>
      </c>
      <c r="I976" t="s">
        <v>21</v>
      </c>
      <c r="J976" t="s">
        <v>1192</v>
      </c>
    </row>
    <row r="977" spans="1:10" x14ac:dyDescent="0.25">
      <c r="A977">
        <v>27812965</v>
      </c>
      <c r="B977" t="s">
        <v>17</v>
      </c>
      <c r="C977" s="4">
        <v>44771.220749837958</v>
      </c>
      <c r="D977" t="s">
        <v>1166</v>
      </c>
      <c r="E977" t="s">
        <v>72</v>
      </c>
      <c r="F977" t="s">
        <v>49</v>
      </c>
      <c r="G977" t="s">
        <v>359</v>
      </c>
      <c r="H977" t="s">
        <v>25</v>
      </c>
      <c r="I977" t="s">
        <v>21</v>
      </c>
      <c r="J977" t="s">
        <v>1167</v>
      </c>
    </row>
    <row r="978" spans="1:10" x14ac:dyDescent="0.25">
      <c r="A978">
        <v>27812979</v>
      </c>
      <c r="B978" t="s">
        <v>17</v>
      </c>
      <c r="C978" s="4">
        <v>44771.22087863426</v>
      </c>
      <c r="D978" t="s">
        <v>1193</v>
      </c>
      <c r="E978" t="s">
        <v>62</v>
      </c>
      <c r="F978" t="s">
        <v>57</v>
      </c>
      <c r="G978" t="s">
        <v>221</v>
      </c>
      <c r="H978" t="s">
        <v>29</v>
      </c>
      <c r="I978" t="s">
        <v>21</v>
      </c>
      <c r="J978" t="s">
        <v>1194</v>
      </c>
    </row>
    <row r="979" spans="1:10" x14ac:dyDescent="0.25">
      <c r="A979">
        <v>27812990</v>
      </c>
      <c r="B979" t="s">
        <v>17</v>
      </c>
      <c r="C979" s="4">
        <v>44771.221098912043</v>
      </c>
      <c r="D979" t="s">
        <v>1195</v>
      </c>
      <c r="E979" t="s">
        <v>38</v>
      </c>
      <c r="F979" t="s">
        <v>55</v>
      </c>
      <c r="G979" t="s">
        <v>227</v>
      </c>
      <c r="H979" t="s">
        <v>29</v>
      </c>
      <c r="I979" t="s">
        <v>21</v>
      </c>
      <c r="J979" t="s">
        <v>1196</v>
      </c>
    </row>
    <row r="980" spans="1:10" x14ac:dyDescent="0.25">
      <c r="A980">
        <v>27813011</v>
      </c>
      <c r="B980" t="s">
        <v>17</v>
      </c>
      <c r="C980" s="4">
        <v>44771.221584178238</v>
      </c>
      <c r="F980" t="s">
        <v>31</v>
      </c>
      <c r="G980" t="s">
        <v>133</v>
      </c>
      <c r="H980" t="s">
        <v>20</v>
      </c>
      <c r="I980" t="s">
        <v>21</v>
      </c>
    </row>
    <row r="981" spans="1:10" x14ac:dyDescent="0.25">
      <c r="A981">
        <v>27813021</v>
      </c>
      <c r="B981" t="s">
        <v>17</v>
      </c>
      <c r="C981" s="4">
        <v>44771.221813298609</v>
      </c>
      <c r="D981" t="s">
        <v>944</v>
      </c>
      <c r="E981" t="s">
        <v>38</v>
      </c>
      <c r="F981" t="s">
        <v>57</v>
      </c>
      <c r="G981" t="s">
        <v>321</v>
      </c>
      <c r="H981" t="s">
        <v>29</v>
      </c>
      <c r="I981" t="s">
        <v>21</v>
      </c>
      <c r="J981" t="s">
        <v>595</v>
      </c>
    </row>
    <row r="982" spans="1:10" x14ac:dyDescent="0.25">
      <c r="A982">
        <v>27817172</v>
      </c>
      <c r="B982" t="s">
        <v>17</v>
      </c>
      <c r="C982" s="4">
        <v>44771.293683645832</v>
      </c>
      <c r="F982" t="s">
        <v>49</v>
      </c>
      <c r="G982" t="s">
        <v>132</v>
      </c>
      <c r="H982" t="s">
        <v>116</v>
      </c>
      <c r="I982" t="s">
        <v>21</v>
      </c>
    </row>
    <row r="983" spans="1:10" x14ac:dyDescent="0.25">
      <c r="A983">
        <v>27813073</v>
      </c>
      <c r="B983" t="s">
        <v>17</v>
      </c>
      <c r="C983" s="4">
        <v>44771.222519513889</v>
      </c>
      <c r="D983" t="s">
        <v>1197</v>
      </c>
      <c r="E983" t="s">
        <v>62</v>
      </c>
      <c r="F983" t="s">
        <v>18</v>
      </c>
      <c r="G983" t="s">
        <v>186</v>
      </c>
      <c r="H983" t="s">
        <v>29</v>
      </c>
      <c r="I983" t="s">
        <v>21</v>
      </c>
      <c r="J983" t="s">
        <v>1198</v>
      </c>
    </row>
    <row r="984" spans="1:10" x14ac:dyDescent="0.25">
      <c r="A984">
        <v>27813077</v>
      </c>
      <c r="B984" t="s">
        <v>17</v>
      </c>
      <c r="C984" s="4">
        <v>44771.222527789352</v>
      </c>
      <c r="D984" t="s">
        <v>1199</v>
      </c>
      <c r="E984" t="s">
        <v>72</v>
      </c>
      <c r="F984" t="s">
        <v>49</v>
      </c>
      <c r="G984" t="s">
        <v>247</v>
      </c>
      <c r="H984" t="s">
        <v>42</v>
      </c>
      <c r="I984" t="s">
        <v>21</v>
      </c>
      <c r="J984" t="s">
        <v>252</v>
      </c>
    </row>
    <row r="985" spans="1:10" x14ac:dyDescent="0.25">
      <c r="A985">
        <v>27813087</v>
      </c>
      <c r="B985" t="s">
        <v>17</v>
      </c>
      <c r="C985" s="4">
        <v>44771.222585682874</v>
      </c>
      <c r="D985" t="s">
        <v>1200</v>
      </c>
      <c r="E985" t="s">
        <v>27</v>
      </c>
      <c r="F985" t="s">
        <v>18</v>
      </c>
      <c r="G985" t="s">
        <v>396</v>
      </c>
      <c r="H985" t="s">
        <v>42</v>
      </c>
      <c r="I985" t="s">
        <v>21</v>
      </c>
      <c r="J985" t="s">
        <v>325</v>
      </c>
    </row>
    <row r="986" spans="1:10" x14ac:dyDescent="0.25">
      <c r="A986">
        <v>27813098</v>
      </c>
      <c r="B986" t="s">
        <v>17</v>
      </c>
      <c r="C986" s="4">
        <v>44771.222642083332</v>
      </c>
      <c r="D986" t="s">
        <v>1200</v>
      </c>
      <c r="E986" t="s">
        <v>27</v>
      </c>
      <c r="F986" t="s">
        <v>18</v>
      </c>
      <c r="G986" t="s">
        <v>396</v>
      </c>
      <c r="H986" t="s">
        <v>54</v>
      </c>
      <c r="I986" t="s">
        <v>21</v>
      </c>
      <c r="J986" t="s">
        <v>325</v>
      </c>
    </row>
    <row r="987" spans="1:10" x14ac:dyDescent="0.25">
      <c r="A987">
        <v>27813100</v>
      </c>
      <c r="B987" t="s">
        <v>17</v>
      </c>
      <c r="C987" s="4">
        <v>44771.222645868052</v>
      </c>
      <c r="D987" t="s">
        <v>1173</v>
      </c>
      <c r="E987" t="s">
        <v>62</v>
      </c>
      <c r="F987" t="s">
        <v>57</v>
      </c>
      <c r="G987" t="s">
        <v>292</v>
      </c>
      <c r="H987" t="s">
        <v>54</v>
      </c>
      <c r="I987" t="s">
        <v>21</v>
      </c>
      <c r="J987" t="s">
        <v>1174</v>
      </c>
    </row>
    <row r="988" spans="1:10" x14ac:dyDescent="0.25">
      <c r="A988">
        <v>27813121</v>
      </c>
      <c r="B988" t="s">
        <v>17</v>
      </c>
      <c r="C988" s="4">
        <v>44771.22314548611</v>
      </c>
      <c r="D988" t="s">
        <v>1173</v>
      </c>
      <c r="E988" t="s">
        <v>62</v>
      </c>
      <c r="F988" t="s">
        <v>57</v>
      </c>
      <c r="G988" t="s">
        <v>292</v>
      </c>
      <c r="H988" t="s">
        <v>40</v>
      </c>
      <c r="I988" t="s">
        <v>21</v>
      </c>
      <c r="J988" t="s">
        <v>1174</v>
      </c>
    </row>
    <row r="989" spans="1:10" x14ac:dyDescent="0.25">
      <c r="A989">
        <v>27813131</v>
      </c>
      <c r="B989" t="s">
        <v>17</v>
      </c>
      <c r="C989" s="4">
        <v>44771.223328854168</v>
      </c>
      <c r="D989" t="s">
        <v>1201</v>
      </c>
      <c r="E989" t="s">
        <v>22</v>
      </c>
      <c r="F989" t="s">
        <v>31</v>
      </c>
      <c r="G989" t="s">
        <v>157</v>
      </c>
      <c r="H989" t="s">
        <v>29</v>
      </c>
      <c r="I989" t="s">
        <v>21</v>
      </c>
      <c r="J989" t="s">
        <v>1202</v>
      </c>
    </row>
    <row r="990" spans="1:10" x14ac:dyDescent="0.25">
      <c r="A990">
        <v>27813151</v>
      </c>
      <c r="B990" t="s">
        <v>17</v>
      </c>
      <c r="C990" s="4">
        <v>44771.223595104173</v>
      </c>
      <c r="D990" t="s">
        <v>1173</v>
      </c>
      <c r="E990" t="s">
        <v>62</v>
      </c>
      <c r="F990" t="s">
        <v>57</v>
      </c>
      <c r="G990" t="s">
        <v>292</v>
      </c>
      <c r="H990" t="s">
        <v>25</v>
      </c>
      <c r="I990" t="s">
        <v>21</v>
      </c>
      <c r="J990" t="s">
        <v>1174</v>
      </c>
    </row>
    <row r="991" spans="1:10" x14ac:dyDescent="0.25">
      <c r="A991">
        <v>27813171</v>
      </c>
      <c r="B991" t="s">
        <v>17</v>
      </c>
      <c r="C991" s="4">
        <v>44771.223817106482</v>
      </c>
      <c r="D991" t="s">
        <v>1203</v>
      </c>
      <c r="E991" t="s">
        <v>38</v>
      </c>
      <c r="F991" t="s">
        <v>52</v>
      </c>
      <c r="G991" t="s">
        <v>234</v>
      </c>
      <c r="H991" t="s">
        <v>40</v>
      </c>
      <c r="I991" t="s">
        <v>21</v>
      </c>
      <c r="J991" t="s">
        <v>147</v>
      </c>
    </row>
    <row r="992" spans="1:10" x14ac:dyDescent="0.25">
      <c r="A992">
        <v>27813200</v>
      </c>
      <c r="B992" t="s">
        <v>17</v>
      </c>
      <c r="C992" s="4">
        <v>44771.224410613417</v>
      </c>
      <c r="D992" t="s">
        <v>1204</v>
      </c>
      <c r="E992" t="s">
        <v>38</v>
      </c>
      <c r="F992" t="s">
        <v>52</v>
      </c>
      <c r="G992" t="s">
        <v>145</v>
      </c>
      <c r="H992" t="s">
        <v>29</v>
      </c>
      <c r="I992" t="s">
        <v>21</v>
      </c>
      <c r="J992" t="s">
        <v>241</v>
      </c>
    </row>
    <row r="993" spans="1:10" x14ac:dyDescent="0.25">
      <c r="A993">
        <v>27813219</v>
      </c>
      <c r="B993" t="s">
        <v>17</v>
      </c>
      <c r="C993" s="4">
        <v>44771.224501412027</v>
      </c>
      <c r="D993" t="s">
        <v>1203</v>
      </c>
      <c r="E993" t="s">
        <v>38</v>
      </c>
      <c r="F993" t="s">
        <v>52</v>
      </c>
      <c r="G993" t="s">
        <v>234</v>
      </c>
      <c r="H993" t="s">
        <v>25</v>
      </c>
      <c r="I993" t="s">
        <v>21</v>
      </c>
      <c r="J993" t="s">
        <v>147</v>
      </c>
    </row>
    <row r="994" spans="1:10" x14ac:dyDescent="0.25">
      <c r="A994">
        <v>27813229</v>
      </c>
      <c r="B994" t="s">
        <v>17</v>
      </c>
      <c r="C994" s="4">
        <v>44771.224703692133</v>
      </c>
      <c r="D994" t="s">
        <v>1189</v>
      </c>
      <c r="E994" t="s">
        <v>387</v>
      </c>
      <c r="F994" t="s">
        <v>18</v>
      </c>
      <c r="G994" t="s">
        <v>271</v>
      </c>
      <c r="H994" t="s">
        <v>40</v>
      </c>
      <c r="I994" t="s">
        <v>21</v>
      </c>
      <c r="J994" t="s">
        <v>1190</v>
      </c>
    </row>
    <row r="995" spans="1:10" x14ac:dyDescent="0.25">
      <c r="A995">
        <v>27813241</v>
      </c>
      <c r="B995" t="s">
        <v>17</v>
      </c>
      <c r="C995" s="4">
        <v>44771.225020949067</v>
      </c>
      <c r="D995" t="s">
        <v>1189</v>
      </c>
      <c r="E995" t="s">
        <v>387</v>
      </c>
      <c r="F995" t="s">
        <v>18</v>
      </c>
      <c r="G995" t="s">
        <v>271</v>
      </c>
      <c r="H995" t="s">
        <v>25</v>
      </c>
      <c r="I995" t="s">
        <v>21</v>
      </c>
      <c r="J995" t="s">
        <v>1190</v>
      </c>
    </row>
    <row r="996" spans="1:10" x14ac:dyDescent="0.25">
      <c r="A996">
        <v>27813255</v>
      </c>
      <c r="B996" t="s">
        <v>17</v>
      </c>
      <c r="C996" s="4">
        <v>44771.225185000003</v>
      </c>
      <c r="D996" t="s">
        <v>1205</v>
      </c>
      <c r="E996" t="s">
        <v>22</v>
      </c>
      <c r="F996" t="s">
        <v>23</v>
      </c>
      <c r="G996" t="s">
        <v>180</v>
      </c>
      <c r="H996" t="s">
        <v>29</v>
      </c>
      <c r="I996" t="s">
        <v>21</v>
      </c>
      <c r="J996" t="s">
        <v>591</v>
      </c>
    </row>
    <row r="997" spans="1:10" x14ac:dyDescent="0.25">
      <c r="A997">
        <v>27813269</v>
      </c>
      <c r="B997" t="s">
        <v>17</v>
      </c>
      <c r="C997" s="4">
        <v>44771.22546804398</v>
      </c>
      <c r="F997" t="s">
        <v>57</v>
      </c>
      <c r="G997" t="s">
        <v>63</v>
      </c>
      <c r="H997" t="s">
        <v>67</v>
      </c>
      <c r="I997" t="s">
        <v>21</v>
      </c>
    </row>
    <row r="998" spans="1:10" x14ac:dyDescent="0.25">
      <c r="A998">
        <v>27813273</v>
      </c>
      <c r="B998" t="s">
        <v>17</v>
      </c>
      <c r="C998" s="4">
        <v>44771.225671967593</v>
      </c>
      <c r="F998" t="s">
        <v>57</v>
      </c>
      <c r="G998" t="s">
        <v>401</v>
      </c>
      <c r="H998" t="s">
        <v>116</v>
      </c>
      <c r="I998" t="s">
        <v>21</v>
      </c>
    </row>
    <row r="999" spans="1:10" x14ac:dyDescent="0.25">
      <c r="A999">
        <v>27813276</v>
      </c>
      <c r="B999" t="s">
        <v>17</v>
      </c>
      <c r="C999" s="4">
        <v>44771.225673009263</v>
      </c>
      <c r="D999" t="s">
        <v>1206</v>
      </c>
      <c r="E999" t="s">
        <v>22</v>
      </c>
      <c r="F999" t="s">
        <v>23</v>
      </c>
      <c r="G999" t="s">
        <v>149</v>
      </c>
      <c r="H999" t="s">
        <v>40</v>
      </c>
      <c r="I999" t="s">
        <v>21</v>
      </c>
      <c r="J999" t="s">
        <v>277</v>
      </c>
    </row>
    <row r="1000" spans="1:10" x14ac:dyDescent="0.25">
      <c r="A1000">
        <v>27813287</v>
      </c>
      <c r="B1000" t="s">
        <v>17</v>
      </c>
      <c r="C1000" s="4">
        <v>44771.225757384258</v>
      </c>
      <c r="F1000" t="s">
        <v>57</v>
      </c>
      <c r="G1000" t="s">
        <v>63</v>
      </c>
      <c r="H1000" t="s">
        <v>68</v>
      </c>
      <c r="I1000" t="s">
        <v>21</v>
      </c>
    </row>
    <row r="1001" spans="1:10" x14ac:dyDescent="0.25">
      <c r="A1001">
        <v>27813293</v>
      </c>
      <c r="B1001" t="s">
        <v>17</v>
      </c>
      <c r="C1001" s="4">
        <v>44771.225811435193</v>
      </c>
      <c r="F1001" t="s">
        <v>23</v>
      </c>
      <c r="G1001" t="s">
        <v>337</v>
      </c>
      <c r="H1001" t="s">
        <v>116</v>
      </c>
      <c r="I1001" t="s">
        <v>21</v>
      </c>
    </row>
    <row r="1002" spans="1:10" x14ac:dyDescent="0.25">
      <c r="A1002">
        <v>27813300</v>
      </c>
      <c r="B1002" t="s">
        <v>17</v>
      </c>
      <c r="C1002" s="4">
        <v>44771.22588604167</v>
      </c>
      <c r="D1002" t="s">
        <v>1199</v>
      </c>
      <c r="E1002" t="s">
        <v>72</v>
      </c>
      <c r="F1002" t="s">
        <v>49</v>
      </c>
      <c r="G1002" t="s">
        <v>247</v>
      </c>
      <c r="H1002" t="s">
        <v>54</v>
      </c>
      <c r="I1002" t="s">
        <v>21</v>
      </c>
      <c r="J1002" t="s">
        <v>252</v>
      </c>
    </row>
    <row r="1003" spans="1:10" x14ac:dyDescent="0.25">
      <c r="A1003">
        <v>27813307</v>
      </c>
      <c r="B1003" t="s">
        <v>17</v>
      </c>
      <c r="C1003" s="4">
        <v>44771.226063692127</v>
      </c>
      <c r="D1003" t="s">
        <v>1184</v>
      </c>
      <c r="E1003" t="s">
        <v>129</v>
      </c>
      <c r="F1003" t="s">
        <v>49</v>
      </c>
      <c r="G1003" t="s">
        <v>192</v>
      </c>
      <c r="H1003" t="s">
        <v>40</v>
      </c>
      <c r="I1003" t="s">
        <v>21</v>
      </c>
      <c r="J1003" t="s">
        <v>174</v>
      </c>
    </row>
    <row r="1004" spans="1:10" x14ac:dyDescent="0.25">
      <c r="A1004">
        <v>27813316</v>
      </c>
      <c r="B1004" t="s">
        <v>17</v>
      </c>
      <c r="C1004" s="4">
        <v>44771.226253923611</v>
      </c>
      <c r="D1004" t="s">
        <v>1206</v>
      </c>
      <c r="E1004" t="s">
        <v>22</v>
      </c>
      <c r="F1004" t="s">
        <v>23</v>
      </c>
      <c r="G1004" t="s">
        <v>149</v>
      </c>
      <c r="H1004" t="s">
        <v>25</v>
      </c>
      <c r="I1004" t="s">
        <v>21</v>
      </c>
      <c r="J1004" t="s">
        <v>277</v>
      </c>
    </row>
    <row r="1005" spans="1:10" x14ac:dyDescent="0.25">
      <c r="A1005">
        <v>27813338</v>
      </c>
      <c r="B1005" t="s">
        <v>17</v>
      </c>
      <c r="C1005" s="4">
        <v>44771.226567384263</v>
      </c>
      <c r="D1005" t="s">
        <v>1184</v>
      </c>
      <c r="E1005" t="s">
        <v>129</v>
      </c>
      <c r="F1005" t="s">
        <v>49</v>
      </c>
      <c r="G1005" t="s">
        <v>192</v>
      </c>
      <c r="H1005" t="s">
        <v>25</v>
      </c>
      <c r="I1005" t="s">
        <v>21</v>
      </c>
      <c r="J1005" t="s">
        <v>174</v>
      </c>
    </row>
    <row r="1006" spans="1:10" x14ac:dyDescent="0.25">
      <c r="A1006">
        <v>27813351</v>
      </c>
      <c r="B1006" t="s">
        <v>17</v>
      </c>
      <c r="C1006" s="4">
        <v>44771.226781793979</v>
      </c>
      <c r="D1006" t="s">
        <v>1044</v>
      </c>
      <c r="E1006" t="s">
        <v>38</v>
      </c>
      <c r="F1006" t="s">
        <v>23</v>
      </c>
      <c r="G1006" t="s">
        <v>51</v>
      </c>
      <c r="H1006" t="s">
        <v>40</v>
      </c>
      <c r="I1006" t="s">
        <v>21</v>
      </c>
      <c r="J1006" t="s">
        <v>253</v>
      </c>
    </row>
    <row r="1007" spans="1:10" x14ac:dyDescent="0.25">
      <c r="A1007">
        <v>27813389</v>
      </c>
      <c r="B1007" t="s">
        <v>17</v>
      </c>
      <c r="C1007" s="4">
        <v>44771.227839108797</v>
      </c>
      <c r="D1007" t="s">
        <v>1044</v>
      </c>
      <c r="E1007" t="s">
        <v>38</v>
      </c>
      <c r="F1007" t="s">
        <v>23</v>
      </c>
      <c r="G1007" t="s">
        <v>51</v>
      </c>
      <c r="H1007" t="s">
        <v>25</v>
      </c>
      <c r="I1007" t="s">
        <v>21</v>
      </c>
      <c r="J1007" t="s">
        <v>253</v>
      </c>
    </row>
    <row r="1008" spans="1:10" x14ac:dyDescent="0.25">
      <c r="A1008">
        <v>27813416</v>
      </c>
      <c r="B1008" t="s">
        <v>17</v>
      </c>
      <c r="C1008" s="4">
        <v>44771.228299224538</v>
      </c>
      <c r="D1008" t="s">
        <v>1200</v>
      </c>
      <c r="E1008" t="s">
        <v>27</v>
      </c>
      <c r="F1008" t="s">
        <v>18</v>
      </c>
      <c r="G1008" t="s">
        <v>396</v>
      </c>
      <c r="H1008" t="s">
        <v>40</v>
      </c>
      <c r="I1008" t="s">
        <v>21</v>
      </c>
      <c r="J1008" t="s">
        <v>325</v>
      </c>
    </row>
    <row r="1009" spans="1:10" x14ac:dyDescent="0.25">
      <c r="A1009">
        <v>27813424</v>
      </c>
      <c r="B1009" t="s">
        <v>17</v>
      </c>
      <c r="C1009" s="4">
        <v>44771.228771909722</v>
      </c>
      <c r="D1009" t="s">
        <v>1200</v>
      </c>
      <c r="E1009" t="s">
        <v>27</v>
      </c>
      <c r="F1009" t="s">
        <v>18</v>
      </c>
      <c r="G1009" t="s">
        <v>396</v>
      </c>
      <c r="H1009" t="s">
        <v>25</v>
      </c>
      <c r="I1009" t="s">
        <v>21</v>
      </c>
      <c r="J1009" t="s">
        <v>325</v>
      </c>
    </row>
    <row r="1010" spans="1:10" x14ac:dyDescent="0.25">
      <c r="A1010">
        <v>27813504</v>
      </c>
      <c r="B1010" t="s">
        <v>17</v>
      </c>
      <c r="C1010" s="4">
        <v>44771.230012465283</v>
      </c>
      <c r="D1010" t="s">
        <v>1207</v>
      </c>
      <c r="E1010" t="s">
        <v>38</v>
      </c>
      <c r="F1010" t="s">
        <v>31</v>
      </c>
      <c r="G1010" t="s">
        <v>133</v>
      </c>
      <c r="H1010" t="s">
        <v>40</v>
      </c>
      <c r="I1010" t="s">
        <v>21</v>
      </c>
      <c r="J1010" t="s">
        <v>1208</v>
      </c>
    </row>
    <row r="1011" spans="1:10" x14ac:dyDescent="0.25">
      <c r="A1011">
        <v>27813518</v>
      </c>
      <c r="B1011" t="s">
        <v>17</v>
      </c>
      <c r="C1011" s="4">
        <v>44771.230479965277</v>
      </c>
      <c r="D1011" t="s">
        <v>1199</v>
      </c>
      <c r="E1011" t="s">
        <v>72</v>
      </c>
      <c r="F1011" t="s">
        <v>49</v>
      </c>
      <c r="G1011" t="s">
        <v>247</v>
      </c>
      <c r="H1011" t="s">
        <v>40</v>
      </c>
      <c r="I1011" t="s">
        <v>21</v>
      </c>
      <c r="J1011" t="s">
        <v>252</v>
      </c>
    </row>
    <row r="1012" spans="1:10" x14ac:dyDescent="0.25">
      <c r="A1012">
        <v>27813521</v>
      </c>
      <c r="B1012" t="s">
        <v>17</v>
      </c>
      <c r="C1012" s="4">
        <v>44771.230576562499</v>
      </c>
      <c r="D1012" t="s">
        <v>1207</v>
      </c>
      <c r="E1012" t="s">
        <v>38</v>
      </c>
      <c r="F1012" t="s">
        <v>31</v>
      </c>
      <c r="G1012" t="s">
        <v>133</v>
      </c>
      <c r="H1012" t="s">
        <v>25</v>
      </c>
      <c r="I1012" t="s">
        <v>21</v>
      </c>
      <c r="J1012" t="s">
        <v>1208</v>
      </c>
    </row>
    <row r="1013" spans="1:10" x14ac:dyDescent="0.25">
      <c r="A1013">
        <v>27813549</v>
      </c>
      <c r="B1013" t="s">
        <v>17</v>
      </c>
      <c r="C1013" s="4">
        <v>44771.230933217586</v>
      </c>
      <c r="D1013" t="s">
        <v>1199</v>
      </c>
      <c r="E1013" t="s">
        <v>72</v>
      </c>
      <c r="F1013" t="s">
        <v>49</v>
      </c>
      <c r="G1013" t="s">
        <v>247</v>
      </c>
      <c r="H1013" t="s">
        <v>25</v>
      </c>
      <c r="I1013" t="s">
        <v>21</v>
      </c>
      <c r="J1013" t="s">
        <v>252</v>
      </c>
    </row>
    <row r="1014" spans="1:10" x14ac:dyDescent="0.25">
      <c r="A1014">
        <v>27813566</v>
      </c>
      <c r="B1014" t="s">
        <v>17</v>
      </c>
      <c r="C1014" s="4">
        <v>44771.230990532407</v>
      </c>
      <c r="D1014" t="s">
        <v>1209</v>
      </c>
      <c r="E1014" t="s">
        <v>38</v>
      </c>
      <c r="F1014" t="s">
        <v>31</v>
      </c>
      <c r="G1014" t="s">
        <v>166</v>
      </c>
      <c r="H1014" t="s">
        <v>29</v>
      </c>
      <c r="I1014" t="s">
        <v>21</v>
      </c>
      <c r="J1014" t="s">
        <v>589</v>
      </c>
    </row>
    <row r="1015" spans="1:10" x14ac:dyDescent="0.25">
      <c r="A1015">
        <v>27813591</v>
      </c>
      <c r="B1015" t="s">
        <v>17</v>
      </c>
      <c r="C1015" s="4">
        <v>44771.231449872677</v>
      </c>
      <c r="D1015" t="s">
        <v>1014</v>
      </c>
      <c r="E1015" t="s">
        <v>38</v>
      </c>
      <c r="F1015" t="s">
        <v>52</v>
      </c>
      <c r="G1015" t="s">
        <v>410</v>
      </c>
      <c r="H1015" t="s">
        <v>29</v>
      </c>
      <c r="I1015" t="s">
        <v>21</v>
      </c>
      <c r="J1015" t="s">
        <v>1210</v>
      </c>
    </row>
    <row r="1016" spans="1:10" x14ac:dyDescent="0.25">
      <c r="A1016">
        <v>27813601</v>
      </c>
      <c r="B1016" t="s">
        <v>17</v>
      </c>
      <c r="C1016" s="4">
        <v>44771.231497407411</v>
      </c>
      <c r="D1016" t="s">
        <v>1211</v>
      </c>
      <c r="E1016" t="s">
        <v>387</v>
      </c>
      <c r="F1016" t="s">
        <v>18</v>
      </c>
      <c r="G1016" t="s">
        <v>124</v>
      </c>
      <c r="H1016" t="s">
        <v>42</v>
      </c>
      <c r="I1016" t="s">
        <v>21</v>
      </c>
      <c r="J1016" t="s">
        <v>720</v>
      </c>
    </row>
    <row r="1017" spans="1:10" x14ac:dyDescent="0.25">
      <c r="A1017">
        <v>27813605</v>
      </c>
      <c r="B1017" t="s">
        <v>17</v>
      </c>
      <c r="C1017" s="4">
        <v>44771.231547442127</v>
      </c>
      <c r="D1017" t="s">
        <v>1211</v>
      </c>
      <c r="E1017" t="s">
        <v>387</v>
      </c>
      <c r="F1017" t="s">
        <v>18</v>
      </c>
      <c r="G1017" t="s">
        <v>124</v>
      </c>
      <c r="H1017" t="s">
        <v>54</v>
      </c>
      <c r="I1017" t="s">
        <v>21</v>
      </c>
      <c r="J1017" t="s">
        <v>720</v>
      </c>
    </row>
    <row r="1018" spans="1:10" x14ac:dyDescent="0.25">
      <c r="A1018">
        <v>27813682</v>
      </c>
      <c r="B1018" t="s">
        <v>17</v>
      </c>
      <c r="C1018" s="4">
        <v>44771.233117488417</v>
      </c>
      <c r="D1018" t="s">
        <v>1212</v>
      </c>
      <c r="E1018" t="s">
        <v>62</v>
      </c>
      <c r="F1018" t="s">
        <v>49</v>
      </c>
      <c r="G1018" t="s">
        <v>132</v>
      </c>
      <c r="H1018" t="s">
        <v>42</v>
      </c>
      <c r="I1018" t="s">
        <v>21</v>
      </c>
      <c r="J1018" t="s">
        <v>249</v>
      </c>
    </row>
    <row r="1019" spans="1:10" x14ac:dyDescent="0.25">
      <c r="A1019">
        <v>27813717</v>
      </c>
      <c r="B1019" t="s">
        <v>17</v>
      </c>
      <c r="C1019" s="4">
        <v>44771.234033263892</v>
      </c>
      <c r="D1019" t="s">
        <v>1213</v>
      </c>
      <c r="E1019" t="s">
        <v>62</v>
      </c>
      <c r="F1019" t="s">
        <v>18</v>
      </c>
      <c r="G1019" t="s">
        <v>176</v>
      </c>
      <c r="H1019" t="s">
        <v>29</v>
      </c>
      <c r="I1019" t="s">
        <v>21</v>
      </c>
      <c r="J1019" t="s">
        <v>1214</v>
      </c>
    </row>
    <row r="1020" spans="1:10" x14ac:dyDescent="0.25">
      <c r="A1020">
        <v>27813745</v>
      </c>
      <c r="B1020" t="s">
        <v>17</v>
      </c>
      <c r="C1020" s="4">
        <v>44771.235001342589</v>
      </c>
      <c r="D1020" t="s">
        <v>1215</v>
      </c>
      <c r="E1020" t="s">
        <v>38</v>
      </c>
      <c r="F1020" t="s">
        <v>52</v>
      </c>
      <c r="G1020" t="s">
        <v>100</v>
      </c>
      <c r="H1020" t="s">
        <v>29</v>
      </c>
      <c r="I1020" t="s">
        <v>21</v>
      </c>
      <c r="J1020" t="s">
        <v>598</v>
      </c>
    </row>
    <row r="1021" spans="1:10" x14ac:dyDescent="0.25">
      <c r="A1021">
        <v>27813759</v>
      </c>
      <c r="B1021" t="s">
        <v>17</v>
      </c>
      <c r="C1021" s="4">
        <v>44771.235194768517</v>
      </c>
      <c r="D1021" t="s">
        <v>1212</v>
      </c>
      <c r="E1021" t="s">
        <v>62</v>
      </c>
      <c r="F1021" t="s">
        <v>49</v>
      </c>
      <c r="G1021" t="s">
        <v>132</v>
      </c>
      <c r="H1021" t="s">
        <v>239</v>
      </c>
      <c r="I1021" t="s">
        <v>21</v>
      </c>
      <c r="J1021" t="s">
        <v>249</v>
      </c>
    </row>
    <row r="1022" spans="1:10" x14ac:dyDescent="0.25">
      <c r="A1022">
        <v>27813760</v>
      </c>
      <c r="B1022" t="s">
        <v>17</v>
      </c>
      <c r="C1022" s="4">
        <v>44771.235206157413</v>
      </c>
      <c r="D1022" t="s">
        <v>1212</v>
      </c>
      <c r="E1022" t="s">
        <v>62</v>
      </c>
      <c r="F1022" t="s">
        <v>49</v>
      </c>
      <c r="G1022" t="s">
        <v>132</v>
      </c>
      <c r="H1022" t="s">
        <v>240</v>
      </c>
      <c r="I1022" t="s">
        <v>21</v>
      </c>
      <c r="J1022" t="s">
        <v>249</v>
      </c>
    </row>
    <row r="1023" spans="1:10" x14ac:dyDescent="0.25">
      <c r="A1023">
        <v>27813805</v>
      </c>
      <c r="B1023" t="s">
        <v>17</v>
      </c>
      <c r="C1023" s="4">
        <v>44771.236150798613</v>
      </c>
      <c r="D1023" t="s">
        <v>1216</v>
      </c>
      <c r="E1023" t="s">
        <v>38</v>
      </c>
      <c r="F1023" t="s">
        <v>52</v>
      </c>
      <c r="G1023" t="s">
        <v>90</v>
      </c>
      <c r="H1023" t="s">
        <v>29</v>
      </c>
      <c r="I1023" t="s">
        <v>21</v>
      </c>
      <c r="J1023" t="s">
        <v>1217</v>
      </c>
    </row>
    <row r="1024" spans="1:10" x14ac:dyDescent="0.25">
      <c r="A1024">
        <v>27817227</v>
      </c>
      <c r="B1024" t="s">
        <v>17</v>
      </c>
      <c r="C1024" s="4">
        <v>44771.294432974537</v>
      </c>
      <c r="D1024" t="s">
        <v>693</v>
      </c>
      <c r="E1024" t="s">
        <v>129</v>
      </c>
      <c r="F1024" t="s">
        <v>49</v>
      </c>
      <c r="G1024" t="s">
        <v>74</v>
      </c>
      <c r="H1024" t="s">
        <v>40</v>
      </c>
      <c r="I1024" t="s">
        <v>21</v>
      </c>
      <c r="J1024" t="s">
        <v>289</v>
      </c>
    </row>
    <row r="1025" spans="1:10" x14ac:dyDescent="0.25">
      <c r="A1025">
        <v>27813837</v>
      </c>
      <c r="B1025" t="s">
        <v>17</v>
      </c>
      <c r="C1025" s="4">
        <v>44771.236754930564</v>
      </c>
      <c r="D1025" t="s">
        <v>1218</v>
      </c>
      <c r="E1025" t="s">
        <v>38</v>
      </c>
      <c r="F1025" t="s">
        <v>31</v>
      </c>
      <c r="G1025" t="s">
        <v>96</v>
      </c>
      <c r="H1025" t="s">
        <v>29</v>
      </c>
      <c r="I1025" t="s">
        <v>21</v>
      </c>
      <c r="J1025" t="s">
        <v>198</v>
      </c>
    </row>
    <row r="1026" spans="1:10" x14ac:dyDescent="0.25">
      <c r="A1026">
        <v>27817241</v>
      </c>
      <c r="B1026" t="s">
        <v>17</v>
      </c>
      <c r="C1026" s="4">
        <v>44771.294577245368</v>
      </c>
      <c r="D1026" t="s">
        <v>694</v>
      </c>
      <c r="E1026" t="s">
        <v>27</v>
      </c>
      <c r="F1026" t="s">
        <v>18</v>
      </c>
      <c r="G1026" t="s">
        <v>186</v>
      </c>
      <c r="H1026" t="s">
        <v>42</v>
      </c>
      <c r="I1026" t="s">
        <v>21</v>
      </c>
      <c r="J1026" t="s">
        <v>695</v>
      </c>
    </row>
    <row r="1027" spans="1:10" x14ac:dyDescent="0.25">
      <c r="A1027">
        <v>27813863</v>
      </c>
      <c r="B1027" t="s">
        <v>17</v>
      </c>
      <c r="C1027" s="4">
        <v>44771.237903344911</v>
      </c>
      <c r="D1027" t="s">
        <v>1211</v>
      </c>
      <c r="E1027" t="s">
        <v>387</v>
      </c>
      <c r="F1027" t="s">
        <v>18</v>
      </c>
      <c r="G1027" t="s">
        <v>124</v>
      </c>
      <c r="H1027" t="s">
        <v>40</v>
      </c>
      <c r="I1027" t="s">
        <v>21</v>
      </c>
      <c r="J1027" t="s">
        <v>720</v>
      </c>
    </row>
    <row r="1028" spans="1:10" x14ac:dyDescent="0.25">
      <c r="A1028">
        <v>27813881</v>
      </c>
      <c r="B1028" t="s">
        <v>17</v>
      </c>
      <c r="C1028" s="4">
        <v>44771.238299930563</v>
      </c>
      <c r="D1028" t="s">
        <v>1211</v>
      </c>
      <c r="E1028" t="s">
        <v>387</v>
      </c>
      <c r="F1028" t="s">
        <v>18</v>
      </c>
      <c r="G1028" t="s">
        <v>124</v>
      </c>
      <c r="H1028" t="s">
        <v>25</v>
      </c>
      <c r="I1028" t="s">
        <v>21</v>
      </c>
      <c r="J1028" t="s">
        <v>720</v>
      </c>
    </row>
    <row r="1029" spans="1:10" x14ac:dyDescent="0.25">
      <c r="A1029">
        <v>27817243</v>
      </c>
      <c r="B1029" t="s">
        <v>17</v>
      </c>
      <c r="C1029" s="4">
        <v>44771.294577604167</v>
      </c>
      <c r="D1029" t="s">
        <v>699</v>
      </c>
      <c r="E1029" t="s">
        <v>129</v>
      </c>
      <c r="F1029" t="s">
        <v>49</v>
      </c>
      <c r="G1029" t="s">
        <v>247</v>
      </c>
      <c r="H1029" t="s">
        <v>42</v>
      </c>
      <c r="I1029" t="s">
        <v>21</v>
      </c>
      <c r="J1029" t="s">
        <v>263</v>
      </c>
    </row>
    <row r="1030" spans="1:10" x14ac:dyDescent="0.25">
      <c r="A1030">
        <v>27813975</v>
      </c>
      <c r="B1030" t="s">
        <v>17</v>
      </c>
      <c r="C1030" s="4">
        <v>44771.240572233794</v>
      </c>
      <c r="D1030" t="s">
        <v>1219</v>
      </c>
      <c r="E1030" t="s">
        <v>38</v>
      </c>
      <c r="F1030" t="s">
        <v>57</v>
      </c>
      <c r="G1030" t="s">
        <v>401</v>
      </c>
      <c r="H1030" t="s">
        <v>29</v>
      </c>
      <c r="I1030" t="s">
        <v>21</v>
      </c>
    </row>
    <row r="1031" spans="1:10" x14ac:dyDescent="0.25">
      <c r="A1031">
        <v>27814014</v>
      </c>
      <c r="B1031" t="s">
        <v>17</v>
      </c>
      <c r="C1031" s="4">
        <v>44771.241940972221</v>
      </c>
      <c r="D1031" t="s">
        <v>1212</v>
      </c>
      <c r="E1031" t="s">
        <v>62</v>
      </c>
      <c r="F1031" t="s">
        <v>49</v>
      </c>
      <c r="G1031" t="s">
        <v>132</v>
      </c>
      <c r="H1031" t="s">
        <v>40</v>
      </c>
      <c r="I1031" t="s">
        <v>21</v>
      </c>
      <c r="J1031" t="s">
        <v>249</v>
      </c>
    </row>
    <row r="1032" spans="1:10" x14ac:dyDescent="0.25">
      <c r="A1032">
        <v>27814021</v>
      </c>
      <c r="B1032" t="s">
        <v>17</v>
      </c>
      <c r="C1032" s="4">
        <v>44771.242149641213</v>
      </c>
      <c r="D1032" t="s">
        <v>1220</v>
      </c>
      <c r="E1032" t="s">
        <v>30</v>
      </c>
      <c r="F1032" t="s">
        <v>23</v>
      </c>
      <c r="G1032" t="s">
        <v>194</v>
      </c>
      <c r="H1032" t="s">
        <v>29</v>
      </c>
      <c r="I1032" t="s">
        <v>21</v>
      </c>
      <c r="J1032" t="s">
        <v>1221</v>
      </c>
    </row>
    <row r="1033" spans="1:10" x14ac:dyDescent="0.25">
      <c r="A1033">
        <v>27814031</v>
      </c>
      <c r="B1033" t="s">
        <v>17</v>
      </c>
      <c r="C1033" s="4">
        <v>44771.242203553244</v>
      </c>
      <c r="D1033" t="s">
        <v>678</v>
      </c>
      <c r="E1033" t="s">
        <v>129</v>
      </c>
      <c r="F1033" t="s">
        <v>49</v>
      </c>
      <c r="G1033" t="s">
        <v>128</v>
      </c>
      <c r="H1033" t="s">
        <v>42</v>
      </c>
      <c r="I1033" t="s">
        <v>21</v>
      </c>
      <c r="J1033" t="s">
        <v>219</v>
      </c>
    </row>
    <row r="1034" spans="1:10" x14ac:dyDescent="0.25">
      <c r="A1034">
        <v>27814036</v>
      </c>
      <c r="B1034" t="s">
        <v>17</v>
      </c>
      <c r="C1034" s="4">
        <v>44771.242295289347</v>
      </c>
      <c r="D1034" t="s">
        <v>1222</v>
      </c>
      <c r="E1034" t="s">
        <v>38</v>
      </c>
      <c r="F1034" t="s">
        <v>55</v>
      </c>
      <c r="G1034" t="s">
        <v>248</v>
      </c>
      <c r="H1034" t="s">
        <v>29</v>
      </c>
      <c r="I1034" t="s">
        <v>21</v>
      </c>
      <c r="J1034" t="s">
        <v>1223</v>
      </c>
    </row>
    <row r="1035" spans="1:10" x14ac:dyDescent="0.25">
      <c r="A1035">
        <v>27814052</v>
      </c>
      <c r="B1035" t="s">
        <v>17</v>
      </c>
      <c r="C1035" s="4">
        <v>44771.242531701391</v>
      </c>
      <c r="D1035" t="s">
        <v>1212</v>
      </c>
      <c r="E1035" t="s">
        <v>62</v>
      </c>
      <c r="F1035" t="s">
        <v>49</v>
      </c>
      <c r="G1035" t="s">
        <v>132</v>
      </c>
      <c r="H1035" t="s">
        <v>25</v>
      </c>
      <c r="I1035" t="s">
        <v>21</v>
      </c>
      <c r="J1035" t="s">
        <v>249</v>
      </c>
    </row>
    <row r="1036" spans="1:10" x14ac:dyDescent="0.25">
      <c r="A1036">
        <v>27817255</v>
      </c>
      <c r="B1036" t="s">
        <v>17</v>
      </c>
      <c r="C1036" s="4">
        <v>44771.294692615738</v>
      </c>
      <c r="D1036" t="s">
        <v>700</v>
      </c>
      <c r="E1036" t="s">
        <v>38</v>
      </c>
      <c r="F1036" t="s">
        <v>23</v>
      </c>
      <c r="G1036" t="s">
        <v>120</v>
      </c>
      <c r="H1036" t="s">
        <v>42</v>
      </c>
      <c r="I1036" t="s">
        <v>21</v>
      </c>
      <c r="J1036" t="s">
        <v>701</v>
      </c>
    </row>
    <row r="1037" spans="1:10" x14ac:dyDescent="0.25">
      <c r="A1037">
        <v>27814117</v>
      </c>
      <c r="B1037" t="s">
        <v>17</v>
      </c>
      <c r="C1037" s="4">
        <v>44771.243870069447</v>
      </c>
      <c r="D1037" t="s">
        <v>1224</v>
      </c>
      <c r="E1037" t="s">
        <v>62</v>
      </c>
      <c r="F1037" t="s">
        <v>57</v>
      </c>
      <c r="G1037" t="s">
        <v>297</v>
      </c>
      <c r="H1037" t="s">
        <v>29</v>
      </c>
      <c r="I1037" t="s">
        <v>21</v>
      </c>
      <c r="J1037" t="s">
        <v>266</v>
      </c>
    </row>
    <row r="1038" spans="1:10" x14ac:dyDescent="0.25">
      <c r="A1038">
        <v>27814129</v>
      </c>
      <c r="B1038" t="s">
        <v>17</v>
      </c>
      <c r="C1038" s="4">
        <v>44771.24397491898</v>
      </c>
      <c r="D1038" t="s">
        <v>1225</v>
      </c>
      <c r="E1038" t="s">
        <v>22</v>
      </c>
      <c r="F1038" t="s">
        <v>23</v>
      </c>
      <c r="G1038" t="s">
        <v>120</v>
      </c>
      <c r="H1038" t="s">
        <v>29</v>
      </c>
      <c r="I1038" t="s">
        <v>21</v>
      </c>
      <c r="J1038" t="s">
        <v>616</v>
      </c>
    </row>
    <row r="1039" spans="1:10" x14ac:dyDescent="0.25">
      <c r="A1039">
        <v>27814164</v>
      </c>
      <c r="B1039" t="s">
        <v>17</v>
      </c>
      <c r="C1039" s="4">
        <v>44771.24467965278</v>
      </c>
      <c r="D1039" t="s">
        <v>1226</v>
      </c>
      <c r="E1039" t="s">
        <v>62</v>
      </c>
      <c r="F1039" t="s">
        <v>57</v>
      </c>
      <c r="G1039" t="s">
        <v>244</v>
      </c>
      <c r="H1039" t="s">
        <v>29</v>
      </c>
      <c r="I1039" t="s">
        <v>21</v>
      </c>
      <c r="J1039" t="s">
        <v>575</v>
      </c>
    </row>
    <row r="1040" spans="1:10" x14ac:dyDescent="0.25">
      <c r="A1040">
        <v>27814189</v>
      </c>
      <c r="B1040" t="s">
        <v>17</v>
      </c>
      <c r="C1040" s="4">
        <v>44771.245095104168</v>
      </c>
      <c r="D1040" t="s">
        <v>1227</v>
      </c>
      <c r="E1040" t="s">
        <v>184</v>
      </c>
      <c r="F1040" t="s">
        <v>57</v>
      </c>
      <c r="G1040" t="s">
        <v>255</v>
      </c>
      <c r="H1040" t="s">
        <v>29</v>
      </c>
      <c r="I1040" t="s">
        <v>21</v>
      </c>
      <c r="J1040" t="s">
        <v>1228</v>
      </c>
    </row>
    <row r="1041" spans="1:10" x14ac:dyDescent="0.25">
      <c r="A1041">
        <v>27814204</v>
      </c>
      <c r="B1041" t="s">
        <v>17</v>
      </c>
      <c r="C1041" s="4">
        <v>44771.245492719907</v>
      </c>
      <c r="D1041" t="s">
        <v>1079</v>
      </c>
      <c r="E1041" t="s">
        <v>38</v>
      </c>
      <c r="F1041" t="s">
        <v>52</v>
      </c>
      <c r="G1041" t="s">
        <v>134</v>
      </c>
      <c r="H1041" t="s">
        <v>155</v>
      </c>
      <c r="I1041" t="s">
        <v>21</v>
      </c>
      <c r="J1041" t="s">
        <v>1080</v>
      </c>
    </row>
    <row r="1042" spans="1:10" x14ac:dyDescent="0.25">
      <c r="A1042">
        <v>27814207</v>
      </c>
      <c r="B1042" t="s">
        <v>17</v>
      </c>
      <c r="C1042" s="4">
        <v>44771.245518912037</v>
      </c>
      <c r="F1042" t="s">
        <v>52</v>
      </c>
      <c r="G1042" t="s">
        <v>134</v>
      </c>
      <c r="H1042" t="s">
        <v>156</v>
      </c>
      <c r="I1042" t="s">
        <v>21</v>
      </c>
    </row>
    <row r="1043" spans="1:10" x14ac:dyDescent="0.25">
      <c r="A1043">
        <v>27814234</v>
      </c>
      <c r="B1043" t="s">
        <v>17</v>
      </c>
      <c r="C1043" s="4">
        <v>44771.246354409719</v>
      </c>
      <c r="D1043" t="s">
        <v>678</v>
      </c>
      <c r="E1043" t="s">
        <v>129</v>
      </c>
      <c r="F1043" t="s">
        <v>49</v>
      </c>
      <c r="G1043" t="s">
        <v>128</v>
      </c>
      <c r="H1043" t="s">
        <v>54</v>
      </c>
      <c r="I1043" t="s">
        <v>21</v>
      </c>
      <c r="J1043" t="s">
        <v>219</v>
      </c>
    </row>
    <row r="1044" spans="1:10" x14ac:dyDescent="0.25">
      <c r="A1044">
        <v>27814261</v>
      </c>
      <c r="B1044" t="s">
        <v>17</v>
      </c>
      <c r="C1044" s="4">
        <v>44771.246881689818</v>
      </c>
      <c r="D1044" t="s">
        <v>1002</v>
      </c>
      <c r="E1044" t="s">
        <v>38</v>
      </c>
      <c r="F1044" t="s">
        <v>52</v>
      </c>
      <c r="G1044" t="s">
        <v>206</v>
      </c>
      <c r="H1044" t="s">
        <v>29</v>
      </c>
      <c r="I1044" t="s">
        <v>21</v>
      </c>
      <c r="J1044" t="s">
        <v>200</v>
      </c>
    </row>
    <row r="1045" spans="1:10" x14ac:dyDescent="0.25">
      <c r="A1045">
        <v>27814311</v>
      </c>
      <c r="B1045" t="s">
        <v>17</v>
      </c>
      <c r="C1045" s="4">
        <v>44771.248514675928</v>
      </c>
      <c r="D1045" t="s">
        <v>1133</v>
      </c>
      <c r="E1045" t="s">
        <v>38</v>
      </c>
      <c r="F1045" t="s">
        <v>52</v>
      </c>
      <c r="G1045" t="s">
        <v>53</v>
      </c>
      <c r="H1045" t="s">
        <v>29</v>
      </c>
      <c r="I1045" t="s">
        <v>21</v>
      </c>
      <c r="J1045" t="s">
        <v>1134</v>
      </c>
    </row>
    <row r="1046" spans="1:10" x14ac:dyDescent="0.25">
      <c r="A1046">
        <v>27814342</v>
      </c>
      <c r="B1046" t="s">
        <v>17</v>
      </c>
      <c r="C1046" s="4">
        <v>44771.249032291656</v>
      </c>
      <c r="D1046" t="s">
        <v>738</v>
      </c>
      <c r="E1046" t="s">
        <v>62</v>
      </c>
      <c r="F1046" t="s">
        <v>49</v>
      </c>
      <c r="G1046" t="s">
        <v>80</v>
      </c>
      <c r="H1046" t="s">
        <v>42</v>
      </c>
      <c r="I1046" t="s">
        <v>21</v>
      </c>
      <c r="J1046" t="s">
        <v>739</v>
      </c>
    </row>
    <row r="1047" spans="1:10" x14ac:dyDescent="0.25">
      <c r="A1047">
        <v>27814347</v>
      </c>
      <c r="B1047" t="s">
        <v>17</v>
      </c>
      <c r="C1047" s="4">
        <v>44771.249108379627</v>
      </c>
      <c r="D1047" t="s">
        <v>678</v>
      </c>
      <c r="E1047" t="s">
        <v>129</v>
      </c>
      <c r="F1047" t="s">
        <v>49</v>
      </c>
      <c r="G1047" t="s">
        <v>128</v>
      </c>
      <c r="H1047" t="s">
        <v>40</v>
      </c>
      <c r="I1047" t="s">
        <v>21</v>
      </c>
      <c r="J1047" t="s">
        <v>219</v>
      </c>
    </row>
    <row r="1048" spans="1:10" x14ac:dyDescent="0.25">
      <c r="A1048">
        <v>27818082</v>
      </c>
      <c r="B1048" t="s">
        <v>17</v>
      </c>
      <c r="C1048" s="4">
        <v>44771.311294895837</v>
      </c>
      <c r="D1048" t="s">
        <v>730</v>
      </c>
      <c r="E1048" t="s">
        <v>27</v>
      </c>
      <c r="F1048" t="s">
        <v>18</v>
      </c>
      <c r="G1048" t="s">
        <v>380</v>
      </c>
      <c r="H1048" t="s">
        <v>25</v>
      </c>
      <c r="I1048" t="s">
        <v>21</v>
      </c>
      <c r="J1048" t="s">
        <v>731</v>
      </c>
    </row>
    <row r="1049" spans="1:10" x14ac:dyDescent="0.25">
      <c r="A1049">
        <v>27818112</v>
      </c>
      <c r="B1049" t="s">
        <v>17</v>
      </c>
      <c r="C1049" s="4">
        <v>44771.312026585649</v>
      </c>
      <c r="D1049" t="s">
        <v>1229</v>
      </c>
      <c r="E1049" t="s">
        <v>38</v>
      </c>
      <c r="F1049" t="s">
        <v>52</v>
      </c>
      <c r="G1049" t="s">
        <v>145</v>
      </c>
      <c r="H1049" t="s">
        <v>118</v>
      </c>
      <c r="I1049" t="s">
        <v>36</v>
      </c>
      <c r="J1049" t="s">
        <v>1230</v>
      </c>
    </row>
    <row r="1050" spans="1:10" x14ac:dyDescent="0.25">
      <c r="A1050">
        <v>27818115</v>
      </c>
      <c r="B1050" t="s">
        <v>17</v>
      </c>
      <c r="C1050" s="4">
        <v>44771.312036840267</v>
      </c>
      <c r="D1050" t="s">
        <v>1231</v>
      </c>
      <c r="E1050" t="s">
        <v>38</v>
      </c>
      <c r="F1050" t="s">
        <v>57</v>
      </c>
      <c r="G1050" t="s">
        <v>230</v>
      </c>
      <c r="H1050" t="s">
        <v>29</v>
      </c>
      <c r="I1050" t="s">
        <v>21</v>
      </c>
    </row>
    <row r="1051" spans="1:10" x14ac:dyDescent="0.25">
      <c r="A1051">
        <v>27818134</v>
      </c>
      <c r="B1051" t="s">
        <v>17</v>
      </c>
      <c r="C1051" s="4">
        <v>44771.312633784721</v>
      </c>
      <c r="D1051" t="s">
        <v>725</v>
      </c>
      <c r="E1051" t="s">
        <v>268</v>
      </c>
      <c r="F1051" t="s">
        <v>49</v>
      </c>
      <c r="G1051" t="s">
        <v>132</v>
      </c>
      <c r="H1051" t="s">
        <v>239</v>
      </c>
      <c r="I1051" t="s">
        <v>21</v>
      </c>
      <c r="J1051" t="s">
        <v>269</v>
      </c>
    </row>
    <row r="1052" spans="1:10" x14ac:dyDescent="0.25">
      <c r="A1052">
        <v>27818135</v>
      </c>
      <c r="B1052" t="s">
        <v>17</v>
      </c>
      <c r="C1052" s="4">
        <v>44771.312641261567</v>
      </c>
      <c r="D1052" t="s">
        <v>725</v>
      </c>
      <c r="E1052" t="s">
        <v>268</v>
      </c>
      <c r="F1052" t="s">
        <v>49</v>
      </c>
      <c r="G1052" t="s">
        <v>132</v>
      </c>
      <c r="H1052" t="s">
        <v>240</v>
      </c>
      <c r="I1052" t="s">
        <v>21</v>
      </c>
      <c r="J1052" t="s">
        <v>269</v>
      </c>
    </row>
    <row r="1053" spans="1:10" x14ac:dyDescent="0.25">
      <c r="A1053">
        <v>27818144</v>
      </c>
      <c r="B1053" t="s">
        <v>17</v>
      </c>
      <c r="C1053" s="4">
        <v>44771.312721747687</v>
      </c>
      <c r="D1053" t="s">
        <v>725</v>
      </c>
      <c r="E1053" t="s">
        <v>268</v>
      </c>
      <c r="F1053" t="s">
        <v>49</v>
      </c>
      <c r="G1053" t="s">
        <v>132</v>
      </c>
      <c r="H1053" t="s">
        <v>118</v>
      </c>
      <c r="I1053" t="s">
        <v>36</v>
      </c>
      <c r="J1053" t="s">
        <v>269</v>
      </c>
    </row>
    <row r="1054" spans="1:10" x14ac:dyDescent="0.25">
      <c r="A1054">
        <v>27818147</v>
      </c>
      <c r="B1054" t="s">
        <v>17</v>
      </c>
      <c r="C1054" s="4">
        <v>44771.312724641197</v>
      </c>
      <c r="D1054" t="s">
        <v>1229</v>
      </c>
      <c r="E1054" t="s">
        <v>38</v>
      </c>
      <c r="F1054" t="s">
        <v>52</v>
      </c>
      <c r="G1054" t="s">
        <v>145</v>
      </c>
      <c r="H1054" t="s">
        <v>122</v>
      </c>
      <c r="I1054" t="s">
        <v>36</v>
      </c>
      <c r="J1054" t="s">
        <v>1230</v>
      </c>
    </row>
    <row r="1055" spans="1:10" x14ac:dyDescent="0.25">
      <c r="A1055">
        <v>27818152</v>
      </c>
      <c r="B1055" t="s">
        <v>17</v>
      </c>
      <c r="C1055" s="4">
        <v>44771.312751435187</v>
      </c>
      <c r="F1055" t="s">
        <v>52</v>
      </c>
      <c r="G1055" t="s">
        <v>145</v>
      </c>
      <c r="H1055" t="s">
        <v>116</v>
      </c>
      <c r="I1055" t="s">
        <v>21</v>
      </c>
    </row>
    <row r="1056" spans="1:10" x14ac:dyDescent="0.25">
      <c r="A1056">
        <v>27818179</v>
      </c>
      <c r="B1056" t="s">
        <v>17</v>
      </c>
      <c r="C1056" s="4">
        <v>44771.313277175926</v>
      </c>
      <c r="F1056" t="s">
        <v>52</v>
      </c>
      <c r="G1056" t="s">
        <v>65</v>
      </c>
      <c r="H1056" t="s">
        <v>20</v>
      </c>
      <c r="I1056" t="s">
        <v>21</v>
      </c>
    </row>
    <row r="1057" spans="1:10" x14ac:dyDescent="0.25">
      <c r="A1057">
        <v>27818189</v>
      </c>
      <c r="B1057" t="s">
        <v>17</v>
      </c>
      <c r="C1057" s="4">
        <v>44771.313437893521</v>
      </c>
      <c r="F1057" t="s">
        <v>52</v>
      </c>
      <c r="G1057" t="s">
        <v>90</v>
      </c>
      <c r="H1057" t="s">
        <v>20</v>
      </c>
      <c r="I1057" t="s">
        <v>21</v>
      </c>
    </row>
    <row r="1058" spans="1:10" x14ac:dyDescent="0.25">
      <c r="A1058">
        <v>27818202</v>
      </c>
      <c r="B1058" t="s">
        <v>17</v>
      </c>
      <c r="C1058" s="4">
        <v>44771.313639629632</v>
      </c>
      <c r="D1058" t="s">
        <v>1232</v>
      </c>
      <c r="E1058" t="s">
        <v>27</v>
      </c>
      <c r="F1058" t="s">
        <v>57</v>
      </c>
      <c r="G1058" t="s">
        <v>335</v>
      </c>
      <c r="H1058" t="s">
        <v>29</v>
      </c>
      <c r="I1058" t="s">
        <v>21</v>
      </c>
      <c r="J1058" t="s">
        <v>1233</v>
      </c>
    </row>
    <row r="1059" spans="1:10" x14ac:dyDescent="0.25">
      <c r="A1059">
        <v>27818215</v>
      </c>
      <c r="B1059" t="s">
        <v>17</v>
      </c>
      <c r="C1059" s="4">
        <v>44771.313859212962</v>
      </c>
      <c r="D1059" t="s">
        <v>725</v>
      </c>
      <c r="E1059" t="s">
        <v>268</v>
      </c>
      <c r="F1059" t="s">
        <v>49</v>
      </c>
      <c r="G1059" t="s">
        <v>132</v>
      </c>
      <c r="H1059" t="s">
        <v>35</v>
      </c>
      <c r="I1059" t="s">
        <v>36</v>
      </c>
      <c r="J1059" t="s">
        <v>269</v>
      </c>
    </row>
    <row r="1060" spans="1:10" x14ac:dyDescent="0.25">
      <c r="A1060">
        <v>27818223</v>
      </c>
      <c r="B1060" t="s">
        <v>17</v>
      </c>
      <c r="C1060" s="4">
        <v>44771.313919386572</v>
      </c>
      <c r="D1060" t="s">
        <v>725</v>
      </c>
      <c r="E1060" t="s">
        <v>268</v>
      </c>
      <c r="F1060" t="s">
        <v>49</v>
      </c>
      <c r="G1060" t="s">
        <v>132</v>
      </c>
      <c r="H1060" t="s">
        <v>40</v>
      </c>
      <c r="I1060" t="s">
        <v>21</v>
      </c>
      <c r="J1060" t="s">
        <v>269</v>
      </c>
    </row>
    <row r="1061" spans="1:10" x14ac:dyDescent="0.25">
      <c r="A1061">
        <v>27818231</v>
      </c>
      <c r="B1061" t="s">
        <v>17</v>
      </c>
      <c r="C1061" s="4">
        <v>44771.314064062499</v>
      </c>
      <c r="F1061" t="s">
        <v>18</v>
      </c>
      <c r="G1061" t="s">
        <v>228</v>
      </c>
      <c r="H1061" t="s">
        <v>81</v>
      </c>
      <c r="I1061" t="s">
        <v>21</v>
      </c>
    </row>
    <row r="1062" spans="1:10" x14ac:dyDescent="0.25">
      <c r="A1062">
        <v>27818233</v>
      </c>
      <c r="B1062" t="s">
        <v>17</v>
      </c>
      <c r="C1062" s="4">
        <v>44771.314064270831</v>
      </c>
      <c r="F1062" t="s">
        <v>18</v>
      </c>
      <c r="G1062" t="s">
        <v>228</v>
      </c>
      <c r="H1062" t="s">
        <v>93</v>
      </c>
      <c r="I1062" t="s">
        <v>21</v>
      </c>
    </row>
    <row r="1063" spans="1:10" x14ac:dyDescent="0.25">
      <c r="A1063">
        <v>27818238</v>
      </c>
      <c r="B1063" t="s">
        <v>17</v>
      </c>
      <c r="C1063" s="4">
        <v>44771.314221817127</v>
      </c>
      <c r="D1063" t="s">
        <v>1234</v>
      </c>
      <c r="E1063" t="s">
        <v>27</v>
      </c>
      <c r="F1063" t="s">
        <v>18</v>
      </c>
      <c r="G1063" t="s">
        <v>61</v>
      </c>
      <c r="H1063" t="s">
        <v>29</v>
      </c>
      <c r="I1063" t="s">
        <v>21</v>
      </c>
      <c r="J1063" t="s">
        <v>1235</v>
      </c>
    </row>
    <row r="1064" spans="1:10" x14ac:dyDescent="0.25">
      <c r="A1064">
        <v>27818254</v>
      </c>
      <c r="B1064" t="s">
        <v>17</v>
      </c>
      <c r="C1064" s="4">
        <v>44771.314373368063</v>
      </c>
      <c r="D1064" t="s">
        <v>725</v>
      </c>
      <c r="E1064" t="s">
        <v>268</v>
      </c>
      <c r="F1064" t="s">
        <v>49</v>
      </c>
      <c r="G1064" t="s">
        <v>132</v>
      </c>
      <c r="H1064" t="s">
        <v>25</v>
      </c>
      <c r="I1064" t="s">
        <v>21</v>
      </c>
      <c r="J1064" t="s">
        <v>269</v>
      </c>
    </row>
    <row r="1065" spans="1:10" x14ac:dyDescent="0.25">
      <c r="A1065">
        <v>27818268</v>
      </c>
      <c r="B1065" t="s">
        <v>17</v>
      </c>
      <c r="C1065" s="4">
        <v>44771.314426504628</v>
      </c>
      <c r="D1065" t="s">
        <v>1236</v>
      </c>
      <c r="E1065" t="s">
        <v>38</v>
      </c>
      <c r="F1065" t="s">
        <v>23</v>
      </c>
      <c r="G1065" t="s">
        <v>140</v>
      </c>
      <c r="H1065" t="s">
        <v>42</v>
      </c>
      <c r="I1065" t="s">
        <v>21</v>
      </c>
      <c r="J1065" t="s">
        <v>1237</v>
      </c>
    </row>
    <row r="1066" spans="1:10" x14ac:dyDescent="0.25">
      <c r="A1066">
        <v>27818325</v>
      </c>
      <c r="B1066" t="s">
        <v>17</v>
      </c>
      <c r="C1066" s="4">
        <v>44771.315994826393</v>
      </c>
      <c r="D1066" t="s">
        <v>1079</v>
      </c>
      <c r="E1066" t="s">
        <v>38</v>
      </c>
      <c r="F1066" t="s">
        <v>52</v>
      </c>
      <c r="G1066" t="s">
        <v>134</v>
      </c>
      <c r="H1066" t="s">
        <v>29</v>
      </c>
      <c r="I1066" t="s">
        <v>21</v>
      </c>
      <c r="J1066" t="s">
        <v>1080</v>
      </c>
    </row>
    <row r="1067" spans="1:10" x14ac:dyDescent="0.25">
      <c r="A1067">
        <v>27818347</v>
      </c>
      <c r="B1067" t="s">
        <v>17</v>
      </c>
      <c r="C1067" s="4">
        <v>44771.31630337963</v>
      </c>
      <c r="D1067" t="s">
        <v>844</v>
      </c>
      <c r="E1067" t="s">
        <v>30</v>
      </c>
      <c r="F1067" t="s">
        <v>31</v>
      </c>
      <c r="G1067" t="s">
        <v>32</v>
      </c>
      <c r="H1067" t="s">
        <v>54</v>
      </c>
      <c r="I1067" t="s">
        <v>21</v>
      </c>
      <c r="J1067" t="s">
        <v>305</v>
      </c>
    </row>
    <row r="1068" spans="1:10" x14ac:dyDescent="0.25">
      <c r="A1068">
        <v>27818376</v>
      </c>
      <c r="B1068" t="s">
        <v>17</v>
      </c>
      <c r="C1068" s="4">
        <v>44771.316889675923</v>
      </c>
      <c r="D1068" t="s">
        <v>1238</v>
      </c>
      <c r="E1068" t="s">
        <v>27</v>
      </c>
      <c r="F1068" t="s">
        <v>18</v>
      </c>
      <c r="G1068" t="s">
        <v>183</v>
      </c>
      <c r="H1068" t="s">
        <v>29</v>
      </c>
      <c r="I1068" t="s">
        <v>21</v>
      </c>
      <c r="J1068" t="s">
        <v>1239</v>
      </c>
    </row>
    <row r="1069" spans="1:10" x14ac:dyDescent="0.25">
      <c r="A1069">
        <v>27818392</v>
      </c>
      <c r="B1069" t="s">
        <v>17</v>
      </c>
      <c r="C1069" s="4">
        <v>44771.317265474543</v>
      </c>
      <c r="D1069" t="s">
        <v>1203</v>
      </c>
      <c r="E1069" t="s">
        <v>38</v>
      </c>
      <c r="F1069" t="s">
        <v>52</v>
      </c>
      <c r="G1069" t="s">
        <v>234</v>
      </c>
      <c r="H1069" t="s">
        <v>29</v>
      </c>
      <c r="I1069" t="s">
        <v>21</v>
      </c>
      <c r="J1069" t="s">
        <v>147</v>
      </c>
    </row>
    <row r="1070" spans="1:10" x14ac:dyDescent="0.25">
      <c r="A1070">
        <v>27818414</v>
      </c>
      <c r="B1070" t="s">
        <v>17</v>
      </c>
      <c r="C1070" s="4">
        <v>44771.317493726849</v>
      </c>
      <c r="D1070" t="s">
        <v>1240</v>
      </c>
      <c r="E1070" t="s">
        <v>191</v>
      </c>
      <c r="F1070" t="s">
        <v>49</v>
      </c>
      <c r="G1070" t="s">
        <v>192</v>
      </c>
      <c r="H1070" t="s">
        <v>42</v>
      </c>
      <c r="I1070" t="s">
        <v>21</v>
      </c>
      <c r="J1070" t="s">
        <v>329</v>
      </c>
    </row>
    <row r="1071" spans="1:10" x14ac:dyDescent="0.25">
      <c r="A1071">
        <v>27818439</v>
      </c>
      <c r="B1071" t="s">
        <v>17</v>
      </c>
      <c r="C1071" s="4">
        <v>44771.318081504629</v>
      </c>
      <c r="D1071" t="s">
        <v>786</v>
      </c>
      <c r="E1071" t="s">
        <v>129</v>
      </c>
      <c r="F1071" t="s">
        <v>49</v>
      </c>
      <c r="G1071" t="s">
        <v>84</v>
      </c>
      <c r="H1071" t="s">
        <v>29</v>
      </c>
      <c r="I1071" t="s">
        <v>21</v>
      </c>
    </row>
    <row r="1072" spans="1:10" x14ac:dyDescent="0.25">
      <c r="A1072">
        <v>27818443</v>
      </c>
      <c r="B1072" t="s">
        <v>17</v>
      </c>
      <c r="C1072" s="4">
        <v>44771.318130358799</v>
      </c>
      <c r="D1072" t="s">
        <v>1241</v>
      </c>
      <c r="E1072" t="s">
        <v>939</v>
      </c>
      <c r="F1072" t="s">
        <v>49</v>
      </c>
      <c r="G1072" t="s">
        <v>84</v>
      </c>
      <c r="H1072" t="s">
        <v>42</v>
      </c>
      <c r="I1072" t="s">
        <v>21</v>
      </c>
      <c r="J1072" t="s">
        <v>238</v>
      </c>
    </row>
    <row r="1073" spans="1:10" x14ac:dyDescent="0.25">
      <c r="A1073">
        <v>27818449</v>
      </c>
      <c r="B1073" t="s">
        <v>17</v>
      </c>
      <c r="C1073" s="4">
        <v>44771.3181453125</v>
      </c>
      <c r="D1073" t="s">
        <v>1242</v>
      </c>
      <c r="E1073" t="s">
        <v>72</v>
      </c>
      <c r="F1073" t="s">
        <v>49</v>
      </c>
      <c r="G1073" t="s">
        <v>73</v>
      </c>
      <c r="H1073" t="s">
        <v>29</v>
      </c>
      <c r="I1073" t="s">
        <v>21</v>
      </c>
      <c r="J1073" t="s">
        <v>307</v>
      </c>
    </row>
    <row r="1074" spans="1:10" x14ac:dyDescent="0.25">
      <c r="A1074">
        <v>27818462</v>
      </c>
      <c r="B1074" t="s">
        <v>17</v>
      </c>
      <c r="C1074" s="4">
        <v>44771.318213136583</v>
      </c>
      <c r="D1074" t="s">
        <v>844</v>
      </c>
      <c r="E1074" t="s">
        <v>30</v>
      </c>
      <c r="F1074" t="s">
        <v>31</v>
      </c>
      <c r="G1074" t="s">
        <v>32</v>
      </c>
      <c r="H1074" t="s">
        <v>40</v>
      </c>
      <c r="I1074" t="s">
        <v>21</v>
      </c>
      <c r="J1074" t="s">
        <v>305</v>
      </c>
    </row>
    <row r="1075" spans="1:10" x14ac:dyDescent="0.25">
      <c r="A1075">
        <v>27818467</v>
      </c>
      <c r="B1075" t="s">
        <v>17</v>
      </c>
      <c r="C1075" s="4">
        <v>44771.318245995368</v>
      </c>
      <c r="D1075" t="s">
        <v>1243</v>
      </c>
      <c r="E1075" t="s">
        <v>72</v>
      </c>
      <c r="F1075" t="s">
        <v>49</v>
      </c>
      <c r="G1075" t="s">
        <v>128</v>
      </c>
      <c r="H1075" t="s">
        <v>42</v>
      </c>
      <c r="I1075" t="s">
        <v>21</v>
      </c>
      <c r="J1075" t="s">
        <v>284</v>
      </c>
    </row>
    <row r="1076" spans="1:10" x14ac:dyDescent="0.25">
      <c r="A1076">
        <v>27818469</v>
      </c>
      <c r="B1076" t="s">
        <v>17</v>
      </c>
      <c r="C1076" s="4">
        <v>44771.318274652767</v>
      </c>
      <c r="D1076" t="s">
        <v>1236</v>
      </c>
      <c r="E1076" t="s">
        <v>38</v>
      </c>
      <c r="F1076" t="s">
        <v>23</v>
      </c>
      <c r="G1076" t="s">
        <v>140</v>
      </c>
      <c r="H1076" t="s">
        <v>54</v>
      </c>
      <c r="I1076" t="s">
        <v>21</v>
      </c>
      <c r="J1076" t="s">
        <v>1237</v>
      </c>
    </row>
    <row r="1077" spans="1:10" x14ac:dyDescent="0.25">
      <c r="A1077">
        <v>27818488</v>
      </c>
      <c r="B1077" t="s">
        <v>17</v>
      </c>
      <c r="C1077" s="4">
        <v>44771.318690335647</v>
      </c>
      <c r="D1077" t="s">
        <v>844</v>
      </c>
      <c r="E1077" t="s">
        <v>30</v>
      </c>
      <c r="F1077" t="s">
        <v>31</v>
      </c>
      <c r="G1077" t="s">
        <v>32</v>
      </c>
      <c r="H1077" t="s">
        <v>25</v>
      </c>
      <c r="I1077" t="s">
        <v>21</v>
      </c>
      <c r="J1077" t="s">
        <v>305</v>
      </c>
    </row>
    <row r="1078" spans="1:10" x14ac:dyDescent="0.25">
      <c r="A1078">
        <v>27818523</v>
      </c>
      <c r="B1078" t="s">
        <v>17</v>
      </c>
      <c r="C1078" s="4">
        <v>44771.3192074537</v>
      </c>
      <c r="F1078" t="s">
        <v>31</v>
      </c>
      <c r="G1078" t="s">
        <v>112</v>
      </c>
      <c r="H1078" t="s">
        <v>20</v>
      </c>
      <c r="I1078" t="s">
        <v>21</v>
      </c>
    </row>
    <row r="1079" spans="1:10" x14ac:dyDescent="0.25">
      <c r="A1079">
        <v>27818534</v>
      </c>
      <c r="B1079" t="s">
        <v>17</v>
      </c>
      <c r="C1079" s="4">
        <v>44771.31934519676</v>
      </c>
      <c r="D1079" t="s">
        <v>1244</v>
      </c>
      <c r="E1079" t="s">
        <v>38</v>
      </c>
      <c r="F1079" t="s">
        <v>52</v>
      </c>
      <c r="G1079" t="s">
        <v>77</v>
      </c>
      <c r="H1079" t="s">
        <v>42</v>
      </c>
      <c r="I1079" t="s">
        <v>21</v>
      </c>
      <c r="J1079" t="s">
        <v>1245</v>
      </c>
    </row>
    <row r="1080" spans="1:10" x14ac:dyDescent="0.25">
      <c r="A1080">
        <v>27818548</v>
      </c>
      <c r="B1080" t="s">
        <v>17</v>
      </c>
      <c r="C1080" s="4">
        <v>44771.319470127317</v>
      </c>
      <c r="D1080" t="s">
        <v>1240</v>
      </c>
      <c r="E1080" t="s">
        <v>191</v>
      </c>
      <c r="F1080" t="s">
        <v>49</v>
      </c>
      <c r="G1080" t="s">
        <v>192</v>
      </c>
      <c r="H1080" t="s">
        <v>54</v>
      </c>
      <c r="I1080" t="s">
        <v>21</v>
      </c>
      <c r="J1080" t="s">
        <v>329</v>
      </c>
    </row>
    <row r="1081" spans="1:10" x14ac:dyDescent="0.25">
      <c r="A1081">
        <v>27818550</v>
      </c>
      <c r="B1081" t="s">
        <v>17</v>
      </c>
      <c r="C1081" s="4">
        <v>44771.319481886567</v>
      </c>
      <c r="D1081" t="s">
        <v>1241</v>
      </c>
      <c r="E1081" t="s">
        <v>939</v>
      </c>
      <c r="F1081" t="s">
        <v>49</v>
      </c>
      <c r="G1081" t="s">
        <v>84</v>
      </c>
      <c r="H1081" t="s">
        <v>54</v>
      </c>
      <c r="I1081" t="s">
        <v>21</v>
      </c>
      <c r="J1081" t="s">
        <v>238</v>
      </c>
    </row>
    <row r="1082" spans="1:10" x14ac:dyDescent="0.25">
      <c r="A1082">
        <v>27818552</v>
      </c>
      <c r="B1082" t="s">
        <v>17</v>
      </c>
      <c r="C1082" s="4">
        <v>44771.319498564822</v>
      </c>
      <c r="D1082" t="s">
        <v>1246</v>
      </c>
      <c r="E1082" t="s">
        <v>379</v>
      </c>
      <c r="F1082" t="s">
        <v>31</v>
      </c>
      <c r="G1082" t="s">
        <v>112</v>
      </c>
      <c r="H1082" t="s">
        <v>267</v>
      </c>
      <c r="I1082" t="s">
        <v>21</v>
      </c>
    </row>
    <row r="1083" spans="1:10" x14ac:dyDescent="0.25">
      <c r="A1083">
        <v>27818562</v>
      </c>
      <c r="B1083" t="s">
        <v>17</v>
      </c>
      <c r="C1083" s="4">
        <v>44771.319513240742</v>
      </c>
      <c r="D1083" t="s">
        <v>1246</v>
      </c>
      <c r="E1083" t="s">
        <v>379</v>
      </c>
      <c r="F1083" t="s">
        <v>31</v>
      </c>
      <c r="G1083" t="s">
        <v>112</v>
      </c>
      <c r="H1083" t="s">
        <v>196</v>
      </c>
      <c r="I1083" t="s">
        <v>21</v>
      </c>
    </row>
    <row r="1084" spans="1:10" x14ac:dyDescent="0.25">
      <c r="A1084">
        <v>27818590</v>
      </c>
      <c r="B1084" t="s">
        <v>17</v>
      </c>
      <c r="C1084" s="4">
        <v>44771.319931759259</v>
      </c>
      <c r="D1084" t="s">
        <v>1236</v>
      </c>
      <c r="E1084" t="s">
        <v>38</v>
      </c>
      <c r="F1084" t="s">
        <v>23</v>
      </c>
      <c r="G1084" t="s">
        <v>140</v>
      </c>
      <c r="H1084" t="s">
        <v>40</v>
      </c>
      <c r="I1084" t="s">
        <v>21</v>
      </c>
      <c r="J1084" t="s">
        <v>1237</v>
      </c>
    </row>
    <row r="1085" spans="1:10" x14ac:dyDescent="0.25">
      <c r="A1085">
        <v>27818595</v>
      </c>
      <c r="B1085" t="s">
        <v>17</v>
      </c>
      <c r="C1085" s="4">
        <v>44771.31999236111</v>
      </c>
      <c r="D1085" t="s">
        <v>1241</v>
      </c>
      <c r="E1085" t="s">
        <v>939</v>
      </c>
      <c r="F1085" t="s">
        <v>49</v>
      </c>
      <c r="G1085" t="s">
        <v>84</v>
      </c>
      <c r="H1085" t="s">
        <v>40</v>
      </c>
      <c r="I1085" t="s">
        <v>21</v>
      </c>
      <c r="J1085" t="s">
        <v>238</v>
      </c>
    </row>
    <row r="1086" spans="1:10" x14ac:dyDescent="0.25">
      <c r="A1086">
        <v>27818607</v>
      </c>
      <c r="B1086" t="s">
        <v>17</v>
      </c>
      <c r="C1086" s="4">
        <v>44771.320433090281</v>
      </c>
      <c r="D1086" t="s">
        <v>1241</v>
      </c>
      <c r="E1086" t="s">
        <v>939</v>
      </c>
      <c r="F1086" t="s">
        <v>49</v>
      </c>
      <c r="G1086" t="s">
        <v>84</v>
      </c>
      <c r="H1086" t="s">
        <v>25</v>
      </c>
      <c r="I1086" t="s">
        <v>21</v>
      </c>
      <c r="J1086" t="s">
        <v>238</v>
      </c>
    </row>
    <row r="1087" spans="1:10" x14ac:dyDescent="0.25">
      <c r="A1087">
        <v>27818617</v>
      </c>
      <c r="B1087" t="s">
        <v>17</v>
      </c>
      <c r="C1087" s="4">
        <v>44771.3204762963</v>
      </c>
      <c r="D1087" t="s">
        <v>1236</v>
      </c>
      <c r="E1087" t="s">
        <v>38</v>
      </c>
      <c r="F1087" t="s">
        <v>23</v>
      </c>
      <c r="G1087" t="s">
        <v>140</v>
      </c>
      <c r="H1087" t="s">
        <v>25</v>
      </c>
      <c r="I1087" t="s">
        <v>21</v>
      </c>
      <c r="J1087" t="s">
        <v>1237</v>
      </c>
    </row>
    <row r="1088" spans="1:10" x14ac:dyDescent="0.25">
      <c r="A1088">
        <v>27818645</v>
      </c>
      <c r="B1088" t="s">
        <v>17</v>
      </c>
      <c r="C1088" s="4">
        <v>44771.321085451389</v>
      </c>
      <c r="D1088" t="s">
        <v>1247</v>
      </c>
      <c r="E1088" t="s">
        <v>44</v>
      </c>
      <c r="F1088" t="s">
        <v>49</v>
      </c>
      <c r="G1088" t="s">
        <v>74</v>
      </c>
      <c r="H1088" t="s">
        <v>29</v>
      </c>
      <c r="I1088" t="s">
        <v>21</v>
      </c>
      <c r="J1088" t="s">
        <v>643</v>
      </c>
    </row>
    <row r="1089" spans="1:10" x14ac:dyDescent="0.25">
      <c r="A1089">
        <v>27818657</v>
      </c>
      <c r="B1089" t="s">
        <v>17</v>
      </c>
      <c r="C1089" s="4">
        <v>44771.321191643518</v>
      </c>
      <c r="D1089" t="s">
        <v>1248</v>
      </c>
      <c r="E1089" t="s">
        <v>387</v>
      </c>
      <c r="F1089" t="s">
        <v>18</v>
      </c>
      <c r="G1089" t="s">
        <v>271</v>
      </c>
      <c r="H1089" t="s">
        <v>29</v>
      </c>
      <c r="I1089" t="s">
        <v>21</v>
      </c>
      <c r="J1089" t="s">
        <v>1190</v>
      </c>
    </row>
    <row r="1090" spans="1:10" x14ac:dyDescent="0.25">
      <c r="A1090">
        <v>27818686</v>
      </c>
      <c r="B1090" t="s">
        <v>17</v>
      </c>
      <c r="C1090" s="4">
        <v>44771.32180380787</v>
      </c>
      <c r="D1090" t="s">
        <v>1249</v>
      </c>
      <c r="E1090" t="s">
        <v>129</v>
      </c>
      <c r="F1090" t="s">
        <v>49</v>
      </c>
      <c r="G1090" t="s">
        <v>359</v>
      </c>
      <c r="H1090" t="s">
        <v>29</v>
      </c>
      <c r="I1090" t="s">
        <v>21</v>
      </c>
      <c r="J1090" t="s">
        <v>1250</v>
      </c>
    </row>
    <row r="1091" spans="1:10" x14ac:dyDescent="0.25">
      <c r="A1091">
        <v>27818696</v>
      </c>
      <c r="B1091" t="s">
        <v>17</v>
      </c>
      <c r="C1091" s="4">
        <v>44771.32183429398</v>
      </c>
      <c r="D1091" t="s">
        <v>1251</v>
      </c>
      <c r="E1091" t="s">
        <v>129</v>
      </c>
      <c r="F1091" t="s">
        <v>49</v>
      </c>
      <c r="G1091" t="s">
        <v>359</v>
      </c>
      <c r="H1091" t="s">
        <v>42</v>
      </c>
      <c r="I1091" t="s">
        <v>21</v>
      </c>
      <c r="J1091" t="s">
        <v>1252</v>
      </c>
    </row>
    <row r="1092" spans="1:10" x14ac:dyDescent="0.25">
      <c r="A1092">
        <v>27818706</v>
      </c>
      <c r="B1092" t="s">
        <v>17</v>
      </c>
      <c r="C1092" s="4">
        <v>44771.321995358798</v>
      </c>
      <c r="D1092" t="s">
        <v>1244</v>
      </c>
      <c r="E1092" t="s">
        <v>38</v>
      </c>
      <c r="F1092" t="s">
        <v>52</v>
      </c>
      <c r="G1092" t="s">
        <v>77</v>
      </c>
      <c r="H1092" t="s">
        <v>54</v>
      </c>
      <c r="I1092" t="s">
        <v>21</v>
      </c>
      <c r="J1092" t="s">
        <v>1245</v>
      </c>
    </row>
    <row r="1093" spans="1:10" x14ac:dyDescent="0.25">
      <c r="A1093">
        <v>27818714</v>
      </c>
      <c r="B1093" t="s">
        <v>17</v>
      </c>
      <c r="C1093" s="4">
        <v>44771.32206539352</v>
      </c>
      <c r="D1093" t="s">
        <v>1253</v>
      </c>
      <c r="E1093" t="s">
        <v>38</v>
      </c>
      <c r="F1093" t="s">
        <v>23</v>
      </c>
      <c r="G1093" t="s">
        <v>172</v>
      </c>
      <c r="H1093" t="s">
        <v>42</v>
      </c>
      <c r="I1093" t="s">
        <v>21</v>
      </c>
      <c r="J1093" t="s">
        <v>279</v>
      </c>
    </row>
    <row r="1094" spans="1:10" x14ac:dyDescent="0.25">
      <c r="A1094">
        <v>27818747</v>
      </c>
      <c r="B1094" t="s">
        <v>17</v>
      </c>
      <c r="C1094" s="4">
        <v>44771.323049664352</v>
      </c>
      <c r="D1094" t="s">
        <v>1254</v>
      </c>
      <c r="E1094" t="s">
        <v>27</v>
      </c>
      <c r="F1094" t="s">
        <v>18</v>
      </c>
      <c r="G1094" t="s">
        <v>260</v>
      </c>
      <c r="H1094" t="s">
        <v>42</v>
      </c>
      <c r="I1094" t="s">
        <v>21</v>
      </c>
      <c r="J1094" t="s">
        <v>1255</v>
      </c>
    </row>
    <row r="1095" spans="1:10" x14ac:dyDescent="0.25">
      <c r="A1095">
        <v>27818751</v>
      </c>
      <c r="B1095" t="s">
        <v>17</v>
      </c>
      <c r="C1095" s="4">
        <v>44771.323100752314</v>
      </c>
      <c r="D1095" t="s">
        <v>1256</v>
      </c>
      <c r="E1095" t="s">
        <v>38</v>
      </c>
      <c r="F1095" t="s">
        <v>52</v>
      </c>
      <c r="G1095" t="s">
        <v>90</v>
      </c>
      <c r="H1095" t="s">
        <v>40</v>
      </c>
      <c r="I1095" t="s">
        <v>21</v>
      </c>
      <c r="J1095" t="s">
        <v>212</v>
      </c>
    </row>
    <row r="1096" spans="1:10" x14ac:dyDescent="0.25">
      <c r="A1096">
        <v>27818766</v>
      </c>
      <c r="B1096" t="s">
        <v>17</v>
      </c>
      <c r="C1096" s="4">
        <v>44771.323168159717</v>
      </c>
      <c r="D1096" t="s">
        <v>1254</v>
      </c>
      <c r="E1096" t="s">
        <v>27</v>
      </c>
      <c r="F1096" t="s">
        <v>18</v>
      </c>
      <c r="G1096" t="s">
        <v>260</v>
      </c>
      <c r="H1096" t="s">
        <v>54</v>
      </c>
      <c r="I1096" t="s">
        <v>21</v>
      </c>
      <c r="J1096" t="s">
        <v>1255</v>
      </c>
    </row>
    <row r="1097" spans="1:10" x14ac:dyDescent="0.25">
      <c r="A1097">
        <v>27818773</v>
      </c>
      <c r="B1097" t="s">
        <v>17</v>
      </c>
      <c r="C1097" s="4">
        <v>44771.323368981481</v>
      </c>
      <c r="D1097" t="s">
        <v>1251</v>
      </c>
      <c r="E1097" t="s">
        <v>129</v>
      </c>
      <c r="F1097" t="s">
        <v>49</v>
      </c>
      <c r="G1097" t="s">
        <v>359</v>
      </c>
      <c r="H1097" t="s">
        <v>239</v>
      </c>
      <c r="I1097" t="s">
        <v>21</v>
      </c>
      <c r="J1097" t="s">
        <v>1252</v>
      </c>
    </row>
    <row r="1098" spans="1:10" x14ac:dyDescent="0.25">
      <c r="A1098">
        <v>27818774</v>
      </c>
      <c r="B1098" t="s">
        <v>17</v>
      </c>
      <c r="C1098" s="4">
        <v>44771.323379444453</v>
      </c>
      <c r="D1098" t="s">
        <v>1251</v>
      </c>
      <c r="E1098" t="s">
        <v>129</v>
      </c>
      <c r="F1098" t="s">
        <v>49</v>
      </c>
      <c r="G1098" t="s">
        <v>359</v>
      </c>
      <c r="H1098" t="s">
        <v>240</v>
      </c>
      <c r="I1098" t="s">
        <v>21</v>
      </c>
      <c r="J1098" t="s">
        <v>1252</v>
      </c>
    </row>
    <row r="1099" spans="1:10" x14ac:dyDescent="0.25">
      <c r="A1099">
        <v>27818778</v>
      </c>
      <c r="B1099" t="s">
        <v>17</v>
      </c>
      <c r="C1099" s="4">
        <v>44771.323544814812</v>
      </c>
      <c r="D1099" t="s">
        <v>1257</v>
      </c>
      <c r="E1099" t="s">
        <v>254</v>
      </c>
      <c r="F1099" t="s">
        <v>49</v>
      </c>
      <c r="G1099" t="s">
        <v>218</v>
      </c>
      <c r="H1099" t="s">
        <v>29</v>
      </c>
      <c r="I1099" t="s">
        <v>21</v>
      </c>
      <c r="J1099" t="s">
        <v>1258</v>
      </c>
    </row>
    <row r="1100" spans="1:10" x14ac:dyDescent="0.25">
      <c r="A1100">
        <v>27818795</v>
      </c>
      <c r="B1100" t="s">
        <v>17</v>
      </c>
      <c r="C1100" s="4">
        <v>44771.323865729173</v>
      </c>
      <c r="D1100" t="s">
        <v>1256</v>
      </c>
      <c r="E1100" t="s">
        <v>38</v>
      </c>
      <c r="F1100" t="s">
        <v>52</v>
      </c>
      <c r="G1100" t="s">
        <v>90</v>
      </c>
      <c r="H1100" t="s">
        <v>25</v>
      </c>
      <c r="I1100" t="s">
        <v>21</v>
      </c>
      <c r="J1100" t="s">
        <v>212</v>
      </c>
    </row>
    <row r="1101" spans="1:10" x14ac:dyDescent="0.25">
      <c r="A1101">
        <v>27818820</v>
      </c>
      <c r="B1101" t="s">
        <v>17</v>
      </c>
      <c r="C1101" s="4">
        <v>44771.324441886572</v>
      </c>
      <c r="D1101" t="s">
        <v>1259</v>
      </c>
      <c r="E1101" t="s">
        <v>22</v>
      </c>
      <c r="F1101" t="s">
        <v>52</v>
      </c>
      <c r="G1101" t="s">
        <v>65</v>
      </c>
      <c r="H1101" t="s">
        <v>40</v>
      </c>
      <c r="I1101" t="s">
        <v>21</v>
      </c>
      <c r="J1101" t="s">
        <v>258</v>
      </c>
    </row>
    <row r="1102" spans="1:10" x14ac:dyDescent="0.25">
      <c r="A1102">
        <v>27818833</v>
      </c>
      <c r="B1102" t="s">
        <v>17</v>
      </c>
      <c r="C1102" s="4">
        <v>44771.32490728009</v>
      </c>
      <c r="D1102" t="s">
        <v>1259</v>
      </c>
      <c r="E1102" t="s">
        <v>22</v>
      </c>
      <c r="F1102" t="s">
        <v>52</v>
      </c>
      <c r="G1102" t="s">
        <v>65</v>
      </c>
      <c r="H1102" t="s">
        <v>25</v>
      </c>
      <c r="I1102" t="s">
        <v>21</v>
      </c>
      <c r="J1102" t="s">
        <v>258</v>
      </c>
    </row>
    <row r="1103" spans="1:10" x14ac:dyDescent="0.25">
      <c r="A1103">
        <v>27818862</v>
      </c>
      <c r="B1103" t="s">
        <v>17</v>
      </c>
      <c r="C1103" s="4">
        <v>44771.325736527782</v>
      </c>
      <c r="D1103" t="s">
        <v>1253</v>
      </c>
      <c r="E1103" t="s">
        <v>38</v>
      </c>
      <c r="F1103" t="s">
        <v>23</v>
      </c>
      <c r="G1103" t="s">
        <v>172</v>
      </c>
      <c r="H1103" t="s">
        <v>54</v>
      </c>
      <c r="I1103" t="s">
        <v>21</v>
      </c>
      <c r="J1103" t="s">
        <v>279</v>
      </c>
    </row>
    <row r="1104" spans="1:10" x14ac:dyDescent="0.25">
      <c r="A1104">
        <v>27818895</v>
      </c>
      <c r="B1104" t="s">
        <v>17</v>
      </c>
      <c r="C1104" s="4">
        <v>44771.326509918981</v>
      </c>
      <c r="D1104" t="s">
        <v>1243</v>
      </c>
      <c r="E1104" t="s">
        <v>72</v>
      </c>
      <c r="F1104" t="s">
        <v>49</v>
      </c>
      <c r="G1104" t="s">
        <v>128</v>
      </c>
      <c r="H1104" t="s">
        <v>54</v>
      </c>
      <c r="I1104" t="s">
        <v>21</v>
      </c>
      <c r="J1104" t="s">
        <v>284</v>
      </c>
    </row>
    <row r="1105" spans="1:10" x14ac:dyDescent="0.25">
      <c r="A1105">
        <v>27818924</v>
      </c>
      <c r="B1105" t="s">
        <v>17</v>
      </c>
      <c r="C1105" s="4">
        <v>44771.327760300926</v>
      </c>
      <c r="D1105" t="s">
        <v>1240</v>
      </c>
      <c r="E1105" t="s">
        <v>191</v>
      </c>
      <c r="F1105" t="s">
        <v>49</v>
      </c>
      <c r="G1105" t="s">
        <v>192</v>
      </c>
      <c r="H1105" t="s">
        <v>40</v>
      </c>
      <c r="I1105" t="s">
        <v>21</v>
      </c>
      <c r="J1105" t="s">
        <v>329</v>
      </c>
    </row>
    <row r="1106" spans="1:10" x14ac:dyDescent="0.25">
      <c r="A1106">
        <v>27818937</v>
      </c>
      <c r="B1106" t="s">
        <v>17</v>
      </c>
      <c r="C1106" s="4">
        <v>44771.328141956023</v>
      </c>
      <c r="D1106" t="s">
        <v>1260</v>
      </c>
      <c r="E1106" t="s">
        <v>62</v>
      </c>
      <c r="F1106" t="s">
        <v>18</v>
      </c>
      <c r="G1106" t="s">
        <v>83</v>
      </c>
      <c r="H1106" t="s">
        <v>42</v>
      </c>
      <c r="I1106" t="s">
        <v>21</v>
      </c>
      <c r="J1106" t="s">
        <v>1261</v>
      </c>
    </row>
    <row r="1107" spans="1:10" x14ac:dyDescent="0.25">
      <c r="A1107">
        <v>27818948</v>
      </c>
      <c r="B1107" t="s">
        <v>17</v>
      </c>
      <c r="C1107" s="4">
        <v>44771.328342592591</v>
      </c>
      <c r="D1107" t="s">
        <v>1206</v>
      </c>
      <c r="E1107" t="s">
        <v>22</v>
      </c>
      <c r="F1107" t="s">
        <v>23</v>
      </c>
      <c r="G1107" t="s">
        <v>149</v>
      </c>
      <c r="H1107" t="s">
        <v>29</v>
      </c>
      <c r="I1107" t="s">
        <v>21</v>
      </c>
      <c r="J1107" t="s">
        <v>277</v>
      </c>
    </row>
    <row r="1108" spans="1:10" x14ac:dyDescent="0.25">
      <c r="A1108">
        <v>27818954</v>
      </c>
      <c r="B1108" t="s">
        <v>17</v>
      </c>
      <c r="C1108" s="4">
        <v>44771.328362986111</v>
      </c>
      <c r="D1108" t="s">
        <v>1240</v>
      </c>
      <c r="E1108" t="s">
        <v>191</v>
      </c>
      <c r="F1108" t="s">
        <v>49</v>
      </c>
      <c r="G1108" t="s">
        <v>192</v>
      </c>
      <c r="H1108" t="s">
        <v>25</v>
      </c>
      <c r="I1108" t="s">
        <v>21</v>
      </c>
      <c r="J1108" t="s">
        <v>329</v>
      </c>
    </row>
    <row r="1109" spans="1:10" x14ac:dyDescent="0.25">
      <c r="A1109">
        <v>27818965</v>
      </c>
      <c r="B1109" t="s">
        <v>17</v>
      </c>
      <c r="C1109" s="4">
        <v>44771.328413981479</v>
      </c>
      <c r="D1109" t="s">
        <v>1243</v>
      </c>
      <c r="E1109" t="s">
        <v>72</v>
      </c>
      <c r="F1109" t="s">
        <v>49</v>
      </c>
      <c r="G1109" t="s">
        <v>128</v>
      </c>
      <c r="H1109" t="s">
        <v>40</v>
      </c>
      <c r="I1109" t="s">
        <v>21</v>
      </c>
      <c r="J1109" t="s">
        <v>284</v>
      </c>
    </row>
    <row r="1110" spans="1:10" x14ac:dyDescent="0.25">
      <c r="A1110">
        <v>27818974</v>
      </c>
      <c r="B1110" t="s">
        <v>17</v>
      </c>
      <c r="C1110" s="4">
        <v>44771.328698877318</v>
      </c>
      <c r="D1110" t="s">
        <v>1253</v>
      </c>
      <c r="E1110" t="s">
        <v>38</v>
      </c>
      <c r="F1110" t="s">
        <v>23</v>
      </c>
      <c r="G1110" t="s">
        <v>172</v>
      </c>
      <c r="H1110" t="s">
        <v>40</v>
      </c>
      <c r="I1110" t="s">
        <v>21</v>
      </c>
      <c r="J1110" t="s">
        <v>279</v>
      </c>
    </row>
    <row r="1111" spans="1:10" x14ac:dyDescent="0.25">
      <c r="A1111">
        <v>27818977</v>
      </c>
      <c r="B1111" t="s">
        <v>17</v>
      </c>
      <c r="C1111" s="4">
        <v>44771.328805960649</v>
      </c>
      <c r="D1111" t="s">
        <v>1244</v>
      </c>
      <c r="E1111" t="s">
        <v>38</v>
      </c>
      <c r="F1111" t="s">
        <v>52</v>
      </c>
      <c r="G1111" t="s">
        <v>77</v>
      </c>
      <c r="H1111" t="s">
        <v>40</v>
      </c>
      <c r="I1111" t="s">
        <v>21</v>
      </c>
      <c r="J1111" t="s">
        <v>1245</v>
      </c>
    </row>
    <row r="1112" spans="1:10" x14ac:dyDescent="0.25">
      <c r="A1112">
        <v>27818981</v>
      </c>
      <c r="B1112" t="s">
        <v>17</v>
      </c>
      <c r="C1112" s="4">
        <v>44771.328894386577</v>
      </c>
      <c r="D1112" t="s">
        <v>1243</v>
      </c>
      <c r="E1112" t="s">
        <v>72</v>
      </c>
      <c r="F1112" t="s">
        <v>49</v>
      </c>
      <c r="G1112" t="s">
        <v>128</v>
      </c>
      <c r="H1112" t="s">
        <v>25</v>
      </c>
      <c r="I1112" t="s">
        <v>21</v>
      </c>
      <c r="J1112" t="s">
        <v>284</v>
      </c>
    </row>
    <row r="1113" spans="1:10" x14ac:dyDescent="0.25">
      <c r="A1113">
        <v>27818990</v>
      </c>
      <c r="B1113" t="s">
        <v>17</v>
      </c>
      <c r="C1113" s="4">
        <v>44771.328911365737</v>
      </c>
      <c r="D1113" t="s">
        <v>1260</v>
      </c>
      <c r="E1113" t="s">
        <v>62</v>
      </c>
      <c r="F1113" t="s">
        <v>18</v>
      </c>
      <c r="G1113" t="s">
        <v>83</v>
      </c>
      <c r="H1113" t="s">
        <v>54</v>
      </c>
      <c r="I1113" t="s">
        <v>21</v>
      </c>
      <c r="J1113" t="s">
        <v>1261</v>
      </c>
    </row>
    <row r="1114" spans="1:10" x14ac:dyDescent="0.25">
      <c r="A1114">
        <v>27819007</v>
      </c>
      <c r="B1114" t="s">
        <v>17</v>
      </c>
      <c r="C1114" s="4">
        <v>44771.329256944453</v>
      </c>
      <c r="D1114" t="s">
        <v>1253</v>
      </c>
      <c r="E1114" t="s">
        <v>38</v>
      </c>
      <c r="F1114" t="s">
        <v>23</v>
      </c>
      <c r="G1114" t="s">
        <v>172</v>
      </c>
      <c r="H1114" t="s">
        <v>25</v>
      </c>
      <c r="I1114" t="s">
        <v>21</v>
      </c>
      <c r="J1114" t="s">
        <v>279</v>
      </c>
    </row>
    <row r="1115" spans="1:10" x14ac:dyDescent="0.25">
      <c r="A1115">
        <v>27819021</v>
      </c>
      <c r="B1115" t="s">
        <v>17</v>
      </c>
      <c r="C1115" s="4">
        <v>44771.329332777779</v>
      </c>
      <c r="D1115" t="s">
        <v>1251</v>
      </c>
      <c r="E1115" t="s">
        <v>129</v>
      </c>
      <c r="F1115" t="s">
        <v>49</v>
      </c>
      <c r="G1115" t="s">
        <v>359</v>
      </c>
      <c r="H1115" t="s">
        <v>40</v>
      </c>
      <c r="I1115" t="s">
        <v>21</v>
      </c>
      <c r="J1115" t="s">
        <v>1252</v>
      </c>
    </row>
    <row r="1116" spans="1:10" x14ac:dyDescent="0.25">
      <c r="A1116">
        <v>27819026</v>
      </c>
      <c r="B1116" t="s">
        <v>17</v>
      </c>
      <c r="C1116" s="4">
        <v>44771.32941392361</v>
      </c>
      <c r="D1116" t="s">
        <v>1262</v>
      </c>
      <c r="E1116" t="s">
        <v>62</v>
      </c>
      <c r="F1116" t="s">
        <v>18</v>
      </c>
      <c r="G1116" t="s">
        <v>102</v>
      </c>
      <c r="H1116" t="s">
        <v>29</v>
      </c>
      <c r="I1116" t="s">
        <v>21</v>
      </c>
      <c r="J1116" t="s">
        <v>1263</v>
      </c>
    </row>
    <row r="1117" spans="1:10" x14ac:dyDescent="0.25">
      <c r="A1117">
        <v>27819033</v>
      </c>
      <c r="B1117" t="s">
        <v>17</v>
      </c>
      <c r="C1117" s="4">
        <v>44771.329442939823</v>
      </c>
      <c r="D1117" t="s">
        <v>1244</v>
      </c>
      <c r="E1117" t="s">
        <v>38</v>
      </c>
      <c r="F1117" t="s">
        <v>52</v>
      </c>
      <c r="G1117" t="s">
        <v>77</v>
      </c>
      <c r="H1117" t="s">
        <v>25</v>
      </c>
      <c r="I1117" t="s">
        <v>21</v>
      </c>
      <c r="J1117" t="s">
        <v>1245</v>
      </c>
    </row>
    <row r="1118" spans="1:10" x14ac:dyDescent="0.25">
      <c r="A1118">
        <v>27819046</v>
      </c>
      <c r="B1118" t="s">
        <v>17</v>
      </c>
      <c r="C1118" s="4">
        <v>44771.329463738417</v>
      </c>
      <c r="F1118" t="s">
        <v>23</v>
      </c>
      <c r="G1118" t="s">
        <v>178</v>
      </c>
      <c r="H1118" t="s">
        <v>20</v>
      </c>
      <c r="I1118" t="s">
        <v>21</v>
      </c>
    </row>
    <row r="1119" spans="1:10" x14ac:dyDescent="0.25">
      <c r="A1119">
        <v>27819081</v>
      </c>
      <c r="B1119" t="s">
        <v>17</v>
      </c>
      <c r="C1119" s="4">
        <v>44771.329966863428</v>
      </c>
      <c r="D1119" t="s">
        <v>1251</v>
      </c>
      <c r="E1119" t="s">
        <v>129</v>
      </c>
      <c r="F1119" t="s">
        <v>49</v>
      </c>
      <c r="G1119" t="s">
        <v>359</v>
      </c>
      <c r="H1119" t="s">
        <v>25</v>
      </c>
      <c r="I1119" t="s">
        <v>21</v>
      </c>
      <c r="J1119" t="s">
        <v>1252</v>
      </c>
    </row>
    <row r="1120" spans="1:10" x14ac:dyDescent="0.25">
      <c r="A1120">
        <v>27819094</v>
      </c>
      <c r="B1120" t="s">
        <v>17</v>
      </c>
      <c r="C1120" s="4">
        <v>44771.33009103009</v>
      </c>
      <c r="D1120" t="s">
        <v>1264</v>
      </c>
      <c r="E1120" t="s">
        <v>129</v>
      </c>
      <c r="F1120" t="s">
        <v>49</v>
      </c>
      <c r="G1120" t="s">
        <v>106</v>
      </c>
      <c r="H1120" t="s">
        <v>29</v>
      </c>
      <c r="I1120" t="s">
        <v>21</v>
      </c>
      <c r="J1120" t="s">
        <v>242</v>
      </c>
    </row>
    <row r="1121" spans="1:10" x14ac:dyDescent="0.25">
      <c r="A1121">
        <v>27819106</v>
      </c>
      <c r="B1121" t="s">
        <v>17</v>
      </c>
      <c r="C1121" s="4">
        <v>44771.330275324071</v>
      </c>
      <c r="F1121" t="s">
        <v>23</v>
      </c>
      <c r="G1121" t="s">
        <v>149</v>
      </c>
      <c r="H1121" t="s">
        <v>195</v>
      </c>
      <c r="I1121" t="s">
        <v>21</v>
      </c>
    </row>
    <row r="1122" spans="1:10" x14ac:dyDescent="0.25">
      <c r="A1122">
        <v>27819126</v>
      </c>
      <c r="B1122" t="s">
        <v>17</v>
      </c>
      <c r="C1122" s="4">
        <v>44771.330797962961</v>
      </c>
      <c r="D1122" t="s">
        <v>1265</v>
      </c>
      <c r="E1122" t="s">
        <v>587</v>
      </c>
      <c r="F1122" t="s">
        <v>49</v>
      </c>
      <c r="G1122" t="s">
        <v>201</v>
      </c>
      <c r="H1122" t="s">
        <v>29</v>
      </c>
      <c r="I1122" t="s">
        <v>21</v>
      </c>
      <c r="J1122" t="s">
        <v>1266</v>
      </c>
    </row>
    <row r="1123" spans="1:10" x14ac:dyDescent="0.25">
      <c r="A1123">
        <v>27819135</v>
      </c>
      <c r="B1123" t="s">
        <v>17</v>
      </c>
      <c r="C1123" s="4">
        <v>44771.330931550932</v>
      </c>
      <c r="D1123" t="s">
        <v>1254</v>
      </c>
      <c r="E1123" t="s">
        <v>27</v>
      </c>
      <c r="F1123" t="s">
        <v>18</v>
      </c>
      <c r="G1123" t="s">
        <v>260</v>
      </c>
      <c r="H1123" t="s">
        <v>40</v>
      </c>
      <c r="I1123" t="s">
        <v>21</v>
      </c>
      <c r="J1123" t="s">
        <v>1255</v>
      </c>
    </row>
    <row r="1124" spans="1:10" x14ac:dyDescent="0.25">
      <c r="A1124">
        <v>27819142</v>
      </c>
      <c r="B1124" t="s">
        <v>17</v>
      </c>
      <c r="C1124" s="4">
        <v>44771.331209317133</v>
      </c>
      <c r="D1124" t="s">
        <v>1267</v>
      </c>
      <c r="E1124" t="s">
        <v>129</v>
      </c>
      <c r="F1124" t="s">
        <v>49</v>
      </c>
      <c r="G1124" t="s">
        <v>359</v>
      </c>
      <c r="H1124" t="s">
        <v>42</v>
      </c>
      <c r="I1124" t="s">
        <v>21</v>
      </c>
      <c r="J1124" t="s">
        <v>1268</v>
      </c>
    </row>
    <row r="1125" spans="1:10" x14ac:dyDescent="0.25">
      <c r="A1125">
        <v>27819148</v>
      </c>
      <c r="B1125" t="s">
        <v>17</v>
      </c>
      <c r="C1125" s="4">
        <v>44771.331335995368</v>
      </c>
      <c r="D1125" t="s">
        <v>1269</v>
      </c>
      <c r="E1125" t="s">
        <v>72</v>
      </c>
      <c r="F1125" t="s">
        <v>18</v>
      </c>
      <c r="G1125" t="s">
        <v>236</v>
      </c>
      <c r="H1125" t="s">
        <v>29</v>
      </c>
      <c r="I1125" t="s">
        <v>21</v>
      </c>
      <c r="J1125" t="s">
        <v>1270</v>
      </c>
    </row>
    <row r="1126" spans="1:10" x14ac:dyDescent="0.25">
      <c r="A1126">
        <v>27819161</v>
      </c>
      <c r="B1126" t="s">
        <v>17</v>
      </c>
      <c r="C1126" s="4">
        <v>44771.331459212961</v>
      </c>
      <c r="D1126" t="s">
        <v>1254</v>
      </c>
      <c r="E1126" t="s">
        <v>27</v>
      </c>
      <c r="F1126" t="s">
        <v>18</v>
      </c>
      <c r="G1126" t="s">
        <v>260</v>
      </c>
      <c r="H1126" t="s">
        <v>25</v>
      </c>
      <c r="I1126" t="s">
        <v>21</v>
      </c>
      <c r="J1126" t="s">
        <v>1255</v>
      </c>
    </row>
    <row r="1127" spans="1:10" x14ac:dyDescent="0.25">
      <c r="A1127">
        <v>27819208</v>
      </c>
      <c r="B1127" t="s">
        <v>17</v>
      </c>
      <c r="C1127" s="4">
        <v>44771.332760983787</v>
      </c>
      <c r="F1127" t="s">
        <v>52</v>
      </c>
      <c r="G1127" t="s">
        <v>69</v>
      </c>
      <c r="H1127" t="s">
        <v>196</v>
      </c>
      <c r="I1127" t="s">
        <v>21</v>
      </c>
    </row>
    <row r="1128" spans="1:10" x14ac:dyDescent="0.25">
      <c r="A1128">
        <v>27819212</v>
      </c>
      <c r="B1128" t="s">
        <v>17</v>
      </c>
      <c r="C1128" s="4">
        <v>44771.333051990739</v>
      </c>
      <c r="F1128" t="s">
        <v>52</v>
      </c>
      <c r="G1128" t="s">
        <v>69</v>
      </c>
      <c r="H1128" t="s">
        <v>20</v>
      </c>
      <c r="I1128" t="s">
        <v>21</v>
      </c>
    </row>
    <row r="1129" spans="1:10" x14ac:dyDescent="0.25">
      <c r="A1129">
        <v>27819219</v>
      </c>
      <c r="B1129" t="s">
        <v>17</v>
      </c>
      <c r="C1129" s="4">
        <v>44771.33314422454</v>
      </c>
      <c r="D1129" t="s">
        <v>1260</v>
      </c>
      <c r="E1129" t="s">
        <v>62</v>
      </c>
      <c r="F1129" t="s">
        <v>18</v>
      </c>
      <c r="G1129" t="s">
        <v>83</v>
      </c>
      <c r="H1129" t="s">
        <v>118</v>
      </c>
      <c r="I1129" t="s">
        <v>36</v>
      </c>
      <c r="J1129" t="s">
        <v>1261</v>
      </c>
    </row>
    <row r="1130" spans="1:10" x14ac:dyDescent="0.25">
      <c r="A1130">
        <v>27819228</v>
      </c>
      <c r="B1130" t="s">
        <v>17</v>
      </c>
      <c r="C1130" s="4">
        <v>44771.333265868052</v>
      </c>
      <c r="D1130" t="s">
        <v>1260</v>
      </c>
      <c r="E1130" t="s">
        <v>62</v>
      </c>
      <c r="F1130" t="s">
        <v>18</v>
      </c>
      <c r="G1130" t="s">
        <v>83</v>
      </c>
      <c r="H1130" t="s">
        <v>35</v>
      </c>
      <c r="I1130" t="s">
        <v>36</v>
      </c>
      <c r="J1130" t="s">
        <v>1261</v>
      </c>
    </row>
    <row r="1131" spans="1:10" x14ac:dyDescent="0.25">
      <c r="A1131">
        <v>27819234</v>
      </c>
      <c r="B1131" t="s">
        <v>17</v>
      </c>
      <c r="C1131" s="4">
        <v>44771.333317546298</v>
      </c>
      <c r="D1131" t="s">
        <v>1271</v>
      </c>
      <c r="E1131" t="s">
        <v>1272</v>
      </c>
      <c r="F1131" t="s">
        <v>52</v>
      </c>
      <c r="G1131" t="s">
        <v>69</v>
      </c>
      <c r="H1131" t="s">
        <v>79</v>
      </c>
      <c r="I1131" t="s">
        <v>21</v>
      </c>
    </row>
    <row r="1132" spans="1:10" x14ac:dyDescent="0.25">
      <c r="A1132">
        <v>27819237</v>
      </c>
      <c r="B1132" t="s">
        <v>17</v>
      </c>
      <c r="C1132" s="4">
        <v>44771.333332314818</v>
      </c>
      <c r="F1132" t="s">
        <v>52</v>
      </c>
      <c r="G1132" t="s">
        <v>89</v>
      </c>
      <c r="H1132" t="s">
        <v>20</v>
      </c>
      <c r="I1132" t="s">
        <v>21</v>
      </c>
    </row>
    <row r="1133" spans="1:10" x14ac:dyDescent="0.25">
      <c r="A1133">
        <v>27819275</v>
      </c>
      <c r="B1133" t="s">
        <v>17</v>
      </c>
      <c r="C1133" s="4">
        <v>44771.333639629629</v>
      </c>
      <c r="D1133" t="s">
        <v>1273</v>
      </c>
      <c r="E1133" t="s">
        <v>975</v>
      </c>
      <c r="F1133" t="s">
        <v>49</v>
      </c>
      <c r="G1133" t="s">
        <v>250</v>
      </c>
      <c r="H1133" t="s">
        <v>42</v>
      </c>
      <c r="I1133" t="s">
        <v>21</v>
      </c>
      <c r="J1133" t="s">
        <v>1274</v>
      </c>
    </row>
    <row r="1134" spans="1:10" x14ac:dyDescent="0.25">
      <c r="A1134">
        <v>27819296</v>
      </c>
      <c r="B1134" t="s">
        <v>17</v>
      </c>
      <c r="C1134" s="4">
        <v>44771.334428344897</v>
      </c>
      <c r="D1134" t="s">
        <v>1260</v>
      </c>
      <c r="E1134" t="s">
        <v>62</v>
      </c>
      <c r="F1134" t="s">
        <v>18</v>
      </c>
      <c r="G1134" t="s">
        <v>83</v>
      </c>
      <c r="H1134" t="s">
        <v>40</v>
      </c>
      <c r="I1134" t="s">
        <v>21</v>
      </c>
      <c r="J1134" t="s">
        <v>1261</v>
      </c>
    </row>
    <row r="1135" spans="1:10" x14ac:dyDescent="0.25">
      <c r="A1135">
        <v>27819305</v>
      </c>
      <c r="B1135" t="s">
        <v>17</v>
      </c>
      <c r="C1135" s="4">
        <v>44771.334659571759</v>
      </c>
      <c r="D1135" t="s">
        <v>1260</v>
      </c>
      <c r="E1135" t="s">
        <v>62</v>
      </c>
      <c r="F1135" t="s">
        <v>18</v>
      </c>
      <c r="G1135" t="s">
        <v>83</v>
      </c>
      <c r="H1135" t="s">
        <v>25</v>
      </c>
      <c r="I1135" t="s">
        <v>21</v>
      </c>
      <c r="J1135" t="s">
        <v>1261</v>
      </c>
    </row>
    <row r="1136" spans="1:10" x14ac:dyDescent="0.25">
      <c r="A1136">
        <v>27819332</v>
      </c>
      <c r="B1136" t="s">
        <v>17</v>
      </c>
      <c r="C1136" s="4">
        <v>44771.335202233793</v>
      </c>
      <c r="D1136" t="s">
        <v>1275</v>
      </c>
      <c r="E1136" t="s">
        <v>387</v>
      </c>
      <c r="F1136" t="s">
        <v>18</v>
      </c>
      <c r="G1136" t="s">
        <v>207</v>
      </c>
      <c r="H1136" t="s">
        <v>42</v>
      </c>
      <c r="I1136" t="s">
        <v>21</v>
      </c>
      <c r="J1136" t="s">
        <v>1276</v>
      </c>
    </row>
    <row r="1137" spans="1:10" x14ac:dyDescent="0.25">
      <c r="A1137">
        <v>27819335</v>
      </c>
      <c r="B1137" t="s">
        <v>17</v>
      </c>
      <c r="C1137" s="4">
        <v>44771.3352462037</v>
      </c>
      <c r="D1137" t="s">
        <v>1275</v>
      </c>
      <c r="E1137" t="s">
        <v>387</v>
      </c>
      <c r="F1137" t="s">
        <v>18</v>
      </c>
      <c r="G1137" t="s">
        <v>207</v>
      </c>
      <c r="H1137" t="s">
        <v>54</v>
      </c>
      <c r="I1137" t="s">
        <v>21</v>
      </c>
      <c r="J1137" t="s">
        <v>1276</v>
      </c>
    </row>
    <row r="1138" spans="1:10" x14ac:dyDescent="0.25">
      <c r="A1138">
        <v>27819384</v>
      </c>
      <c r="B1138" t="s">
        <v>17</v>
      </c>
      <c r="C1138" s="4">
        <v>44771.336551527776</v>
      </c>
      <c r="D1138" t="s">
        <v>1267</v>
      </c>
      <c r="E1138" t="s">
        <v>129</v>
      </c>
      <c r="F1138" t="s">
        <v>49</v>
      </c>
      <c r="G1138" t="s">
        <v>359</v>
      </c>
      <c r="H1138" t="s">
        <v>239</v>
      </c>
      <c r="I1138" t="s">
        <v>21</v>
      </c>
      <c r="J1138" t="s">
        <v>1268</v>
      </c>
    </row>
    <row r="1139" spans="1:10" x14ac:dyDescent="0.25">
      <c r="A1139">
        <v>27819385</v>
      </c>
      <c r="B1139" t="s">
        <v>17</v>
      </c>
      <c r="C1139" s="4">
        <v>44771.336559166673</v>
      </c>
      <c r="D1139" t="s">
        <v>1267</v>
      </c>
      <c r="E1139" t="s">
        <v>129</v>
      </c>
      <c r="F1139" t="s">
        <v>49</v>
      </c>
      <c r="G1139" t="s">
        <v>359</v>
      </c>
      <c r="H1139" t="s">
        <v>240</v>
      </c>
      <c r="I1139" t="s">
        <v>21</v>
      </c>
      <c r="J1139" t="s">
        <v>1268</v>
      </c>
    </row>
    <row r="1140" spans="1:10" x14ac:dyDescent="0.25">
      <c r="A1140">
        <v>27819393</v>
      </c>
      <c r="B1140" t="s">
        <v>17</v>
      </c>
      <c r="C1140" s="4">
        <v>44771.336591192128</v>
      </c>
      <c r="D1140" t="s">
        <v>1277</v>
      </c>
      <c r="E1140" t="s">
        <v>38</v>
      </c>
      <c r="F1140" t="s">
        <v>23</v>
      </c>
      <c r="G1140" t="s">
        <v>337</v>
      </c>
      <c r="H1140" t="s">
        <v>42</v>
      </c>
      <c r="I1140" t="s">
        <v>21</v>
      </c>
      <c r="J1140" t="s">
        <v>290</v>
      </c>
    </row>
    <row r="1141" spans="1:10" x14ac:dyDescent="0.25">
      <c r="A1141">
        <v>27819419</v>
      </c>
      <c r="B1141" t="s">
        <v>17</v>
      </c>
      <c r="C1141" s="4">
        <v>44771.33697640046</v>
      </c>
      <c r="D1141" t="s">
        <v>1273</v>
      </c>
      <c r="E1141" t="s">
        <v>975</v>
      </c>
      <c r="F1141" t="s">
        <v>49</v>
      </c>
      <c r="G1141" t="s">
        <v>250</v>
      </c>
      <c r="H1141" t="s">
        <v>54</v>
      </c>
      <c r="I1141" t="s">
        <v>21</v>
      </c>
      <c r="J1141" t="s">
        <v>1274</v>
      </c>
    </row>
    <row r="1142" spans="1:10" x14ac:dyDescent="0.25">
      <c r="A1142">
        <v>27819433</v>
      </c>
      <c r="B1142" t="s">
        <v>17</v>
      </c>
      <c r="C1142" s="4">
        <v>44771.337561782413</v>
      </c>
      <c r="D1142" t="s">
        <v>1277</v>
      </c>
      <c r="E1142" t="s">
        <v>38</v>
      </c>
      <c r="F1142" t="s">
        <v>23</v>
      </c>
      <c r="G1142" t="s">
        <v>337</v>
      </c>
      <c r="H1142" t="s">
        <v>54</v>
      </c>
      <c r="I1142" t="s">
        <v>21</v>
      </c>
      <c r="J1142" t="s">
        <v>290</v>
      </c>
    </row>
    <row r="1143" spans="1:10" x14ac:dyDescent="0.25">
      <c r="A1143">
        <v>27819443</v>
      </c>
      <c r="B1143" t="s">
        <v>17</v>
      </c>
      <c r="C1143" s="4">
        <v>44771.337805856478</v>
      </c>
      <c r="D1143" t="s">
        <v>1278</v>
      </c>
      <c r="E1143" t="s">
        <v>123</v>
      </c>
      <c r="F1143" t="s">
        <v>49</v>
      </c>
      <c r="G1143" t="s">
        <v>146</v>
      </c>
      <c r="H1143" t="s">
        <v>29</v>
      </c>
      <c r="I1143" t="s">
        <v>21</v>
      </c>
      <c r="J1143" t="s">
        <v>1279</v>
      </c>
    </row>
    <row r="1144" spans="1:10" x14ac:dyDescent="0.25">
      <c r="A1144">
        <v>27819479</v>
      </c>
      <c r="B1144" t="s">
        <v>17</v>
      </c>
      <c r="C1144" s="4">
        <v>44771.339027881942</v>
      </c>
      <c r="D1144" t="s">
        <v>1280</v>
      </c>
      <c r="E1144" t="s">
        <v>72</v>
      </c>
      <c r="F1144" t="s">
        <v>49</v>
      </c>
      <c r="G1144" t="s">
        <v>50</v>
      </c>
      <c r="H1144" t="s">
        <v>29</v>
      </c>
      <c r="I1144" t="s">
        <v>21</v>
      </c>
      <c r="J1144" t="s">
        <v>259</v>
      </c>
    </row>
    <row r="1145" spans="1:10" x14ac:dyDescent="0.25">
      <c r="A1145">
        <v>27819493</v>
      </c>
      <c r="B1145" t="s">
        <v>17</v>
      </c>
      <c r="C1145" s="4">
        <v>44771.339524074072</v>
      </c>
      <c r="D1145" t="s">
        <v>1267</v>
      </c>
      <c r="E1145" t="s">
        <v>129</v>
      </c>
      <c r="F1145" t="s">
        <v>49</v>
      </c>
      <c r="G1145" t="s">
        <v>359</v>
      </c>
      <c r="H1145" t="s">
        <v>40</v>
      </c>
      <c r="I1145" t="s">
        <v>21</v>
      </c>
      <c r="J1145" t="s">
        <v>1268</v>
      </c>
    </row>
    <row r="1146" spans="1:10" x14ac:dyDescent="0.25">
      <c r="A1146">
        <v>27819502</v>
      </c>
      <c r="B1146" t="s">
        <v>17</v>
      </c>
      <c r="C1146" s="4">
        <v>44771.339940590267</v>
      </c>
      <c r="D1146" t="s">
        <v>1267</v>
      </c>
      <c r="E1146" t="s">
        <v>129</v>
      </c>
      <c r="F1146" t="s">
        <v>49</v>
      </c>
      <c r="G1146" t="s">
        <v>359</v>
      </c>
      <c r="H1146" t="s">
        <v>25</v>
      </c>
      <c r="I1146" t="s">
        <v>21</v>
      </c>
      <c r="J1146" t="s">
        <v>1268</v>
      </c>
    </row>
    <row r="1147" spans="1:10" x14ac:dyDescent="0.25">
      <c r="A1147">
        <v>27819546</v>
      </c>
      <c r="B1147" t="s">
        <v>17</v>
      </c>
      <c r="C1147" s="4">
        <v>44771.340432349527</v>
      </c>
      <c r="D1147" t="s">
        <v>1281</v>
      </c>
      <c r="E1147" t="s">
        <v>22</v>
      </c>
      <c r="F1147" t="s">
        <v>23</v>
      </c>
      <c r="G1147" t="s">
        <v>178</v>
      </c>
      <c r="H1147" t="s">
        <v>40</v>
      </c>
      <c r="I1147" t="s">
        <v>21</v>
      </c>
      <c r="J1147" t="s">
        <v>282</v>
      </c>
    </row>
    <row r="1148" spans="1:10" x14ac:dyDescent="0.25">
      <c r="A1148">
        <v>27819563</v>
      </c>
      <c r="B1148" t="s">
        <v>17</v>
      </c>
      <c r="C1148" s="4">
        <v>44771.340815729163</v>
      </c>
      <c r="D1148" t="s">
        <v>1282</v>
      </c>
      <c r="E1148" t="s">
        <v>38</v>
      </c>
      <c r="F1148" t="s">
        <v>23</v>
      </c>
      <c r="G1148" t="s">
        <v>51</v>
      </c>
      <c r="H1148" t="s">
        <v>42</v>
      </c>
      <c r="I1148" t="s">
        <v>21</v>
      </c>
      <c r="J1148" t="s">
        <v>1283</v>
      </c>
    </row>
    <row r="1149" spans="1:10" x14ac:dyDescent="0.25">
      <c r="A1149">
        <v>27819577</v>
      </c>
      <c r="B1149" t="s">
        <v>17</v>
      </c>
      <c r="C1149" s="4">
        <v>44771.341088576388</v>
      </c>
      <c r="D1149" t="s">
        <v>1275</v>
      </c>
      <c r="E1149" t="s">
        <v>387</v>
      </c>
      <c r="F1149" t="s">
        <v>18</v>
      </c>
      <c r="G1149" t="s">
        <v>207</v>
      </c>
      <c r="H1149" t="s">
        <v>40</v>
      </c>
      <c r="I1149" t="s">
        <v>21</v>
      </c>
      <c r="J1149" t="s">
        <v>1276</v>
      </c>
    </row>
    <row r="1150" spans="1:10" x14ac:dyDescent="0.25">
      <c r="A1150">
        <v>27819585</v>
      </c>
      <c r="B1150" t="s">
        <v>17</v>
      </c>
      <c r="C1150" s="4">
        <v>44771.341549745368</v>
      </c>
      <c r="D1150" t="s">
        <v>1275</v>
      </c>
      <c r="E1150" t="s">
        <v>387</v>
      </c>
      <c r="F1150" t="s">
        <v>18</v>
      </c>
      <c r="G1150" t="s">
        <v>207</v>
      </c>
      <c r="H1150" t="s">
        <v>25</v>
      </c>
      <c r="I1150" t="s">
        <v>21</v>
      </c>
      <c r="J1150" t="s">
        <v>1276</v>
      </c>
    </row>
    <row r="1151" spans="1:10" x14ac:dyDescent="0.25">
      <c r="A1151">
        <v>27819596</v>
      </c>
      <c r="B1151" t="s">
        <v>17</v>
      </c>
      <c r="C1151" s="4">
        <v>44771.341650879629</v>
      </c>
      <c r="D1151" t="s">
        <v>1281</v>
      </c>
      <c r="E1151" t="s">
        <v>22</v>
      </c>
      <c r="F1151" t="s">
        <v>23</v>
      </c>
      <c r="G1151" t="s">
        <v>178</v>
      </c>
      <c r="H1151" t="s">
        <v>25</v>
      </c>
      <c r="I1151" t="s">
        <v>21</v>
      </c>
      <c r="J1151" t="s">
        <v>282</v>
      </c>
    </row>
    <row r="1152" spans="1:10" x14ac:dyDescent="0.25">
      <c r="A1152">
        <v>27819601</v>
      </c>
      <c r="B1152" t="s">
        <v>17</v>
      </c>
      <c r="C1152" s="4">
        <v>44771.34168391204</v>
      </c>
      <c r="D1152" t="s">
        <v>1273</v>
      </c>
      <c r="E1152" t="s">
        <v>975</v>
      </c>
      <c r="F1152" t="s">
        <v>49</v>
      </c>
      <c r="G1152" t="s">
        <v>250</v>
      </c>
      <c r="H1152" t="s">
        <v>40</v>
      </c>
      <c r="I1152" t="s">
        <v>21</v>
      </c>
      <c r="J1152" t="s">
        <v>1274</v>
      </c>
    </row>
    <row r="1153" spans="1:10" x14ac:dyDescent="0.25">
      <c r="A1153">
        <v>27819611</v>
      </c>
      <c r="B1153" t="s">
        <v>17</v>
      </c>
      <c r="C1153" s="4">
        <v>44771.342165092603</v>
      </c>
      <c r="D1153" t="s">
        <v>1273</v>
      </c>
      <c r="E1153" t="s">
        <v>975</v>
      </c>
      <c r="F1153" t="s">
        <v>49</v>
      </c>
      <c r="G1153" t="s">
        <v>250</v>
      </c>
      <c r="H1153" t="s">
        <v>25</v>
      </c>
      <c r="I1153" t="s">
        <v>21</v>
      </c>
      <c r="J1153" t="s">
        <v>1274</v>
      </c>
    </row>
    <row r="1154" spans="1:10" x14ac:dyDescent="0.25">
      <c r="A1154">
        <v>27819625</v>
      </c>
      <c r="B1154" t="s">
        <v>17</v>
      </c>
      <c r="C1154" s="4">
        <v>44771.342205439818</v>
      </c>
      <c r="D1154" t="s">
        <v>1284</v>
      </c>
      <c r="E1154" t="s">
        <v>62</v>
      </c>
      <c r="F1154" t="s">
        <v>18</v>
      </c>
      <c r="G1154" t="s">
        <v>61</v>
      </c>
      <c r="H1154" t="s">
        <v>42</v>
      </c>
      <c r="I1154" t="s">
        <v>21</v>
      </c>
      <c r="J1154" t="s">
        <v>1285</v>
      </c>
    </row>
    <row r="1155" spans="1:10" x14ac:dyDescent="0.25">
      <c r="A1155">
        <v>27819629</v>
      </c>
      <c r="B1155" t="s">
        <v>17</v>
      </c>
      <c r="C1155" s="4">
        <v>44771.342255439813</v>
      </c>
      <c r="D1155" t="s">
        <v>1284</v>
      </c>
      <c r="E1155" t="s">
        <v>62</v>
      </c>
      <c r="F1155" t="s">
        <v>18</v>
      </c>
      <c r="G1155" t="s">
        <v>61</v>
      </c>
      <c r="H1155" t="s">
        <v>54</v>
      </c>
      <c r="I1155" t="s">
        <v>21</v>
      </c>
      <c r="J1155" t="s">
        <v>1285</v>
      </c>
    </row>
    <row r="1156" spans="1:10" x14ac:dyDescent="0.25">
      <c r="A1156">
        <v>27819655</v>
      </c>
      <c r="B1156" t="s">
        <v>17</v>
      </c>
      <c r="C1156" s="4">
        <v>44771.343414525472</v>
      </c>
      <c r="D1156" t="s">
        <v>1277</v>
      </c>
      <c r="E1156" t="s">
        <v>38</v>
      </c>
      <c r="F1156" t="s">
        <v>23</v>
      </c>
      <c r="G1156" t="s">
        <v>337</v>
      </c>
      <c r="H1156" t="s">
        <v>40</v>
      </c>
      <c r="I1156" t="s">
        <v>21</v>
      </c>
      <c r="J1156" t="s">
        <v>290</v>
      </c>
    </row>
    <row r="1157" spans="1:10" x14ac:dyDescent="0.25">
      <c r="A1157">
        <v>27819666</v>
      </c>
      <c r="B1157" t="s">
        <v>17</v>
      </c>
      <c r="C1157" s="4">
        <v>44771.343865590279</v>
      </c>
      <c r="D1157" t="s">
        <v>1277</v>
      </c>
      <c r="E1157" t="s">
        <v>38</v>
      </c>
      <c r="F1157" t="s">
        <v>23</v>
      </c>
      <c r="G1157" t="s">
        <v>337</v>
      </c>
      <c r="H1157" t="s">
        <v>25</v>
      </c>
      <c r="I1157" t="s">
        <v>21</v>
      </c>
      <c r="J1157" t="s">
        <v>290</v>
      </c>
    </row>
    <row r="1158" spans="1:10" x14ac:dyDescent="0.25">
      <c r="A1158">
        <v>27819698</v>
      </c>
      <c r="B1158" t="s">
        <v>17</v>
      </c>
      <c r="C1158" s="4">
        <v>44771.344403981479</v>
      </c>
      <c r="D1158" t="s">
        <v>1286</v>
      </c>
      <c r="E1158" t="s">
        <v>38</v>
      </c>
      <c r="F1158" t="s">
        <v>23</v>
      </c>
      <c r="G1158" t="s">
        <v>108</v>
      </c>
      <c r="H1158" t="s">
        <v>42</v>
      </c>
      <c r="I1158" t="s">
        <v>21</v>
      </c>
      <c r="J1158" t="s">
        <v>299</v>
      </c>
    </row>
    <row r="1159" spans="1:10" x14ac:dyDescent="0.25">
      <c r="A1159">
        <v>27819722</v>
      </c>
      <c r="B1159" t="s">
        <v>17</v>
      </c>
      <c r="C1159" s="4">
        <v>44771.345282557872</v>
      </c>
      <c r="D1159" t="s">
        <v>1286</v>
      </c>
      <c r="E1159" t="s">
        <v>38</v>
      </c>
      <c r="F1159" t="s">
        <v>23</v>
      </c>
      <c r="G1159" t="s">
        <v>108</v>
      </c>
      <c r="H1159" t="s">
        <v>54</v>
      </c>
      <c r="I1159" t="s">
        <v>21</v>
      </c>
      <c r="J1159" t="s">
        <v>299</v>
      </c>
    </row>
    <row r="1160" spans="1:10" x14ac:dyDescent="0.25">
      <c r="A1160">
        <v>27819732</v>
      </c>
      <c r="B1160" t="s">
        <v>17</v>
      </c>
      <c r="C1160" s="4">
        <v>44771.345756273149</v>
      </c>
      <c r="D1160" t="s">
        <v>1287</v>
      </c>
      <c r="E1160" t="s">
        <v>62</v>
      </c>
      <c r="F1160" t="s">
        <v>57</v>
      </c>
      <c r="G1160" t="s">
        <v>182</v>
      </c>
      <c r="H1160" t="s">
        <v>29</v>
      </c>
      <c r="I1160" t="s">
        <v>21</v>
      </c>
      <c r="J1160" t="s">
        <v>600</v>
      </c>
    </row>
    <row r="1161" spans="1:10" x14ac:dyDescent="0.25">
      <c r="A1161">
        <v>27819746</v>
      </c>
      <c r="B1161" t="s">
        <v>17</v>
      </c>
      <c r="C1161" s="4">
        <v>44771.346007291657</v>
      </c>
      <c r="D1161" t="s">
        <v>1288</v>
      </c>
      <c r="E1161" t="s">
        <v>38</v>
      </c>
      <c r="F1161" t="s">
        <v>55</v>
      </c>
      <c r="G1161" t="s">
        <v>351</v>
      </c>
      <c r="H1161" t="s">
        <v>29</v>
      </c>
      <c r="I1161" t="s">
        <v>21</v>
      </c>
    </row>
    <row r="1162" spans="1:10" x14ac:dyDescent="0.25">
      <c r="A1162">
        <v>27819753</v>
      </c>
      <c r="B1162" t="s">
        <v>17</v>
      </c>
      <c r="C1162" s="4">
        <v>44771.34607122685</v>
      </c>
      <c r="D1162" t="s">
        <v>1289</v>
      </c>
      <c r="E1162" t="s">
        <v>22</v>
      </c>
      <c r="F1162" t="s">
        <v>52</v>
      </c>
      <c r="G1162" t="s">
        <v>89</v>
      </c>
      <c r="H1162" t="s">
        <v>40</v>
      </c>
      <c r="I1162" t="s">
        <v>21</v>
      </c>
      <c r="J1162" t="s">
        <v>378</v>
      </c>
    </row>
    <row r="1163" spans="1:10" x14ac:dyDescent="0.25">
      <c r="A1163">
        <v>27819761</v>
      </c>
      <c r="B1163" t="s">
        <v>17</v>
      </c>
      <c r="C1163" s="4">
        <v>44771.346458668981</v>
      </c>
      <c r="D1163" t="s">
        <v>1289</v>
      </c>
      <c r="E1163" t="s">
        <v>22</v>
      </c>
      <c r="F1163" t="s">
        <v>52</v>
      </c>
      <c r="G1163" t="s">
        <v>89</v>
      </c>
      <c r="H1163" t="s">
        <v>25</v>
      </c>
      <c r="I1163" t="s">
        <v>21</v>
      </c>
      <c r="J1163" t="s">
        <v>378</v>
      </c>
    </row>
    <row r="1164" spans="1:10" x14ac:dyDescent="0.25">
      <c r="A1164">
        <v>27819771</v>
      </c>
      <c r="B1164" t="s">
        <v>17</v>
      </c>
      <c r="C1164" s="4">
        <v>44771.346583726852</v>
      </c>
      <c r="E1164" t="s">
        <v>38</v>
      </c>
      <c r="F1164" t="s">
        <v>55</v>
      </c>
      <c r="G1164" t="s">
        <v>412</v>
      </c>
      <c r="H1164" t="s">
        <v>29</v>
      </c>
      <c r="I1164" t="s">
        <v>21</v>
      </c>
    </row>
    <row r="1165" spans="1:10" x14ac:dyDescent="0.25">
      <c r="A1165">
        <v>27819777</v>
      </c>
      <c r="B1165" t="s">
        <v>17</v>
      </c>
      <c r="C1165" s="4">
        <v>44771.346805023153</v>
      </c>
      <c r="D1165" t="s">
        <v>1282</v>
      </c>
      <c r="E1165" t="s">
        <v>38</v>
      </c>
      <c r="F1165" t="s">
        <v>23</v>
      </c>
      <c r="G1165" t="s">
        <v>51</v>
      </c>
      <c r="H1165" t="s">
        <v>54</v>
      </c>
      <c r="I1165" t="s">
        <v>21</v>
      </c>
      <c r="J1165" t="s">
        <v>1283</v>
      </c>
    </row>
    <row r="1166" spans="1:10" x14ac:dyDescent="0.25">
      <c r="A1166">
        <v>27819796</v>
      </c>
      <c r="B1166" t="s">
        <v>17</v>
      </c>
      <c r="C1166" s="4">
        <v>44771.347065833332</v>
      </c>
      <c r="D1166" t="s">
        <v>1290</v>
      </c>
      <c r="E1166" t="s">
        <v>27</v>
      </c>
      <c r="F1166" t="s">
        <v>18</v>
      </c>
      <c r="G1166" t="s">
        <v>273</v>
      </c>
      <c r="H1166" t="s">
        <v>42</v>
      </c>
      <c r="I1166" t="s">
        <v>21</v>
      </c>
      <c r="J1166" t="s">
        <v>257</v>
      </c>
    </row>
    <row r="1167" spans="1:10" x14ac:dyDescent="0.25">
      <c r="A1167">
        <v>27819799</v>
      </c>
      <c r="B1167" t="s">
        <v>17</v>
      </c>
      <c r="C1167" s="4">
        <v>44771.347115833327</v>
      </c>
      <c r="D1167" t="s">
        <v>1290</v>
      </c>
      <c r="E1167" t="s">
        <v>27</v>
      </c>
      <c r="F1167" t="s">
        <v>18</v>
      </c>
      <c r="G1167" t="s">
        <v>273</v>
      </c>
      <c r="H1167" t="s">
        <v>54</v>
      </c>
      <c r="I1167" t="s">
        <v>21</v>
      </c>
      <c r="J1167" t="s">
        <v>257</v>
      </c>
    </row>
    <row r="1168" spans="1:10" x14ac:dyDescent="0.25">
      <c r="A1168">
        <v>27819830</v>
      </c>
      <c r="B1168" t="s">
        <v>17</v>
      </c>
      <c r="C1168" s="4">
        <v>44771.347622766203</v>
      </c>
      <c r="D1168" t="s">
        <v>1282</v>
      </c>
      <c r="E1168" t="s">
        <v>38</v>
      </c>
      <c r="F1168" t="s">
        <v>23</v>
      </c>
      <c r="G1168" t="s">
        <v>51</v>
      </c>
      <c r="H1168" t="s">
        <v>40</v>
      </c>
      <c r="I1168" t="s">
        <v>21</v>
      </c>
      <c r="J1168" t="s">
        <v>1283</v>
      </c>
    </row>
    <row r="1169" spans="1:10" x14ac:dyDescent="0.25">
      <c r="A1169">
        <v>27819831</v>
      </c>
      <c r="B1169" t="s">
        <v>17</v>
      </c>
      <c r="C1169" s="4">
        <v>44771.347647962961</v>
      </c>
      <c r="D1169" t="s">
        <v>1291</v>
      </c>
      <c r="E1169" t="s">
        <v>129</v>
      </c>
      <c r="F1169" t="s">
        <v>49</v>
      </c>
      <c r="G1169" t="s">
        <v>247</v>
      </c>
      <c r="H1169" t="s">
        <v>29</v>
      </c>
      <c r="I1169" t="s">
        <v>21</v>
      </c>
      <c r="J1169" t="s">
        <v>1292</v>
      </c>
    </row>
    <row r="1170" spans="1:10" x14ac:dyDescent="0.25">
      <c r="A1170">
        <v>27819851</v>
      </c>
      <c r="B1170" t="s">
        <v>17</v>
      </c>
      <c r="C1170" s="4">
        <v>44771.348115555556</v>
      </c>
      <c r="D1170" t="s">
        <v>1282</v>
      </c>
      <c r="E1170" t="s">
        <v>38</v>
      </c>
      <c r="F1170" t="s">
        <v>23</v>
      </c>
      <c r="G1170" t="s">
        <v>51</v>
      </c>
      <c r="H1170" t="s">
        <v>25</v>
      </c>
      <c r="I1170" t="s">
        <v>21</v>
      </c>
      <c r="J1170" t="s">
        <v>1283</v>
      </c>
    </row>
    <row r="1171" spans="1:10" x14ac:dyDescent="0.25">
      <c r="A1171">
        <v>27819862</v>
      </c>
      <c r="B1171" t="s">
        <v>17</v>
      </c>
      <c r="C1171" s="4">
        <v>44771.348165393523</v>
      </c>
      <c r="D1171" t="s">
        <v>1293</v>
      </c>
      <c r="E1171" t="s">
        <v>38</v>
      </c>
      <c r="F1171" t="s">
        <v>23</v>
      </c>
      <c r="G1171" t="s">
        <v>224</v>
      </c>
      <c r="H1171" t="s">
        <v>42</v>
      </c>
      <c r="I1171" t="s">
        <v>21</v>
      </c>
      <c r="J1171" t="s">
        <v>293</v>
      </c>
    </row>
    <row r="1172" spans="1:10" x14ac:dyDescent="0.25">
      <c r="A1172">
        <v>27819870</v>
      </c>
      <c r="B1172" t="s">
        <v>17</v>
      </c>
      <c r="C1172" s="4">
        <v>44771.348223553243</v>
      </c>
      <c r="D1172" t="s">
        <v>1294</v>
      </c>
      <c r="E1172" t="s">
        <v>38</v>
      </c>
      <c r="F1172" t="s">
        <v>52</v>
      </c>
      <c r="G1172" t="s">
        <v>410</v>
      </c>
      <c r="H1172" t="s">
        <v>42</v>
      </c>
      <c r="I1172" t="s">
        <v>21</v>
      </c>
      <c r="J1172" t="s">
        <v>1295</v>
      </c>
    </row>
    <row r="1173" spans="1:10" x14ac:dyDescent="0.25">
      <c r="A1173">
        <v>27819873</v>
      </c>
      <c r="B1173" t="s">
        <v>17</v>
      </c>
      <c r="C1173" s="4">
        <v>44771.348224699082</v>
      </c>
      <c r="D1173" t="s">
        <v>1284</v>
      </c>
      <c r="E1173" t="s">
        <v>62</v>
      </c>
      <c r="F1173" t="s">
        <v>18</v>
      </c>
      <c r="G1173" t="s">
        <v>61</v>
      </c>
      <c r="H1173" t="s">
        <v>40</v>
      </c>
      <c r="I1173" t="s">
        <v>21</v>
      </c>
      <c r="J1173" t="s">
        <v>1285</v>
      </c>
    </row>
    <row r="1174" spans="1:10" x14ac:dyDescent="0.25">
      <c r="A1174">
        <v>27819884</v>
      </c>
      <c r="B1174" t="s">
        <v>17</v>
      </c>
      <c r="C1174" s="4">
        <v>44771.348675497677</v>
      </c>
      <c r="D1174" t="s">
        <v>1284</v>
      </c>
      <c r="E1174" t="s">
        <v>62</v>
      </c>
      <c r="F1174" t="s">
        <v>18</v>
      </c>
      <c r="G1174" t="s">
        <v>61</v>
      </c>
      <c r="H1174" t="s">
        <v>25</v>
      </c>
      <c r="I1174" t="s">
        <v>21</v>
      </c>
      <c r="J1174" t="s">
        <v>1285</v>
      </c>
    </row>
    <row r="1175" spans="1:10" x14ac:dyDescent="0.25">
      <c r="A1175">
        <v>27819917</v>
      </c>
      <c r="B1175" t="s">
        <v>17</v>
      </c>
      <c r="C1175" s="4">
        <v>44771.349438611112</v>
      </c>
      <c r="D1175" t="s">
        <v>1296</v>
      </c>
      <c r="E1175" t="s">
        <v>27</v>
      </c>
      <c r="F1175" t="s">
        <v>18</v>
      </c>
      <c r="G1175" t="s">
        <v>183</v>
      </c>
      <c r="H1175" t="s">
        <v>42</v>
      </c>
      <c r="I1175" t="s">
        <v>21</v>
      </c>
      <c r="J1175" t="s">
        <v>1297</v>
      </c>
    </row>
    <row r="1176" spans="1:10" x14ac:dyDescent="0.25">
      <c r="A1176">
        <v>27819922</v>
      </c>
      <c r="B1176" t="s">
        <v>17</v>
      </c>
      <c r="C1176" s="4">
        <v>44771.349475949071</v>
      </c>
      <c r="D1176" t="s">
        <v>1296</v>
      </c>
      <c r="E1176" t="s">
        <v>27</v>
      </c>
      <c r="F1176" t="s">
        <v>18</v>
      </c>
      <c r="G1176" t="s">
        <v>183</v>
      </c>
      <c r="H1176" t="s">
        <v>54</v>
      </c>
      <c r="I1176" t="s">
        <v>21</v>
      </c>
      <c r="J1176" t="s">
        <v>1297</v>
      </c>
    </row>
    <row r="1177" spans="1:10" x14ac:dyDescent="0.25">
      <c r="A1177">
        <v>27819940</v>
      </c>
      <c r="B1177" t="s">
        <v>17</v>
      </c>
      <c r="C1177" s="4">
        <v>44771.350064907398</v>
      </c>
      <c r="D1177" t="s">
        <v>1290</v>
      </c>
      <c r="E1177" t="s">
        <v>27</v>
      </c>
      <c r="F1177" t="s">
        <v>18</v>
      </c>
      <c r="G1177" t="s">
        <v>273</v>
      </c>
      <c r="H1177" t="s">
        <v>40</v>
      </c>
      <c r="I1177" t="s">
        <v>21</v>
      </c>
      <c r="J1177" t="s">
        <v>257</v>
      </c>
    </row>
    <row r="1178" spans="1:10" x14ac:dyDescent="0.25">
      <c r="A1178">
        <v>27819943</v>
      </c>
      <c r="B1178" t="s">
        <v>17</v>
      </c>
      <c r="C1178" s="4">
        <v>44771.350154432868</v>
      </c>
      <c r="E1178" t="s">
        <v>38</v>
      </c>
      <c r="F1178" t="s">
        <v>55</v>
      </c>
      <c r="G1178" t="s">
        <v>309</v>
      </c>
      <c r="H1178" t="s">
        <v>29</v>
      </c>
      <c r="I1178" t="s">
        <v>21</v>
      </c>
    </row>
    <row r="1179" spans="1:10" x14ac:dyDescent="0.25">
      <c r="A1179">
        <v>27819947</v>
      </c>
      <c r="B1179" t="s">
        <v>17</v>
      </c>
      <c r="C1179" s="4">
        <v>44771.350446365737</v>
      </c>
      <c r="D1179" t="s">
        <v>1290</v>
      </c>
      <c r="E1179" t="s">
        <v>27</v>
      </c>
      <c r="F1179" t="s">
        <v>18</v>
      </c>
      <c r="G1179" t="s">
        <v>273</v>
      </c>
      <c r="H1179" t="s">
        <v>25</v>
      </c>
      <c r="I1179" t="s">
        <v>21</v>
      </c>
      <c r="J1179" t="s">
        <v>257</v>
      </c>
    </row>
    <row r="1180" spans="1:10" x14ac:dyDescent="0.25">
      <c r="A1180">
        <v>27819961</v>
      </c>
      <c r="B1180" t="s">
        <v>17</v>
      </c>
      <c r="C1180" s="4">
        <v>44771.350643587961</v>
      </c>
      <c r="D1180" t="s">
        <v>1294</v>
      </c>
      <c r="E1180" t="s">
        <v>38</v>
      </c>
      <c r="F1180" t="s">
        <v>52</v>
      </c>
      <c r="G1180" t="s">
        <v>410</v>
      </c>
      <c r="H1180" t="s">
        <v>54</v>
      </c>
      <c r="I1180" t="s">
        <v>21</v>
      </c>
      <c r="J1180" t="s">
        <v>1295</v>
      </c>
    </row>
    <row r="1181" spans="1:10" x14ac:dyDescent="0.25">
      <c r="A1181">
        <v>27819989</v>
      </c>
      <c r="B1181" t="s">
        <v>17</v>
      </c>
      <c r="C1181" s="4">
        <v>44771.350953229157</v>
      </c>
      <c r="D1181" t="s">
        <v>1286</v>
      </c>
      <c r="E1181" t="s">
        <v>38</v>
      </c>
      <c r="F1181" t="s">
        <v>23</v>
      </c>
      <c r="G1181" t="s">
        <v>108</v>
      </c>
      <c r="H1181" t="s">
        <v>40</v>
      </c>
      <c r="I1181" t="s">
        <v>21</v>
      </c>
      <c r="J1181" t="s">
        <v>299</v>
      </c>
    </row>
    <row r="1182" spans="1:10" x14ac:dyDescent="0.25">
      <c r="A1182">
        <v>27820015</v>
      </c>
      <c r="B1182" t="s">
        <v>17</v>
      </c>
      <c r="C1182" s="4">
        <v>44771.351481331018</v>
      </c>
      <c r="F1182" t="s">
        <v>52</v>
      </c>
      <c r="G1182" t="s">
        <v>100</v>
      </c>
      <c r="H1182" t="s">
        <v>20</v>
      </c>
      <c r="I1182" t="s">
        <v>21</v>
      </c>
    </row>
    <row r="1183" spans="1:10" x14ac:dyDescent="0.25">
      <c r="A1183">
        <v>27820021</v>
      </c>
      <c r="B1183" t="s">
        <v>17</v>
      </c>
      <c r="C1183" s="4">
        <v>44771.351624583331</v>
      </c>
      <c r="D1183" t="s">
        <v>1298</v>
      </c>
      <c r="E1183" t="s">
        <v>27</v>
      </c>
      <c r="F1183" t="s">
        <v>18</v>
      </c>
      <c r="G1183" t="s">
        <v>186</v>
      </c>
      <c r="H1183" t="s">
        <v>29</v>
      </c>
      <c r="I1183" t="s">
        <v>21</v>
      </c>
      <c r="J1183" t="s">
        <v>1299</v>
      </c>
    </row>
    <row r="1184" spans="1:10" x14ac:dyDescent="0.25">
      <c r="A1184">
        <v>27820027</v>
      </c>
      <c r="B1184" t="s">
        <v>17</v>
      </c>
      <c r="C1184" s="4">
        <v>44771.351672245371</v>
      </c>
      <c r="D1184" t="s">
        <v>1286</v>
      </c>
      <c r="E1184" t="s">
        <v>38</v>
      </c>
      <c r="F1184" t="s">
        <v>23</v>
      </c>
      <c r="G1184" t="s">
        <v>108</v>
      </c>
      <c r="H1184" t="s">
        <v>25</v>
      </c>
      <c r="I1184" t="s">
        <v>21</v>
      </c>
      <c r="J1184" t="s">
        <v>299</v>
      </c>
    </row>
    <row r="1185" spans="1:10" x14ac:dyDescent="0.25">
      <c r="A1185">
        <v>27820042</v>
      </c>
      <c r="B1185" t="s">
        <v>17</v>
      </c>
      <c r="C1185" s="4">
        <v>44771.351741134262</v>
      </c>
      <c r="F1185" t="s">
        <v>52</v>
      </c>
      <c r="G1185" t="s">
        <v>69</v>
      </c>
      <c r="H1185" t="s">
        <v>20</v>
      </c>
      <c r="I1185" t="s">
        <v>21</v>
      </c>
    </row>
    <row r="1186" spans="1:10" x14ac:dyDescent="0.25">
      <c r="A1186">
        <v>27820048</v>
      </c>
      <c r="B1186" t="s">
        <v>17</v>
      </c>
      <c r="C1186" s="4">
        <v>44771.351787488427</v>
      </c>
      <c r="F1186" t="s">
        <v>52</v>
      </c>
      <c r="G1186" t="s">
        <v>53</v>
      </c>
      <c r="H1186" t="s">
        <v>20</v>
      </c>
      <c r="I1186" t="s">
        <v>21</v>
      </c>
    </row>
    <row r="1187" spans="1:10" x14ac:dyDescent="0.25">
      <c r="A1187">
        <v>27820062</v>
      </c>
      <c r="B1187" t="s">
        <v>17</v>
      </c>
      <c r="C1187" s="4">
        <v>44771.35192695602</v>
      </c>
      <c r="D1187" t="s">
        <v>1300</v>
      </c>
      <c r="E1187" t="s">
        <v>38</v>
      </c>
      <c r="F1187" t="s">
        <v>23</v>
      </c>
      <c r="G1187" t="s">
        <v>274</v>
      </c>
      <c r="H1187" t="s">
        <v>42</v>
      </c>
      <c r="I1187" t="s">
        <v>21</v>
      </c>
      <c r="J1187" t="s">
        <v>304</v>
      </c>
    </row>
    <row r="1188" spans="1:10" x14ac:dyDescent="0.25">
      <c r="A1188">
        <v>27820081</v>
      </c>
      <c r="B1188" t="s">
        <v>17</v>
      </c>
      <c r="C1188" s="4">
        <v>44771.352521944442</v>
      </c>
      <c r="D1188" t="s">
        <v>1300</v>
      </c>
      <c r="E1188" t="s">
        <v>38</v>
      </c>
      <c r="F1188" t="s">
        <v>23</v>
      </c>
      <c r="G1188" t="s">
        <v>274</v>
      </c>
      <c r="H1188" t="s">
        <v>54</v>
      </c>
      <c r="I1188" t="s">
        <v>21</v>
      </c>
      <c r="J1188" t="s">
        <v>304</v>
      </c>
    </row>
    <row r="1189" spans="1:10" x14ac:dyDescent="0.25">
      <c r="A1189">
        <v>27820097</v>
      </c>
      <c r="B1189" t="s">
        <v>17</v>
      </c>
      <c r="C1189" s="4">
        <v>44771.35289490741</v>
      </c>
      <c r="D1189" t="s">
        <v>1301</v>
      </c>
      <c r="E1189" t="s">
        <v>27</v>
      </c>
      <c r="F1189" t="s">
        <v>18</v>
      </c>
      <c r="G1189" t="s">
        <v>285</v>
      </c>
      <c r="H1189" t="s">
        <v>29</v>
      </c>
      <c r="I1189" t="s">
        <v>21</v>
      </c>
      <c r="J1189" t="s">
        <v>1302</v>
      </c>
    </row>
    <row r="1190" spans="1:10" x14ac:dyDescent="0.25">
      <c r="A1190">
        <v>27820104</v>
      </c>
      <c r="B1190" t="s">
        <v>17</v>
      </c>
      <c r="C1190" s="4">
        <v>44771.352910740738</v>
      </c>
      <c r="D1190" t="s">
        <v>1303</v>
      </c>
      <c r="E1190" t="s">
        <v>27</v>
      </c>
      <c r="F1190" t="s">
        <v>18</v>
      </c>
      <c r="G1190" t="s">
        <v>285</v>
      </c>
      <c r="H1190" t="s">
        <v>42</v>
      </c>
      <c r="I1190" t="s">
        <v>21</v>
      </c>
      <c r="J1190" t="s">
        <v>1304</v>
      </c>
    </row>
    <row r="1191" spans="1:10" x14ac:dyDescent="0.25">
      <c r="A1191">
        <v>27820110</v>
      </c>
      <c r="B1191" t="s">
        <v>17</v>
      </c>
      <c r="C1191" s="4">
        <v>44771.352987453713</v>
      </c>
      <c r="F1191" t="s">
        <v>49</v>
      </c>
      <c r="G1191" t="s">
        <v>213</v>
      </c>
      <c r="H1191" t="s">
        <v>195</v>
      </c>
      <c r="I1191" t="s">
        <v>21</v>
      </c>
    </row>
    <row r="1192" spans="1:10" x14ac:dyDescent="0.25">
      <c r="A1192">
        <v>27820118</v>
      </c>
      <c r="B1192" t="s">
        <v>17</v>
      </c>
      <c r="C1192" s="4">
        <v>44771.353026759258</v>
      </c>
      <c r="D1192" t="s">
        <v>1305</v>
      </c>
      <c r="E1192" t="s">
        <v>62</v>
      </c>
      <c r="F1192" t="s">
        <v>57</v>
      </c>
      <c r="G1192" t="s">
        <v>286</v>
      </c>
      <c r="H1192" t="s">
        <v>42</v>
      </c>
      <c r="I1192" t="s">
        <v>21</v>
      </c>
      <c r="J1192" t="s">
        <v>1306</v>
      </c>
    </row>
    <row r="1193" spans="1:10" x14ac:dyDescent="0.25">
      <c r="A1193">
        <v>27820127</v>
      </c>
      <c r="B1193" t="s">
        <v>17</v>
      </c>
      <c r="C1193" s="4">
        <v>44771.3532819213</v>
      </c>
      <c r="D1193" t="s">
        <v>1293</v>
      </c>
      <c r="E1193" t="s">
        <v>38</v>
      </c>
      <c r="F1193" t="s">
        <v>23</v>
      </c>
      <c r="G1193" t="s">
        <v>224</v>
      </c>
      <c r="H1193" t="s">
        <v>54</v>
      </c>
      <c r="I1193" t="s">
        <v>21</v>
      </c>
      <c r="J1193" t="s">
        <v>293</v>
      </c>
    </row>
    <row r="1194" spans="1:10" x14ac:dyDescent="0.25">
      <c r="A1194">
        <v>27820138</v>
      </c>
      <c r="B1194" t="s">
        <v>17</v>
      </c>
      <c r="C1194" s="4">
        <v>44771.353537986113</v>
      </c>
      <c r="D1194" t="s">
        <v>1303</v>
      </c>
      <c r="E1194" t="s">
        <v>27</v>
      </c>
      <c r="F1194" t="s">
        <v>18</v>
      </c>
      <c r="G1194" t="s">
        <v>285</v>
      </c>
      <c r="H1194" t="s">
        <v>54</v>
      </c>
      <c r="I1194" t="s">
        <v>21</v>
      </c>
      <c r="J1194" t="s">
        <v>1304</v>
      </c>
    </row>
    <row r="1195" spans="1:10" x14ac:dyDescent="0.25">
      <c r="A1195">
        <v>27820155</v>
      </c>
      <c r="B1195" t="s">
        <v>17</v>
      </c>
      <c r="C1195" s="4">
        <v>44771.353731689807</v>
      </c>
      <c r="D1195" t="s">
        <v>1307</v>
      </c>
      <c r="E1195" t="s">
        <v>38</v>
      </c>
      <c r="F1195" t="s">
        <v>52</v>
      </c>
      <c r="G1195" t="s">
        <v>100</v>
      </c>
      <c r="H1195" t="s">
        <v>40</v>
      </c>
      <c r="I1195" t="s">
        <v>21</v>
      </c>
      <c r="J1195" t="s">
        <v>1308</v>
      </c>
    </row>
    <row r="1196" spans="1:10" x14ac:dyDescent="0.25">
      <c r="A1196">
        <v>27820183</v>
      </c>
      <c r="B1196" t="s">
        <v>17</v>
      </c>
      <c r="C1196" s="4">
        <v>44771.354310949071</v>
      </c>
      <c r="D1196" t="s">
        <v>1303</v>
      </c>
      <c r="E1196" t="s">
        <v>27</v>
      </c>
      <c r="F1196" t="s">
        <v>18</v>
      </c>
      <c r="G1196" t="s">
        <v>285</v>
      </c>
      <c r="H1196" t="s">
        <v>40</v>
      </c>
      <c r="I1196" t="s">
        <v>21</v>
      </c>
      <c r="J1196" t="s">
        <v>1304</v>
      </c>
    </row>
    <row r="1197" spans="1:10" x14ac:dyDescent="0.25">
      <c r="A1197">
        <v>27820185</v>
      </c>
      <c r="B1197" t="s">
        <v>17</v>
      </c>
      <c r="C1197" s="4">
        <v>44771.354359421297</v>
      </c>
      <c r="D1197" t="s">
        <v>1309</v>
      </c>
      <c r="E1197" t="s">
        <v>38</v>
      </c>
      <c r="F1197" t="s">
        <v>52</v>
      </c>
      <c r="G1197" t="s">
        <v>100</v>
      </c>
      <c r="H1197" t="s">
        <v>25</v>
      </c>
      <c r="I1197" t="s">
        <v>21</v>
      </c>
      <c r="J1197" t="s">
        <v>1308</v>
      </c>
    </row>
    <row r="1198" spans="1:10" x14ac:dyDescent="0.25">
      <c r="A1198">
        <v>27820201</v>
      </c>
      <c r="B1198" t="s">
        <v>17</v>
      </c>
      <c r="C1198" s="4">
        <v>44771.354531168981</v>
      </c>
      <c r="D1198" t="s">
        <v>1310</v>
      </c>
      <c r="E1198" t="s">
        <v>38</v>
      </c>
      <c r="F1198" t="s">
        <v>31</v>
      </c>
      <c r="G1198" t="s">
        <v>39</v>
      </c>
      <c r="H1198" t="s">
        <v>42</v>
      </c>
      <c r="I1198" t="s">
        <v>21</v>
      </c>
      <c r="J1198" t="s">
        <v>1311</v>
      </c>
    </row>
    <row r="1199" spans="1:10" x14ac:dyDescent="0.25">
      <c r="A1199">
        <v>27820206</v>
      </c>
      <c r="B1199" t="s">
        <v>17</v>
      </c>
      <c r="C1199" s="4">
        <v>44771.354634201387</v>
      </c>
      <c r="E1199" t="s">
        <v>38</v>
      </c>
      <c r="F1199" t="s">
        <v>55</v>
      </c>
      <c r="G1199" t="s">
        <v>422</v>
      </c>
      <c r="H1199" t="s">
        <v>126</v>
      </c>
      <c r="I1199" t="s">
        <v>21</v>
      </c>
    </row>
    <row r="1200" spans="1:10" x14ac:dyDescent="0.25">
      <c r="A1200">
        <v>27820216</v>
      </c>
      <c r="B1200" t="s">
        <v>17</v>
      </c>
      <c r="C1200" s="4">
        <v>44771.354774479158</v>
      </c>
      <c r="D1200" t="s">
        <v>1303</v>
      </c>
      <c r="E1200" t="s">
        <v>27</v>
      </c>
      <c r="F1200" t="s">
        <v>18</v>
      </c>
      <c r="G1200" t="s">
        <v>285</v>
      </c>
      <c r="H1200" t="s">
        <v>25</v>
      </c>
      <c r="I1200" t="s">
        <v>21</v>
      </c>
      <c r="J1200" t="s">
        <v>1304</v>
      </c>
    </row>
    <row r="1201" spans="1:10" x14ac:dyDescent="0.25">
      <c r="A1201">
        <v>27820231</v>
      </c>
      <c r="B1201" t="s">
        <v>17</v>
      </c>
      <c r="C1201" s="4">
        <v>44771.354860706022</v>
      </c>
      <c r="E1201" t="s">
        <v>38</v>
      </c>
      <c r="F1201" t="s">
        <v>55</v>
      </c>
      <c r="G1201" t="s">
        <v>422</v>
      </c>
      <c r="H1201" t="s">
        <v>127</v>
      </c>
      <c r="I1201" t="s">
        <v>21</v>
      </c>
    </row>
    <row r="1202" spans="1:10" x14ac:dyDescent="0.25">
      <c r="A1202">
        <v>27820238</v>
      </c>
      <c r="B1202" t="s">
        <v>17</v>
      </c>
      <c r="C1202" s="4">
        <v>44771.354992928238</v>
      </c>
      <c r="D1202" t="s">
        <v>1305</v>
      </c>
      <c r="E1202" t="s">
        <v>62</v>
      </c>
      <c r="F1202" t="s">
        <v>57</v>
      </c>
      <c r="G1202" t="s">
        <v>286</v>
      </c>
      <c r="H1202" t="s">
        <v>54</v>
      </c>
      <c r="I1202" t="s">
        <v>21</v>
      </c>
      <c r="J1202" t="s">
        <v>1306</v>
      </c>
    </row>
    <row r="1203" spans="1:10" x14ac:dyDescent="0.25">
      <c r="A1203">
        <v>27820250</v>
      </c>
      <c r="B1203" t="s">
        <v>17</v>
      </c>
      <c r="C1203" s="4">
        <v>44771.355178414349</v>
      </c>
      <c r="D1203" t="s">
        <v>1310</v>
      </c>
      <c r="E1203" t="s">
        <v>38</v>
      </c>
      <c r="F1203" t="s">
        <v>31</v>
      </c>
      <c r="G1203" t="s">
        <v>39</v>
      </c>
      <c r="H1203" t="s">
        <v>54</v>
      </c>
      <c r="I1203" t="s">
        <v>21</v>
      </c>
      <c r="J1203" t="s">
        <v>1311</v>
      </c>
    </row>
    <row r="1204" spans="1:10" x14ac:dyDescent="0.25">
      <c r="A1204">
        <v>27820257</v>
      </c>
      <c r="B1204" t="s">
        <v>17</v>
      </c>
      <c r="C1204" s="4">
        <v>44771.355225451392</v>
      </c>
      <c r="D1204" t="s">
        <v>1312</v>
      </c>
      <c r="E1204" t="s">
        <v>38</v>
      </c>
      <c r="F1204" t="s">
        <v>52</v>
      </c>
      <c r="G1204" t="s">
        <v>134</v>
      </c>
      <c r="H1204" t="s">
        <v>42</v>
      </c>
      <c r="I1204" t="s">
        <v>21</v>
      </c>
      <c r="J1204" t="s">
        <v>1313</v>
      </c>
    </row>
    <row r="1205" spans="1:10" x14ac:dyDescent="0.25">
      <c r="A1205">
        <v>27820296</v>
      </c>
      <c r="B1205" t="s">
        <v>17</v>
      </c>
      <c r="C1205" s="4">
        <v>44771.35649914352</v>
      </c>
      <c r="D1205" t="s">
        <v>1314</v>
      </c>
      <c r="E1205" t="s">
        <v>62</v>
      </c>
      <c r="F1205" t="s">
        <v>57</v>
      </c>
      <c r="G1205" t="s">
        <v>244</v>
      </c>
      <c r="H1205" t="s">
        <v>42</v>
      </c>
      <c r="I1205" t="s">
        <v>21</v>
      </c>
      <c r="J1205" t="s">
        <v>1315</v>
      </c>
    </row>
    <row r="1206" spans="1:10" x14ac:dyDescent="0.25">
      <c r="A1206">
        <v>27820299</v>
      </c>
      <c r="B1206" t="s">
        <v>17</v>
      </c>
      <c r="C1206" s="4">
        <v>44771.356557962958</v>
      </c>
      <c r="D1206" t="s">
        <v>1296</v>
      </c>
      <c r="E1206" t="s">
        <v>27</v>
      </c>
      <c r="F1206" t="s">
        <v>18</v>
      </c>
      <c r="G1206" t="s">
        <v>183</v>
      </c>
      <c r="H1206" t="s">
        <v>40</v>
      </c>
      <c r="I1206" t="s">
        <v>21</v>
      </c>
      <c r="J1206" t="s">
        <v>1297</v>
      </c>
    </row>
    <row r="1207" spans="1:10" x14ac:dyDescent="0.25">
      <c r="A1207">
        <v>27820306</v>
      </c>
      <c r="B1207" t="s">
        <v>17</v>
      </c>
      <c r="C1207" s="4">
        <v>44771.356817372682</v>
      </c>
      <c r="D1207" t="s">
        <v>1294</v>
      </c>
      <c r="E1207" t="s">
        <v>38</v>
      </c>
      <c r="F1207" t="s">
        <v>52</v>
      </c>
      <c r="G1207" t="s">
        <v>410</v>
      </c>
      <c r="H1207" t="s">
        <v>40</v>
      </c>
      <c r="I1207" t="s">
        <v>21</v>
      </c>
      <c r="J1207" t="s">
        <v>1295</v>
      </c>
    </row>
    <row r="1208" spans="1:10" x14ac:dyDescent="0.25">
      <c r="A1208">
        <v>27820310</v>
      </c>
      <c r="B1208" t="s">
        <v>17</v>
      </c>
      <c r="C1208" s="4">
        <v>44771.356900451392</v>
      </c>
      <c r="D1208" t="s">
        <v>1296</v>
      </c>
      <c r="E1208" t="s">
        <v>27</v>
      </c>
      <c r="F1208" t="s">
        <v>18</v>
      </c>
      <c r="G1208" t="s">
        <v>183</v>
      </c>
      <c r="H1208" t="s">
        <v>25</v>
      </c>
      <c r="I1208" t="s">
        <v>21</v>
      </c>
      <c r="J1208" t="s">
        <v>1297</v>
      </c>
    </row>
    <row r="1209" spans="1:10" x14ac:dyDescent="0.25">
      <c r="A1209">
        <v>27820318</v>
      </c>
      <c r="B1209" t="s">
        <v>17</v>
      </c>
      <c r="C1209" s="4">
        <v>44771.356915497687</v>
      </c>
      <c r="D1209" t="s">
        <v>1271</v>
      </c>
      <c r="E1209" t="s">
        <v>38</v>
      </c>
      <c r="F1209" t="s">
        <v>52</v>
      </c>
      <c r="G1209" t="s">
        <v>69</v>
      </c>
      <c r="H1209" t="s">
        <v>40</v>
      </c>
      <c r="I1209" t="s">
        <v>21</v>
      </c>
      <c r="J1209" t="s">
        <v>808</v>
      </c>
    </row>
    <row r="1210" spans="1:10" x14ac:dyDescent="0.25">
      <c r="A1210">
        <v>27820328</v>
      </c>
      <c r="B1210" t="s">
        <v>17</v>
      </c>
      <c r="C1210" s="4">
        <v>44771.357186562498</v>
      </c>
      <c r="D1210" t="s">
        <v>1316</v>
      </c>
      <c r="E1210" t="s">
        <v>27</v>
      </c>
      <c r="F1210" t="s">
        <v>57</v>
      </c>
      <c r="G1210" t="s">
        <v>76</v>
      </c>
      <c r="H1210" t="s">
        <v>29</v>
      </c>
      <c r="I1210" t="s">
        <v>21</v>
      </c>
      <c r="J1210" t="s">
        <v>468</v>
      </c>
    </row>
    <row r="1211" spans="1:10" x14ac:dyDescent="0.25">
      <c r="A1211">
        <v>27820345</v>
      </c>
      <c r="B1211" t="s">
        <v>17</v>
      </c>
      <c r="C1211" s="4">
        <v>44771.357349837963</v>
      </c>
      <c r="D1211" t="s">
        <v>1294</v>
      </c>
      <c r="E1211" t="s">
        <v>38</v>
      </c>
      <c r="F1211" t="s">
        <v>52</v>
      </c>
      <c r="G1211" t="s">
        <v>410</v>
      </c>
      <c r="H1211" t="s">
        <v>25</v>
      </c>
      <c r="I1211" t="s">
        <v>21</v>
      </c>
      <c r="J1211" t="s">
        <v>1295</v>
      </c>
    </row>
    <row r="1212" spans="1:10" x14ac:dyDescent="0.25">
      <c r="A1212">
        <v>27820366</v>
      </c>
      <c r="B1212" t="s">
        <v>17</v>
      </c>
      <c r="C1212" s="4">
        <v>44771.357561979174</v>
      </c>
      <c r="D1212" t="s">
        <v>1317</v>
      </c>
      <c r="E1212" t="s">
        <v>27</v>
      </c>
      <c r="F1212" t="s">
        <v>18</v>
      </c>
      <c r="G1212" t="s">
        <v>265</v>
      </c>
      <c r="H1212" t="s">
        <v>29</v>
      </c>
      <c r="I1212" t="s">
        <v>21</v>
      </c>
      <c r="J1212" t="s">
        <v>1318</v>
      </c>
    </row>
    <row r="1213" spans="1:10" x14ac:dyDescent="0.25">
      <c r="A1213">
        <v>27820382</v>
      </c>
      <c r="B1213" t="s">
        <v>17</v>
      </c>
      <c r="C1213" s="4">
        <v>44771.357755277779</v>
      </c>
      <c r="D1213" t="s">
        <v>1293</v>
      </c>
      <c r="E1213" t="s">
        <v>38</v>
      </c>
      <c r="F1213" t="s">
        <v>23</v>
      </c>
      <c r="G1213" t="s">
        <v>224</v>
      </c>
      <c r="H1213" t="s">
        <v>40</v>
      </c>
      <c r="I1213" t="s">
        <v>21</v>
      </c>
      <c r="J1213" t="s">
        <v>293</v>
      </c>
    </row>
    <row r="1214" spans="1:10" x14ac:dyDescent="0.25">
      <c r="A1214">
        <v>27820385</v>
      </c>
      <c r="B1214" t="s">
        <v>17</v>
      </c>
      <c r="C1214" s="4">
        <v>44771.357822592603</v>
      </c>
      <c r="D1214" t="s">
        <v>1271</v>
      </c>
      <c r="E1214" t="s">
        <v>38</v>
      </c>
      <c r="F1214" t="s">
        <v>52</v>
      </c>
      <c r="G1214" t="s">
        <v>69</v>
      </c>
      <c r="H1214" t="s">
        <v>25</v>
      </c>
      <c r="I1214" t="s">
        <v>21</v>
      </c>
      <c r="J1214" t="s">
        <v>808</v>
      </c>
    </row>
    <row r="1215" spans="1:10" x14ac:dyDescent="0.25">
      <c r="A1215">
        <v>27820413</v>
      </c>
      <c r="B1215" t="s">
        <v>17</v>
      </c>
      <c r="C1215" s="4">
        <v>44771.358361238417</v>
      </c>
      <c r="D1215" t="s">
        <v>1319</v>
      </c>
      <c r="E1215" t="s">
        <v>27</v>
      </c>
      <c r="F1215" t="s">
        <v>18</v>
      </c>
      <c r="G1215" t="s">
        <v>154</v>
      </c>
      <c r="H1215" t="s">
        <v>42</v>
      </c>
      <c r="I1215" t="s">
        <v>21</v>
      </c>
      <c r="J1215" t="s">
        <v>1320</v>
      </c>
    </row>
    <row r="1216" spans="1:10" x14ac:dyDescent="0.25">
      <c r="A1216">
        <v>27820415</v>
      </c>
      <c r="B1216" t="s">
        <v>17</v>
      </c>
      <c r="C1216" s="4">
        <v>44771.358368263893</v>
      </c>
      <c r="D1216" t="s">
        <v>1293</v>
      </c>
      <c r="E1216" t="s">
        <v>38</v>
      </c>
      <c r="F1216" t="s">
        <v>23</v>
      </c>
      <c r="G1216" t="s">
        <v>224</v>
      </c>
      <c r="H1216" t="s">
        <v>25</v>
      </c>
      <c r="I1216" t="s">
        <v>21</v>
      </c>
      <c r="J1216" t="s">
        <v>293</v>
      </c>
    </row>
    <row r="1217" spans="1:10" x14ac:dyDescent="0.25">
      <c r="A1217">
        <v>27820426</v>
      </c>
      <c r="B1217" t="s">
        <v>17</v>
      </c>
      <c r="C1217" s="4">
        <v>44771.358407222222</v>
      </c>
      <c r="D1217" t="s">
        <v>1319</v>
      </c>
      <c r="E1217" t="s">
        <v>27</v>
      </c>
      <c r="F1217" t="s">
        <v>18</v>
      </c>
      <c r="G1217" t="s">
        <v>154</v>
      </c>
      <c r="H1217" t="s">
        <v>54</v>
      </c>
      <c r="I1217" t="s">
        <v>21</v>
      </c>
      <c r="J1217" t="s">
        <v>1320</v>
      </c>
    </row>
    <row r="1218" spans="1:10" x14ac:dyDescent="0.25">
      <c r="A1218">
        <v>27820436</v>
      </c>
      <c r="B1218" t="s">
        <v>17</v>
      </c>
      <c r="C1218" s="4">
        <v>44771.358586944443</v>
      </c>
      <c r="F1218" t="s">
        <v>57</v>
      </c>
      <c r="G1218" t="s">
        <v>292</v>
      </c>
      <c r="H1218" t="s">
        <v>20</v>
      </c>
      <c r="I1218" t="s">
        <v>21</v>
      </c>
    </row>
    <row r="1219" spans="1:10" x14ac:dyDescent="0.25">
      <c r="A1219">
        <v>27820445</v>
      </c>
      <c r="B1219" t="s">
        <v>17</v>
      </c>
      <c r="C1219" s="4">
        <v>44771.358688981483</v>
      </c>
      <c r="D1219" t="s">
        <v>1321</v>
      </c>
      <c r="E1219" t="s">
        <v>27</v>
      </c>
      <c r="F1219" t="s">
        <v>57</v>
      </c>
      <c r="G1219" t="s">
        <v>292</v>
      </c>
      <c r="H1219" t="s">
        <v>79</v>
      </c>
      <c r="I1219" t="s">
        <v>21</v>
      </c>
    </row>
    <row r="1220" spans="1:10" x14ac:dyDescent="0.25">
      <c r="A1220">
        <v>27820457</v>
      </c>
      <c r="B1220" t="s">
        <v>17</v>
      </c>
      <c r="C1220" s="4">
        <v>44771.358787025463</v>
      </c>
      <c r="F1220" t="s">
        <v>57</v>
      </c>
      <c r="G1220" t="s">
        <v>292</v>
      </c>
      <c r="H1220" t="s">
        <v>20</v>
      </c>
      <c r="I1220" t="s">
        <v>21</v>
      </c>
    </row>
    <row r="1221" spans="1:10" x14ac:dyDescent="0.25">
      <c r="A1221">
        <v>27820485</v>
      </c>
      <c r="B1221" t="s">
        <v>17</v>
      </c>
      <c r="C1221" s="4">
        <v>44771.359056423607</v>
      </c>
      <c r="D1221" t="s">
        <v>1300</v>
      </c>
      <c r="E1221" t="s">
        <v>38</v>
      </c>
      <c r="F1221" t="s">
        <v>23</v>
      </c>
      <c r="G1221" t="s">
        <v>274</v>
      </c>
      <c r="H1221" t="s">
        <v>40</v>
      </c>
      <c r="I1221" t="s">
        <v>21</v>
      </c>
      <c r="J1221" t="s">
        <v>304</v>
      </c>
    </row>
    <row r="1222" spans="1:10" x14ac:dyDescent="0.25">
      <c r="A1222">
        <v>27820486</v>
      </c>
      <c r="B1222" t="s">
        <v>17</v>
      </c>
      <c r="C1222" s="4">
        <v>44771.359068067133</v>
      </c>
      <c r="D1222" t="s">
        <v>1310</v>
      </c>
      <c r="E1222" t="s">
        <v>38</v>
      </c>
      <c r="F1222" t="s">
        <v>31</v>
      </c>
      <c r="G1222" t="s">
        <v>39</v>
      </c>
      <c r="H1222" t="s">
        <v>118</v>
      </c>
      <c r="I1222" t="s">
        <v>36</v>
      </c>
      <c r="J1222" t="s">
        <v>1311</v>
      </c>
    </row>
    <row r="1223" spans="1:10" x14ac:dyDescent="0.25">
      <c r="A1223">
        <v>27820490</v>
      </c>
      <c r="B1223" t="s">
        <v>17</v>
      </c>
      <c r="C1223" s="4">
        <v>44771.359102905088</v>
      </c>
      <c r="D1223" t="s">
        <v>1312</v>
      </c>
      <c r="E1223" t="s">
        <v>38</v>
      </c>
      <c r="F1223" t="s">
        <v>52</v>
      </c>
      <c r="G1223" t="s">
        <v>134</v>
      </c>
      <c r="H1223" t="s">
        <v>54</v>
      </c>
      <c r="I1223" t="s">
        <v>21</v>
      </c>
      <c r="J1223" t="s">
        <v>1313</v>
      </c>
    </row>
    <row r="1224" spans="1:10" x14ac:dyDescent="0.25">
      <c r="A1224">
        <v>27820499</v>
      </c>
      <c r="B1224" t="s">
        <v>17</v>
      </c>
      <c r="C1224" s="4">
        <v>44771.359153206024</v>
      </c>
      <c r="D1224" t="s">
        <v>1322</v>
      </c>
      <c r="E1224" t="s">
        <v>268</v>
      </c>
      <c r="F1224" t="s">
        <v>49</v>
      </c>
      <c r="G1224" t="s">
        <v>132</v>
      </c>
      <c r="H1224" t="s">
        <v>29</v>
      </c>
      <c r="I1224" t="s">
        <v>21</v>
      </c>
      <c r="J1224" t="s">
        <v>1323</v>
      </c>
    </row>
    <row r="1225" spans="1:10" x14ac:dyDescent="0.25">
      <c r="A1225">
        <v>27820515</v>
      </c>
      <c r="B1225" t="s">
        <v>17</v>
      </c>
      <c r="C1225" s="4">
        <v>44771.359286250001</v>
      </c>
      <c r="D1225" t="s">
        <v>1310</v>
      </c>
      <c r="E1225" t="s">
        <v>38</v>
      </c>
      <c r="F1225" t="s">
        <v>31</v>
      </c>
      <c r="G1225" t="s">
        <v>39</v>
      </c>
      <c r="H1225" t="s">
        <v>35</v>
      </c>
      <c r="I1225" t="s">
        <v>36</v>
      </c>
      <c r="J1225" t="s">
        <v>1311</v>
      </c>
    </row>
    <row r="1226" spans="1:10" x14ac:dyDescent="0.25">
      <c r="A1226">
        <v>27820519</v>
      </c>
      <c r="B1226" t="s">
        <v>17</v>
      </c>
      <c r="C1226" s="4">
        <v>44771.359307141203</v>
      </c>
      <c r="D1226" t="s">
        <v>1305</v>
      </c>
      <c r="E1226" t="s">
        <v>62</v>
      </c>
      <c r="F1226" t="s">
        <v>57</v>
      </c>
      <c r="G1226" t="s">
        <v>286</v>
      </c>
      <c r="H1226" t="s">
        <v>40</v>
      </c>
      <c r="I1226" t="s">
        <v>21</v>
      </c>
      <c r="J1226" t="s">
        <v>1306</v>
      </c>
    </row>
    <row r="1227" spans="1:10" x14ac:dyDescent="0.25">
      <c r="A1227">
        <v>27820525</v>
      </c>
      <c r="B1227" t="s">
        <v>17</v>
      </c>
      <c r="C1227" s="4">
        <v>44771.359413217593</v>
      </c>
      <c r="D1227" t="s">
        <v>1314</v>
      </c>
      <c r="E1227" t="s">
        <v>62</v>
      </c>
      <c r="F1227" t="s">
        <v>57</v>
      </c>
      <c r="G1227" t="s">
        <v>244</v>
      </c>
      <c r="H1227" t="s">
        <v>54</v>
      </c>
      <c r="I1227" t="s">
        <v>21</v>
      </c>
      <c r="J1227" t="s">
        <v>1315</v>
      </c>
    </row>
    <row r="1228" spans="1:10" x14ac:dyDescent="0.25">
      <c r="A1228">
        <v>27820531</v>
      </c>
      <c r="B1228" t="s">
        <v>17</v>
      </c>
      <c r="C1228" s="4">
        <v>44771.359631886568</v>
      </c>
      <c r="D1228" t="s">
        <v>1300</v>
      </c>
      <c r="E1228" t="s">
        <v>38</v>
      </c>
      <c r="F1228" t="s">
        <v>23</v>
      </c>
      <c r="G1228" t="s">
        <v>274</v>
      </c>
      <c r="H1228" t="s">
        <v>25</v>
      </c>
      <c r="I1228" t="s">
        <v>21</v>
      </c>
      <c r="J1228" t="s">
        <v>304</v>
      </c>
    </row>
    <row r="1229" spans="1:10" x14ac:dyDescent="0.25">
      <c r="A1229">
        <v>27820547</v>
      </c>
      <c r="B1229" t="s">
        <v>17</v>
      </c>
      <c r="C1229" s="4">
        <v>44771.359696493048</v>
      </c>
      <c r="D1229" t="s">
        <v>1305</v>
      </c>
      <c r="E1229" t="s">
        <v>62</v>
      </c>
      <c r="F1229" t="s">
        <v>57</v>
      </c>
      <c r="G1229" t="s">
        <v>286</v>
      </c>
      <c r="H1229" t="s">
        <v>25</v>
      </c>
      <c r="I1229" t="s">
        <v>21</v>
      </c>
      <c r="J1229" t="s">
        <v>1306</v>
      </c>
    </row>
    <row r="1230" spans="1:10" x14ac:dyDescent="0.25">
      <c r="A1230">
        <v>27820558</v>
      </c>
      <c r="B1230" t="s">
        <v>17</v>
      </c>
      <c r="C1230" s="4">
        <v>44771.35974994213</v>
      </c>
      <c r="D1230" t="s">
        <v>1324</v>
      </c>
      <c r="E1230" t="s">
        <v>129</v>
      </c>
      <c r="F1230" t="s">
        <v>18</v>
      </c>
      <c r="G1230" t="s">
        <v>226</v>
      </c>
      <c r="H1230" t="s">
        <v>42</v>
      </c>
      <c r="I1230" t="s">
        <v>21</v>
      </c>
      <c r="J1230" t="s">
        <v>1325</v>
      </c>
    </row>
    <row r="1231" spans="1:10" x14ac:dyDescent="0.25">
      <c r="A1231">
        <v>27820563</v>
      </c>
      <c r="B1231" t="s">
        <v>17</v>
      </c>
      <c r="C1231" s="4">
        <v>44771.359785995373</v>
      </c>
      <c r="D1231" t="s">
        <v>1324</v>
      </c>
      <c r="E1231" t="s">
        <v>129</v>
      </c>
      <c r="F1231" t="s">
        <v>18</v>
      </c>
      <c r="G1231" t="s">
        <v>226</v>
      </c>
      <c r="H1231" t="s">
        <v>54</v>
      </c>
      <c r="I1231" t="s">
        <v>21</v>
      </c>
      <c r="J1231" t="s">
        <v>1325</v>
      </c>
    </row>
    <row r="1232" spans="1:10" x14ac:dyDescent="0.25">
      <c r="A1232">
        <v>27820593</v>
      </c>
      <c r="B1232" t="s">
        <v>17</v>
      </c>
      <c r="C1232" s="4">
        <v>44771.360631400457</v>
      </c>
      <c r="F1232" t="s">
        <v>57</v>
      </c>
      <c r="G1232" t="s">
        <v>182</v>
      </c>
      <c r="H1232" t="s">
        <v>20</v>
      </c>
      <c r="I1232" t="s">
        <v>21</v>
      </c>
    </row>
    <row r="1233" spans="1:10" x14ac:dyDescent="0.25">
      <c r="A1233">
        <v>27820608</v>
      </c>
      <c r="B1233" t="s">
        <v>17</v>
      </c>
      <c r="C1233" s="4">
        <v>44771.361239062498</v>
      </c>
      <c r="D1233" t="s">
        <v>1312</v>
      </c>
      <c r="E1233" t="s">
        <v>38</v>
      </c>
      <c r="F1233" t="s">
        <v>52</v>
      </c>
      <c r="G1233" t="s">
        <v>134</v>
      </c>
      <c r="H1233" t="s">
        <v>40</v>
      </c>
      <c r="I1233" t="s">
        <v>21</v>
      </c>
      <c r="J1233" t="s">
        <v>1313</v>
      </c>
    </row>
    <row r="1234" spans="1:10" x14ac:dyDescent="0.25">
      <c r="A1234">
        <v>27820612</v>
      </c>
      <c r="B1234" t="s">
        <v>17</v>
      </c>
      <c r="C1234" s="4">
        <v>44771.36138278935</v>
      </c>
      <c r="D1234" t="s">
        <v>1326</v>
      </c>
      <c r="E1234" t="s">
        <v>129</v>
      </c>
      <c r="F1234" t="s">
        <v>49</v>
      </c>
      <c r="G1234" t="s">
        <v>50</v>
      </c>
      <c r="H1234" t="s">
        <v>29</v>
      </c>
      <c r="I1234" t="s">
        <v>21</v>
      </c>
      <c r="J1234" t="s">
        <v>1327</v>
      </c>
    </row>
    <row r="1235" spans="1:10" x14ac:dyDescent="0.25">
      <c r="A1235">
        <v>27820632</v>
      </c>
      <c r="B1235" t="s">
        <v>17</v>
      </c>
      <c r="C1235" s="4">
        <v>44771.361672824067</v>
      </c>
      <c r="D1235" t="s">
        <v>1312</v>
      </c>
      <c r="E1235" t="s">
        <v>38</v>
      </c>
      <c r="F1235" t="s">
        <v>52</v>
      </c>
      <c r="G1235" t="s">
        <v>134</v>
      </c>
      <c r="H1235" t="s">
        <v>25</v>
      </c>
      <c r="I1235" t="s">
        <v>21</v>
      </c>
      <c r="J1235" t="s">
        <v>1313</v>
      </c>
    </row>
    <row r="1236" spans="1:10" x14ac:dyDescent="0.25">
      <c r="A1236">
        <v>27820647</v>
      </c>
      <c r="B1236" t="s">
        <v>17</v>
      </c>
      <c r="C1236" s="4">
        <v>44771.361829201393</v>
      </c>
      <c r="D1236" t="s">
        <v>1328</v>
      </c>
      <c r="E1236" t="s">
        <v>38</v>
      </c>
      <c r="F1236" t="s">
        <v>52</v>
      </c>
      <c r="G1236" t="s">
        <v>53</v>
      </c>
      <c r="H1236" t="s">
        <v>40</v>
      </c>
      <c r="I1236" t="s">
        <v>21</v>
      </c>
      <c r="J1236" t="s">
        <v>813</v>
      </c>
    </row>
    <row r="1237" spans="1:10" x14ac:dyDescent="0.25">
      <c r="A1237">
        <v>27820657</v>
      </c>
      <c r="B1237" t="s">
        <v>17</v>
      </c>
      <c r="C1237" s="4">
        <v>44771.362093020827</v>
      </c>
      <c r="F1237" t="s">
        <v>23</v>
      </c>
      <c r="G1237" t="s">
        <v>149</v>
      </c>
      <c r="H1237" t="s">
        <v>196</v>
      </c>
      <c r="I1237" t="s">
        <v>21</v>
      </c>
    </row>
    <row r="1238" spans="1:10" x14ac:dyDescent="0.25">
      <c r="A1238">
        <v>27820660</v>
      </c>
      <c r="B1238" t="s">
        <v>17</v>
      </c>
      <c r="C1238" s="4">
        <v>44771.36210608796</v>
      </c>
      <c r="F1238" t="s">
        <v>23</v>
      </c>
      <c r="G1238" t="s">
        <v>149</v>
      </c>
      <c r="H1238" t="s">
        <v>195</v>
      </c>
      <c r="I1238" t="s">
        <v>21</v>
      </c>
    </row>
    <row r="1239" spans="1:10" x14ac:dyDescent="0.25">
      <c r="A1239">
        <v>27820668</v>
      </c>
      <c r="B1239" t="s">
        <v>17</v>
      </c>
      <c r="C1239" s="4">
        <v>44771.362228020836</v>
      </c>
      <c r="D1239" t="s">
        <v>1329</v>
      </c>
      <c r="E1239" t="s">
        <v>1330</v>
      </c>
      <c r="F1239" t="s">
        <v>49</v>
      </c>
      <c r="G1239" t="s">
        <v>106</v>
      </c>
      <c r="H1239" t="s">
        <v>42</v>
      </c>
      <c r="I1239" t="s">
        <v>21</v>
      </c>
      <c r="J1239" t="s">
        <v>1331</v>
      </c>
    </row>
    <row r="1240" spans="1:10" x14ac:dyDescent="0.25">
      <c r="A1240">
        <v>27820671</v>
      </c>
      <c r="B1240" t="s">
        <v>17</v>
      </c>
      <c r="C1240" s="4">
        <v>44771.362385</v>
      </c>
      <c r="D1240" t="s">
        <v>1328</v>
      </c>
      <c r="E1240" t="s">
        <v>38</v>
      </c>
      <c r="F1240" t="s">
        <v>52</v>
      </c>
      <c r="G1240" t="s">
        <v>53</v>
      </c>
      <c r="H1240" t="s">
        <v>25</v>
      </c>
      <c r="I1240" t="s">
        <v>21</v>
      </c>
      <c r="J1240" t="s">
        <v>813</v>
      </c>
    </row>
    <row r="1241" spans="1:10" x14ac:dyDescent="0.25">
      <c r="A1241">
        <v>27820681</v>
      </c>
      <c r="B1241" t="s">
        <v>17</v>
      </c>
      <c r="C1241" s="4">
        <v>44771.362618113417</v>
      </c>
      <c r="F1241" t="s">
        <v>55</v>
      </c>
      <c r="G1241" t="s">
        <v>412</v>
      </c>
      <c r="H1241" t="s">
        <v>195</v>
      </c>
      <c r="I1241" t="s">
        <v>21</v>
      </c>
    </row>
    <row r="1242" spans="1:10" x14ac:dyDescent="0.25">
      <c r="A1242">
        <v>27820690</v>
      </c>
      <c r="B1242" t="s">
        <v>17</v>
      </c>
      <c r="C1242" s="4">
        <v>44771.362791018517</v>
      </c>
      <c r="D1242" t="s">
        <v>1310</v>
      </c>
      <c r="E1242" t="s">
        <v>38</v>
      </c>
      <c r="F1242" t="s">
        <v>31</v>
      </c>
      <c r="G1242" t="s">
        <v>39</v>
      </c>
      <c r="H1242" t="s">
        <v>40</v>
      </c>
      <c r="I1242" t="s">
        <v>21</v>
      </c>
      <c r="J1242" t="s">
        <v>1311</v>
      </c>
    </row>
    <row r="1243" spans="1:10" x14ac:dyDescent="0.25">
      <c r="A1243">
        <v>27820701</v>
      </c>
      <c r="B1243" t="s">
        <v>17</v>
      </c>
      <c r="C1243" s="4">
        <v>44771.363153888888</v>
      </c>
      <c r="D1243" t="s">
        <v>1332</v>
      </c>
      <c r="E1243" t="s">
        <v>27</v>
      </c>
      <c r="F1243" t="s">
        <v>45</v>
      </c>
      <c r="G1243" t="s">
        <v>283</v>
      </c>
      <c r="H1243" t="s">
        <v>42</v>
      </c>
      <c r="I1243" t="s">
        <v>21</v>
      </c>
      <c r="J1243" t="s">
        <v>1333</v>
      </c>
    </row>
    <row r="1244" spans="1:10" x14ac:dyDescent="0.25">
      <c r="A1244">
        <v>27820703</v>
      </c>
      <c r="B1244" t="s">
        <v>17</v>
      </c>
      <c r="C1244" s="4">
        <v>44771.363228449067</v>
      </c>
      <c r="D1244" t="s">
        <v>1310</v>
      </c>
      <c r="E1244" t="s">
        <v>38</v>
      </c>
      <c r="F1244" t="s">
        <v>31</v>
      </c>
      <c r="G1244" t="s">
        <v>39</v>
      </c>
      <c r="H1244" t="s">
        <v>25</v>
      </c>
      <c r="I1244" t="s">
        <v>21</v>
      </c>
      <c r="J1244" t="s">
        <v>1311</v>
      </c>
    </row>
    <row r="1245" spans="1:10" x14ac:dyDescent="0.25">
      <c r="A1245">
        <v>27820716</v>
      </c>
      <c r="B1245" t="s">
        <v>17</v>
      </c>
      <c r="C1245" s="4">
        <v>44771.363272303242</v>
      </c>
      <c r="D1245" t="s">
        <v>1319</v>
      </c>
      <c r="E1245" t="s">
        <v>27</v>
      </c>
      <c r="F1245" t="s">
        <v>18</v>
      </c>
      <c r="G1245" t="s">
        <v>154</v>
      </c>
      <c r="H1245" t="s">
        <v>40</v>
      </c>
      <c r="I1245" t="s">
        <v>21</v>
      </c>
      <c r="J1245" t="s">
        <v>1320</v>
      </c>
    </row>
    <row r="1246" spans="1:10" x14ac:dyDescent="0.25">
      <c r="A1246">
        <v>27820725</v>
      </c>
      <c r="B1246" t="s">
        <v>17</v>
      </c>
      <c r="C1246" s="4">
        <v>44771.363446921299</v>
      </c>
      <c r="D1246" t="s">
        <v>1332</v>
      </c>
      <c r="E1246" t="s">
        <v>27</v>
      </c>
      <c r="F1246" t="s">
        <v>45</v>
      </c>
      <c r="G1246" t="s">
        <v>283</v>
      </c>
      <c r="H1246" t="s">
        <v>54</v>
      </c>
      <c r="I1246" t="s">
        <v>21</v>
      </c>
      <c r="J1246" t="s">
        <v>1333</v>
      </c>
    </row>
    <row r="1247" spans="1:10" x14ac:dyDescent="0.25">
      <c r="A1247">
        <v>27820738</v>
      </c>
      <c r="B1247" t="s">
        <v>17</v>
      </c>
      <c r="C1247" s="4">
        <v>44771.363808206021</v>
      </c>
      <c r="D1247" t="s">
        <v>1329</v>
      </c>
      <c r="E1247" t="s">
        <v>1330</v>
      </c>
      <c r="F1247" t="s">
        <v>49</v>
      </c>
      <c r="G1247" t="s">
        <v>106</v>
      </c>
      <c r="H1247" t="s">
        <v>54</v>
      </c>
      <c r="I1247" t="s">
        <v>21</v>
      </c>
      <c r="J1247" t="s">
        <v>1331</v>
      </c>
    </row>
    <row r="1248" spans="1:10" x14ac:dyDescent="0.25">
      <c r="A1248">
        <v>27820742</v>
      </c>
      <c r="B1248" t="s">
        <v>17</v>
      </c>
      <c r="C1248" s="4">
        <v>44771.363906307874</v>
      </c>
      <c r="D1248" t="s">
        <v>1319</v>
      </c>
      <c r="E1248" t="s">
        <v>27</v>
      </c>
      <c r="F1248" t="s">
        <v>18</v>
      </c>
      <c r="G1248" t="s">
        <v>154</v>
      </c>
      <c r="H1248" t="s">
        <v>25</v>
      </c>
      <c r="I1248" t="s">
        <v>21</v>
      </c>
      <c r="J1248" t="s">
        <v>1320</v>
      </c>
    </row>
    <row r="1249" spans="1:10" x14ac:dyDescent="0.25">
      <c r="A1249">
        <v>27820756</v>
      </c>
      <c r="B1249" t="s">
        <v>17</v>
      </c>
      <c r="C1249" s="4">
        <v>44771.364130462956</v>
      </c>
      <c r="D1249" t="s">
        <v>1314</v>
      </c>
      <c r="E1249" t="s">
        <v>62</v>
      </c>
      <c r="F1249" t="s">
        <v>57</v>
      </c>
      <c r="G1249" t="s">
        <v>244</v>
      </c>
      <c r="H1249" t="s">
        <v>40</v>
      </c>
      <c r="I1249" t="s">
        <v>21</v>
      </c>
      <c r="J1249" t="s">
        <v>1315</v>
      </c>
    </row>
    <row r="1250" spans="1:10" x14ac:dyDescent="0.25">
      <c r="A1250">
        <v>27820772</v>
      </c>
      <c r="B1250" t="s">
        <v>17</v>
      </c>
      <c r="C1250" s="4">
        <v>44771.364549641206</v>
      </c>
      <c r="D1250" t="s">
        <v>1314</v>
      </c>
      <c r="E1250" t="s">
        <v>62</v>
      </c>
      <c r="F1250" t="s">
        <v>57</v>
      </c>
      <c r="G1250" t="s">
        <v>244</v>
      </c>
      <c r="H1250" t="s">
        <v>25</v>
      </c>
      <c r="I1250" t="s">
        <v>21</v>
      </c>
      <c r="J1250" t="s">
        <v>1315</v>
      </c>
    </row>
    <row r="1251" spans="1:10" x14ac:dyDescent="0.25">
      <c r="A1251">
        <v>27820823</v>
      </c>
      <c r="B1251" t="s">
        <v>17</v>
      </c>
      <c r="C1251" s="4">
        <v>44771.365818437502</v>
      </c>
      <c r="E1251" t="s">
        <v>22</v>
      </c>
      <c r="F1251" t="s">
        <v>18</v>
      </c>
      <c r="G1251" t="s">
        <v>405</v>
      </c>
      <c r="H1251" t="s">
        <v>126</v>
      </c>
      <c r="I1251" t="s">
        <v>21</v>
      </c>
    </row>
    <row r="1252" spans="1:10" x14ac:dyDescent="0.25">
      <c r="A1252">
        <v>27820826</v>
      </c>
      <c r="B1252" t="s">
        <v>17</v>
      </c>
      <c r="C1252" s="4">
        <v>44771.365821041669</v>
      </c>
      <c r="E1252" t="s">
        <v>22</v>
      </c>
      <c r="F1252" t="s">
        <v>18</v>
      </c>
      <c r="G1252" t="s">
        <v>405</v>
      </c>
      <c r="H1252" t="s">
        <v>127</v>
      </c>
      <c r="I1252" t="s">
        <v>21</v>
      </c>
    </row>
    <row r="1253" spans="1:10" x14ac:dyDescent="0.25">
      <c r="A1253">
        <v>27820838</v>
      </c>
      <c r="B1253" t="s">
        <v>17</v>
      </c>
      <c r="C1253" s="4">
        <v>44771.365894780087</v>
      </c>
      <c r="F1253" t="s">
        <v>23</v>
      </c>
      <c r="G1253" t="s">
        <v>149</v>
      </c>
      <c r="H1253" t="s">
        <v>196</v>
      </c>
      <c r="I1253" t="s">
        <v>21</v>
      </c>
    </row>
    <row r="1254" spans="1:10" x14ac:dyDescent="0.25">
      <c r="A1254">
        <v>27820842</v>
      </c>
      <c r="B1254" t="s">
        <v>17</v>
      </c>
      <c r="C1254" s="4">
        <v>44771.366007349527</v>
      </c>
      <c r="D1254" t="s">
        <v>1324</v>
      </c>
      <c r="E1254" t="s">
        <v>129</v>
      </c>
      <c r="F1254" t="s">
        <v>18</v>
      </c>
      <c r="G1254" t="s">
        <v>226</v>
      </c>
      <c r="H1254" t="s">
        <v>40</v>
      </c>
      <c r="I1254" t="s">
        <v>21</v>
      </c>
      <c r="J1254" t="s">
        <v>1325</v>
      </c>
    </row>
    <row r="1255" spans="1:10" x14ac:dyDescent="0.25">
      <c r="A1255">
        <v>27820858</v>
      </c>
      <c r="B1255" t="s">
        <v>17</v>
      </c>
      <c r="C1255" s="4">
        <v>44771.366449872687</v>
      </c>
      <c r="D1255" t="s">
        <v>1334</v>
      </c>
      <c r="E1255" t="s">
        <v>62</v>
      </c>
      <c r="F1255" t="s">
        <v>57</v>
      </c>
      <c r="G1255" t="s">
        <v>292</v>
      </c>
      <c r="H1255" t="s">
        <v>40</v>
      </c>
      <c r="I1255" t="s">
        <v>21</v>
      </c>
    </row>
    <row r="1256" spans="1:10" x14ac:dyDescent="0.25">
      <c r="A1256">
        <v>27820859</v>
      </c>
      <c r="B1256" t="s">
        <v>17</v>
      </c>
      <c r="C1256" s="4">
        <v>44771.366517557872</v>
      </c>
      <c r="D1256" t="s">
        <v>1324</v>
      </c>
      <c r="E1256" t="s">
        <v>129</v>
      </c>
      <c r="F1256" t="s">
        <v>18</v>
      </c>
      <c r="G1256" t="s">
        <v>226</v>
      </c>
      <c r="H1256" t="s">
        <v>25</v>
      </c>
      <c r="I1256" t="s">
        <v>21</v>
      </c>
      <c r="J1256" t="s">
        <v>1325</v>
      </c>
    </row>
    <row r="1257" spans="1:10" x14ac:dyDescent="0.25">
      <c r="A1257">
        <v>27820876</v>
      </c>
      <c r="B1257" t="s">
        <v>17</v>
      </c>
      <c r="C1257" s="4">
        <v>44771.366699409722</v>
      </c>
      <c r="D1257" t="s">
        <v>1335</v>
      </c>
      <c r="E1257" t="s">
        <v>27</v>
      </c>
      <c r="F1257" t="s">
        <v>57</v>
      </c>
      <c r="G1257" t="s">
        <v>182</v>
      </c>
      <c r="H1257" t="s">
        <v>40</v>
      </c>
      <c r="I1257" t="s">
        <v>21</v>
      </c>
    </row>
    <row r="1258" spans="1:10" x14ac:dyDescent="0.25">
      <c r="A1258">
        <v>27820883</v>
      </c>
      <c r="B1258" t="s">
        <v>17</v>
      </c>
      <c r="C1258" s="4">
        <v>44771.366969722221</v>
      </c>
      <c r="D1258" t="s">
        <v>1334</v>
      </c>
      <c r="E1258" t="s">
        <v>62</v>
      </c>
      <c r="F1258" t="s">
        <v>57</v>
      </c>
      <c r="G1258" t="s">
        <v>292</v>
      </c>
      <c r="H1258" t="s">
        <v>25</v>
      </c>
      <c r="I1258" t="s">
        <v>21</v>
      </c>
    </row>
    <row r="1259" spans="1:10" x14ac:dyDescent="0.25">
      <c r="A1259">
        <v>27820890</v>
      </c>
      <c r="B1259" t="s">
        <v>17</v>
      </c>
      <c r="C1259" s="4">
        <v>44771.36703040509</v>
      </c>
      <c r="D1259" t="s">
        <v>1335</v>
      </c>
      <c r="E1259" t="s">
        <v>27</v>
      </c>
      <c r="F1259" t="s">
        <v>57</v>
      </c>
      <c r="G1259" t="s">
        <v>182</v>
      </c>
      <c r="H1259" t="s">
        <v>25</v>
      </c>
      <c r="I1259" t="s">
        <v>21</v>
      </c>
    </row>
    <row r="1260" spans="1:10" x14ac:dyDescent="0.25">
      <c r="A1260">
        <v>27820901</v>
      </c>
      <c r="B1260" t="s">
        <v>17</v>
      </c>
      <c r="C1260" s="4">
        <v>44771.367171168982</v>
      </c>
      <c r="F1260" t="s">
        <v>55</v>
      </c>
      <c r="G1260" t="s">
        <v>412</v>
      </c>
      <c r="H1260" t="s">
        <v>196</v>
      </c>
      <c r="I1260" t="s">
        <v>21</v>
      </c>
    </row>
    <row r="1261" spans="1:10" x14ac:dyDescent="0.25">
      <c r="A1261">
        <v>27820932</v>
      </c>
      <c r="B1261" t="s">
        <v>17</v>
      </c>
      <c r="C1261" s="4">
        <v>44771.368100300933</v>
      </c>
      <c r="D1261" t="s">
        <v>1332</v>
      </c>
      <c r="E1261" t="s">
        <v>27</v>
      </c>
      <c r="F1261" t="s">
        <v>45</v>
      </c>
      <c r="G1261" t="s">
        <v>283</v>
      </c>
      <c r="H1261" t="s">
        <v>40</v>
      </c>
      <c r="I1261" t="s">
        <v>21</v>
      </c>
      <c r="J1261" t="s">
        <v>1333</v>
      </c>
    </row>
    <row r="1262" spans="1:10" x14ac:dyDescent="0.25">
      <c r="A1262">
        <v>27820941</v>
      </c>
      <c r="B1262" t="s">
        <v>17</v>
      </c>
      <c r="C1262" s="4">
        <v>44771.368513865738</v>
      </c>
      <c r="D1262" t="s">
        <v>1332</v>
      </c>
      <c r="E1262" t="s">
        <v>27</v>
      </c>
      <c r="F1262" t="s">
        <v>45</v>
      </c>
      <c r="G1262" t="s">
        <v>283</v>
      </c>
      <c r="H1262" t="s">
        <v>25</v>
      </c>
      <c r="I1262" t="s">
        <v>21</v>
      </c>
      <c r="J1262" t="s">
        <v>1333</v>
      </c>
    </row>
    <row r="1263" spans="1:10" x14ac:dyDescent="0.25">
      <c r="A1263">
        <v>27820954</v>
      </c>
      <c r="B1263" t="s">
        <v>17</v>
      </c>
      <c r="C1263" s="4">
        <v>44771.368582962961</v>
      </c>
      <c r="D1263" t="s">
        <v>1336</v>
      </c>
      <c r="E1263" t="s">
        <v>62</v>
      </c>
      <c r="F1263" t="s">
        <v>49</v>
      </c>
      <c r="G1263" t="s">
        <v>80</v>
      </c>
      <c r="H1263" t="s">
        <v>29</v>
      </c>
      <c r="I1263" t="s">
        <v>21</v>
      </c>
      <c r="J1263" t="s">
        <v>1337</v>
      </c>
    </row>
    <row r="1264" spans="1:10" x14ac:dyDescent="0.25">
      <c r="A1264">
        <v>27820981</v>
      </c>
      <c r="B1264" t="s">
        <v>17</v>
      </c>
      <c r="C1264" s="4">
        <v>44771.368996053243</v>
      </c>
      <c r="D1264" t="s">
        <v>1338</v>
      </c>
      <c r="E1264" t="s">
        <v>22</v>
      </c>
      <c r="F1264" t="s">
        <v>23</v>
      </c>
      <c r="G1264" t="s">
        <v>187</v>
      </c>
      <c r="H1264" t="s">
        <v>42</v>
      </c>
      <c r="I1264" t="s">
        <v>21</v>
      </c>
      <c r="J1264" t="s">
        <v>302</v>
      </c>
    </row>
    <row r="1265" spans="1:10" x14ac:dyDescent="0.25">
      <c r="A1265">
        <v>27820994</v>
      </c>
      <c r="B1265" t="s">
        <v>17</v>
      </c>
      <c r="C1265" s="4">
        <v>44771.369173344909</v>
      </c>
      <c r="D1265" t="s">
        <v>1339</v>
      </c>
      <c r="E1265" t="s">
        <v>27</v>
      </c>
      <c r="F1265" t="s">
        <v>18</v>
      </c>
      <c r="G1265" t="s">
        <v>186</v>
      </c>
      <c r="H1265" t="s">
        <v>42</v>
      </c>
      <c r="I1265" t="s">
        <v>21</v>
      </c>
      <c r="J1265" t="s">
        <v>313</v>
      </c>
    </row>
    <row r="1266" spans="1:10" x14ac:dyDescent="0.25">
      <c r="A1266">
        <v>27821002</v>
      </c>
      <c r="B1266" t="s">
        <v>17</v>
      </c>
      <c r="C1266" s="4">
        <v>44771.36931357639</v>
      </c>
      <c r="D1266" t="s">
        <v>1339</v>
      </c>
      <c r="E1266" t="s">
        <v>27</v>
      </c>
      <c r="F1266" t="s">
        <v>18</v>
      </c>
      <c r="G1266" t="s">
        <v>186</v>
      </c>
      <c r="H1266" t="s">
        <v>54</v>
      </c>
      <c r="I1266" t="s">
        <v>21</v>
      </c>
      <c r="J1266" t="s">
        <v>313</v>
      </c>
    </row>
    <row r="1267" spans="1:10" x14ac:dyDescent="0.25">
      <c r="A1267">
        <v>27821043</v>
      </c>
      <c r="B1267" t="s">
        <v>17</v>
      </c>
      <c r="C1267" s="4">
        <v>44771.369818912041</v>
      </c>
      <c r="D1267" t="s">
        <v>1340</v>
      </c>
      <c r="E1267" t="s">
        <v>129</v>
      </c>
      <c r="F1267" t="s">
        <v>49</v>
      </c>
      <c r="G1267" t="s">
        <v>74</v>
      </c>
      <c r="H1267" t="s">
        <v>29</v>
      </c>
      <c r="I1267" t="s">
        <v>21</v>
      </c>
      <c r="J1267" t="s">
        <v>1341</v>
      </c>
    </row>
    <row r="1268" spans="1:10" x14ac:dyDescent="0.25">
      <c r="A1268">
        <v>27821060</v>
      </c>
      <c r="B1268" t="s">
        <v>17</v>
      </c>
      <c r="C1268" s="4">
        <v>44771.370188136571</v>
      </c>
      <c r="D1268" t="s">
        <v>1329</v>
      </c>
      <c r="E1268" t="s">
        <v>1330</v>
      </c>
      <c r="F1268" t="s">
        <v>49</v>
      </c>
      <c r="G1268" t="s">
        <v>106</v>
      </c>
      <c r="H1268" t="s">
        <v>40</v>
      </c>
      <c r="I1268" t="s">
        <v>21</v>
      </c>
      <c r="J1268" t="s">
        <v>1331</v>
      </c>
    </row>
    <row r="1269" spans="1:10" x14ac:dyDescent="0.25">
      <c r="A1269">
        <v>27821064</v>
      </c>
      <c r="B1269" t="s">
        <v>17</v>
      </c>
      <c r="C1269" s="4">
        <v>44771.370330729173</v>
      </c>
      <c r="D1269" t="s">
        <v>1342</v>
      </c>
      <c r="E1269" t="s">
        <v>27</v>
      </c>
      <c r="F1269" t="s">
        <v>18</v>
      </c>
      <c r="G1269" t="s">
        <v>380</v>
      </c>
      <c r="H1269" t="s">
        <v>29</v>
      </c>
      <c r="I1269" t="s">
        <v>21</v>
      </c>
      <c r="J1269" t="s">
        <v>1343</v>
      </c>
    </row>
    <row r="1270" spans="1:10" x14ac:dyDescent="0.25">
      <c r="A1270">
        <v>27821082</v>
      </c>
      <c r="B1270" t="s">
        <v>17</v>
      </c>
      <c r="C1270" s="4">
        <v>44771.370559085648</v>
      </c>
      <c r="D1270" t="s">
        <v>1344</v>
      </c>
      <c r="E1270" t="s">
        <v>27</v>
      </c>
      <c r="F1270" t="s">
        <v>18</v>
      </c>
      <c r="G1270" t="s">
        <v>102</v>
      </c>
      <c r="H1270" t="s">
        <v>42</v>
      </c>
      <c r="I1270" t="s">
        <v>21</v>
      </c>
      <c r="J1270" t="s">
        <v>1345</v>
      </c>
    </row>
    <row r="1271" spans="1:10" x14ac:dyDescent="0.25">
      <c r="A1271">
        <v>27821086</v>
      </c>
      <c r="B1271" t="s">
        <v>17</v>
      </c>
      <c r="C1271" s="4">
        <v>44771.370749085647</v>
      </c>
      <c r="D1271" t="s">
        <v>1329</v>
      </c>
      <c r="E1271" t="s">
        <v>1330</v>
      </c>
      <c r="F1271" t="s">
        <v>49</v>
      </c>
      <c r="G1271" t="s">
        <v>106</v>
      </c>
      <c r="H1271" t="s">
        <v>25</v>
      </c>
      <c r="I1271" t="s">
        <v>21</v>
      </c>
      <c r="J1271" t="s">
        <v>1331</v>
      </c>
    </row>
    <row r="1272" spans="1:10" x14ac:dyDescent="0.25">
      <c r="A1272">
        <v>27821105</v>
      </c>
      <c r="B1272" t="s">
        <v>17</v>
      </c>
      <c r="C1272" s="4">
        <v>44771.37121085648</v>
      </c>
      <c r="D1272" t="s">
        <v>1338</v>
      </c>
      <c r="E1272" t="s">
        <v>22</v>
      </c>
      <c r="F1272" t="s">
        <v>23</v>
      </c>
      <c r="G1272" t="s">
        <v>187</v>
      </c>
      <c r="H1272" t="s">
        <v>54</v>
      </c>
      <c r="I1272" t="s">
        <v>21</v>
      </c>
      <c r="J1272" t="s">
        <v>302</v>
      </c>
    </row>
    <row r="1273" spans="1:10" x14ac:dyDescent="0.25">
      <c r="A1273">
        <v>27821117</v>
      </c>
      <c r="B1273" t="s">
        <v>17</v>
      </c>
      <c r="C1273" s="4">
        <v>44771.371526168979</v>
      </c>
      <c r="D1273" t="s">
        <v>1344</v>
      </c>
      <c r="E1273" t="s">
        <v>27</v>
      </c>
      <c r="F1273" t="s">
        <v>18</v>
      </c>
      <c r="G1273" t="s">
        <v>102</v>
      </c>
      <c r="H1273" t="s">
        <v>54</v>
      </c>
      <c r="I1273" t="s">
        <v>21</v>
      </c>
      <c r="J1273" t="s">
        <v>1345</v>
      </c>
    </row>
    <row r="1274" spans="1:10" x14ac:dyDescent="0.25">
      <c r="A1274">
        <v>27821150</v>
      </c>
      <c r="B1274" t="s">
        <v>17</v>
      </c>
      <c r="C1274" s="4">
        <v>44771.371890173607</v>
      </c>
      <c r="D1274" t="s">
        <v>1346</v>
      </c>
      <c r="E1274" t="s">
        <v>27</v>
      </c>
      <c r="F1274" t="s">
        <v>18</v>
      </c>
      <c r="G1274" t="s">
        <v>375</v>
      </c>
      <c r="H1274" t="s">
        <v>29</v>
      </c>
      <c r="I1274" t="s">
        <v>21</v>
      </c>
      <c r="J1274" t="s">
        <v>736</v>
      </c>
    </row>
    <row r="1275" spans="1:10" x14ac:dyDescent="0.25">
      <c r="A1275">
        <v>27821177</v>
      </c>
      <c r="B1275" t="s">
        <v>17</v>
      </c>
      <c r="C1275" s="4">
        <v>44771.372355081017</v>
      </c>
      <c r="D1275" t="s">
        <v>1347</v>
      </c>
      <c r="E1275" t="s">
        <v>184</v>
      </c>
      <c r="F1275" t="s">
        <v>57</v>
      </c>
      <c r="G1275" t="s">
        <v>421</v>
      </c>
      <c r="H1275" t="s">
        <v>42</v>
      </c>
      <c r="I1275" t="s">
        <v>21</v>
      </c>
      <c r="J1275" t="s">
        <v>301</v>
      </c>
    </row>
    <row r="1276" spans="1:10" x14ac:dyDescent="0.25">
      <c r="A1276">
        <v>27821181</v>
      </c>
      <c r="B1276" t="s">
        <v>17</v>
      </c>
      <c r="C1276" s="4">
        <v>44771.372622569441</v>
      </c>
      <c r="D1276" t="s">
        <v>1347</v>
      </c>
      <c r="E1276" t="s">
        <v>184</v>
      </c>
      <c r="F1276" t="s">
        <v>57</v>
      </c>
      <c r="G1276" t="s">
        <v>421</v>
      </c>
      <c r="H1276" t="s">
        <v>54</v>
      </c>
      <c r="I1276" t="s">
        <v>21</v>
      </c>
      <c r="J1276" t="s">
        <v>301</v>
      </c>
    </row>
    <row r="1277" spans="1:10" x14ac:dyDescent="0.25">
      <c r="A1277">
        <v>27821195</v>
      </c>
      <c r="B1277" t="s">
        <v>17</v>
      </c>
      <c r="C1277" s="4">
        <v>44771.373299583327</v>
      </c>
      <c r="D1277" t="s">
        <v>1339</v>
      </c>
      <c r="E1277" t="s">
        <v>27</v>
      </c>
      <c r="F1277" t="s">
        <v>18</v>
      </c>
      <c r="G1277" t="s">
        <v>186</v>
      </c>
      <c r="H1277" t="s">
        <v>40</v>
      </c>
      <c r="I1277" t="s">
        <v>21</v>
      </c>
      <c r="J1277" t="s">
        <v>313</v>
      </c>
    </row>
    <row r="1278" spans="1:10" x14ac:dyDescent="0.25">
      <c r="A1278">
        <v>27821207</v>
      </c>
      <c r="B1278" t="s">
        <v>17</v>
      </c>
      <c r="C1278" s="4">
        <v>44771.37351302083</v>
      </c>
      <c r="D1278" t="s">
        <v>1348</v>
      </c>
      <c r="E1278" t="s">
        <v>310</v>
      </c>
      <c r="F1278" t="s">
        <v>18</v>
      </c>
      <c r="G1278" t="s">
        <v>271</v>
      </c>
      <c r="H1278" t="s">
        <v>42</v>
      </c>
      <c r="I1278" t="s">
        <v>21</v>
      </c>
      <c r="J1278" t="s">
        <v>311</v>
      </c>
    </row>
    <row r="1279" spans="1:10" x14ac:dyDescent="0.25">
      <c r="A1279">
        <v>27821214</v>
      </c>
      <c r="B1279" t="s">
        <v>17</v>
      </c>
      <c r="C1279" s="4">
        <v>44771.373578935178</v>
      </c>
      <c r="D1279" t="s">
        <v>1348</v>
      </c>
      <c r="E1279" t="s">
        <v>310</v>
      </c>
      <c r="F1279" t="s">
        <v>18</v>
      </c>
      <c r="G1279" t="s">
        <v>271</v>
      </c>
      <c r="H1279" t="s">
        <v>54</v>
      </c>
      <c r="I1279" t="s">
        <v>21</v>
      </c>
      <c r="J1279" t="s">
        <v>311</v>
      </c>
    </row>
    <row r="1280" spans="1:10" x14ac:dyDescent="0.25">
      <c r="A1280">
        <v>27821223</v>
      </c>
      <c r="B1280" t="s">
        <v>17</v>
      </c>
      <c r="C1280" s="4">
        <v>44771.373872523152</v>
      </c>
      <c r="D1280" t="s">
        <v>1339</v>
      </c>
      <c r="E1280" t="s">
        <v>27</v>
      </c>
      <c r="F1280" t="s">
        <v>18</v>
      </c>
      <c r="G1280" t="s">
        <v>186</v>
      </c>
      <c r="H1280" t="s">
        <v>25</v>
      </c>
      <c r="I1280" t="s">
        <v>21</v>
      </c>
      <c r="J1280" t="s">
        <v>313</v>
      </c>
    </row>
    <row r="1281" spans="1:10" x14ac:dyDescent="0.25">
      <c r="A1281">
        <v>27821250</v>
      </c>
      <c r="B1281" t="s">
        <v>17</v>
      </c>
      <c r="C1281" s="4">
        <v>44771.374711550918</v>
      </c>
      <c r="D1281" t="s">
        <v>1349</v>
      </c>
      <c r="E1281" t="s">
        <v>38</v>
      </c>
      <c r="F1281" t="s">
        <v>52</v>
      </c>
      <c r="G1281" t="s">
        <v>94</v>
      </c>
      <c r="H1281" t="s">
        <v>29</v>
      </c>
      <c r="I1281" t="s">
        <v>21</v>
      </c>
      <c r="J1281" t="s">
        <v>1350</v>
      </c>
    </row>
    <row r="1282" spans="1:10" x14ac:dyDescent="0.25">
      <c r="A1282">
        <v>27821291</v>
      </c>
      <c r="B1282" t="s">
        <v>17</v>
      </c>
      <c r="C1282" s="4">
        <v>44771.375191261577</v>
      </c>
      <c r="D1282" t="s">
        <v>1351</v>
      </c>
      <c r="E1282" t="s">
        <v>38</v>
      </c>
      <c r="F1282" t="s">
        <v>31</v>
      </c>
      <c r="G1282" t="s">
        <v>199</v>
      </c>
      <c r="H1282" t="s">
        <v>42</v>
      </c>
      <c r="I1282" t="s">
        <v>21</v>
      </c>
      <c r="J1282" t="s">
        <v>1352</v>
      </c>
    </row>
    <row r="1283" spans="1:10" x14ac:dyDescent="0.25">
      <c r="A1283">
        <v>27821301</v>
      </c>
      <c r="B1283" t="s">
        <v>17</v>
      </c>
      <c r="C1283" s="4">
        <v>44771.375472233798</v>
      </c>
      <c r="D1283" t="s">
        <v>1353</v>
      </c>
      <c r="E1283" t="s">
        <v>129</v>
      </c>
      <c r="F1283" t="s">
        <v>49</v>
      </c>
      <c r="G1283" t="s">
        <v>359</v>
      </c>
      <c r="H1283" t="s">
        <v>29</v>
      </c>
      <c r="I1283" t="s">
        <v>21</v>
      </c>
      <c r="J1283" t="s">
        <v>315</v>
      </c>
    </row>
    <row r="1284" spans="1:10" x14ac:dyDescent="0.25">
      <c r="A1284">
        <v>27821323</v>
      </c>
      <c r="B1284" t="s">
        <v>17</v>
      </c>
      <c r="C1284" s="4">
        <v>44771.375918136568</v>
      </c>
      <c r="D1284" t="s">
        <v>1354</v>
      </c>
      <c r="E1284" t="s">
        <v>27</v>
      </c>
      <c r="F1284" t="s">
        <v>18</v>
      </c>
      <c r="G1284" t="s">
        <v>260</v>
      </c>
      <c r="H1284" t="s">
        <v>29</v>
      </c>
      <c r="I1284" t="s">
        <v>21</v>
      </c>
      <c r="J1284" t="s">
        <v>1355</v>
      </c>
    </row>
    <row r="1285" spans="1:10" x14ac:dyDescent="0.25">
      <c r="A1285">
        <v>27821349</v>
      </c>
      <c r="B1285" t="s">
        <v>17</v>
      </c>
      <c r="C1285" s="4">
        <v>44771.376639803239</v>
      </c>
      <c r="D1285" t="s">
        <v>1356</v>
      </c>
      <c r="E1285" t="s">
        <v>939</v>
      </c>
      <c r="F1285" t="s">
        <v>49</v>
      </c>
      <c r="G1285" t="s">
        <v>84</v>
      </c>
      <c r="H1285" t="s">
        <v>29</v>
      </c>
      <c r="I1285" t="s">
        <v>21</v>
      </c>
      <c r="J1285" t="s">
        <v>1357</v>
      </c>
    </row>
    <row r="1286" spans="1:10" x14ac:dyDescent="0.25">
      <c r="A1286">
        <v>27821366</v>
      </c>
      <c r="B1286" t="s">
        <v>17</v>
      </c>
      <c r="C1286" s="4">
        <v>44771.376937407411</v>
      </c>
      <c r="D1286" t="s">
        <v>1351</v>
      </c>
      <c r="E1286" t="s">
        <v>38</v>
      </c>
      <c r="F1286" t="s">
        <v>31</v>
      </c>
      <c r="G1286" t="s">
        <v>199</v>
      </c>
      <c r="H1286" t="s">
        <v>54</v>
      </c>
      <c r="I1286" t="s">
        <v>21</v>
      </c>
      <c r="J1286" t="s">
        <v>1352</v>
      </c>
    </row>
    <row r="1287" spans="1:10" x14ac:dyDescent="0.25">
      <c r="A1287">
        <v>27821369</v>
      </c>
      <c r="B1287" t="s">
        <v>17</v>
      </c>
      <c r="C1287" s="4">
        <v>44771.376978819448</v>
      </c>
      <c r="D1287" t="s">
        <v>1338</v>
      </c>
      <c r="E1287" t="s">
        <v>22</v>
      </c>
      <c r="F1287" t="s">
        <v>23</v>
      </c>
      <c r="G1287" t="s">
        <v>187</v>
      </c>
      <c r="H1287" t="s">
        <v>40</v>
      </c>
      <c r="I1287" t="s">
        <v>21</v>
      </c>
      <c r="J1287" t="s">
        <v>302</v>
      </c>
    </row>
    <row r="1288" spans="1:10" x14ac:dyDescent="0.25">
      <c r="A1288">
        <v>27821375</v>
      </c>
      <c r="B1288" t="s">
        <v>17</v>
      </c>
      <c r="C1288" s="4">
        <v>44771.377075578697</v>
      </c>
      <c r="D1288" t="s">
        <v>1344</v>
      </c>
      <c r="E1288" t="s">
        <v>27</v>
      </c>
      <c r="F1288" t="s">
        <v>18</v>
      </c>
      <c r="G1288" t="s">
        <v>102</v>
      </c>
      <c r="H1288" t="s">
        <v>40</v>
      </c>
      <c r="I1288" t="s">
        <v>21</v>
      </c>
      <c r="J1288" t="s">
        <v>1345</v>
      </c>
    </row>
    <row r="1289" spans="1:10" x14ac:dyDescent="0.25">
      <c r="A1289">
        <v>27821384</v>
      </c>
      <c r="B1289" t="s">
        <v>17</v>
      </c>
      <c r="C1289" s="4">
        <v>44771.377570150456</v>
      </c>
      <c r="D1289" t="s">
        <v>1338</v>
      </c>
      <c r="E1289" t="s">
        <v>22</v>
      </c>
      <c r="F1289" t="s">
        <v>23</v>
      </c>
      <c r="G1289" t="s">
        <v>187</v>
      </c>
      <c r="H1289" t="s">
        <v>25</v>
      </c>
      <c r="I1289" t="s">
        <v>21</v>
      </c>
      <c r="J1289" t="s">
        <v>302</v>
      </c>
    </row>
    <row r="1290" spans="1:10" x14ac:dyDescent="0.25">
      <c r="A1290">
        <v>27821398</v>
      </c>
      <c r="B1290" t="s">
        <v>17</v>
      </c>
      <c r="C1290" s="4">
        <v>44771.377659548612</v>
      </c>
      <c r="D1290" t="s">
        <v>1344</v>
      </c>
      <c r="E1290" t="s">
        <v>27</v>
      </c>
      <c r="F1290" t="s">
        <v>18</v>
      </c>
      <c r="G1290" t="s">
        <v>102</v>
      </c>
      <c r="H1290" t="s">
        <v>25</v>
      </c>
      <c r="I1290" t="s">
        <v>21</v>
      </c>
      <c r="J1290" t="s">
        <v>1345</v>
      </c>
    </row>
    <row r="1291" spans="1:10" x14ac:dyDescent="0.25">
      <c r="A1291">
        <v>27821423</v>
      </c>
      <c r="B1291" t="s">
        <v>17</v>
      </c>
      <c r="C1291" s="4">
        <v>44771.378103622686</v>
      </c>
      <c r="F1291" t="s">
        <v>55</v>
      </c>
      <c r="G1291" t="s">
        <v>412</v>
      </c>
      <c r="H1291" t="s">
        <v>195</v>
      </c>
      <c r="I1291" t="s">
        <v>21</v>
      </c>
    </row>
    <row r="1292" spans="1:10" x14ac:dyDescent="0.25">
      <c r="A1292">
        <v>27821446</v>
      </c>
      <c r="B1292" t="s">
        <v>17</v>
      </c>
      <c r="C1292" s="4">
        <v>44771.378606331018</v>
      </c>
      <c r="D1292" t="s">
        <v>1207</v>
      </c>
      <c r="E1292" t="s">
        <v>38</v>
      </c>
      <c r="F1292" t="s">
        <v>31</v>
      </c>
      <c r="G1292" t="s">
        <v>133</v>
      </c>
      <c r="H1292" t="s">
        <v>29</v>
      </c>
      <c r="I1292" t="s">
        <v>21</v>
      </c>
      <c r="J1292" t="s">
        <v>1208</v>
      </c>
    </row>
    <row r="1293" spans="1:10" x14ac:dyDescent="0.25">
      <c r="A1293">
        <v>27821456</v>
      </c>
      <c r="B1293" t="s">
        <v>17</v>
      </c>
      <c r="C1293" s="4">
        <v>44771.378886886567</v>
      </c>
      <c r="D1293" t="s">
        <v>1347</v>
      </c>
      <c r="E1293" t="s">
        <v>184</v>
      </c>
      <c r="F1293" t="s">
        <v>57</v>
      </c>
      <c r="G1293" t="s">
        <v>421</v>
      </c>
      <c r="H1293" t="s">
        <v>40</v>
      </c>
      <c r="I1293" t="s">
        <v>21</v>
      </c>
      <c r="J1293" t="s">
        <v>301</v>
      </c>
    </row>
    <row r="1294" spans="1:10" x14ac:dyDescent="0.25">
      <c r="A1294">
        <v>27821471</v>
      </c>
      <c r="B1294" t="s">
        <v>17</v>
      </c>
      <c r="C1294" s="4">
        <v>44771.379310497687</v>
      </c>
      <c r="D1294" t="s">
        <v>1347</v>
      </c>
      <c r="E1294" t="s">
        <v>184</v>
      </c>
      <c r="F1294" t="s">
        <v>57</v>
      </c>
      <c r="G1294" t="s">
        <v>421</v>
      </c>
      <c r="H1294" t="s">
        <v>25</v>
      </c>
      <c r="I1294" t="s">
        <v>21</v>
      </c>
      <c r="J1294" t="s">
        <v>301</v>
      </c>
    </row>
    <row r="1295" spans="1:10" x14ac:dyDescent="0.25">
      <c r="A1295">
        <v>27821491</v>
      </c>
      <c r="B1295" t="s">
        <v>17</v>
      </c>
      <c r="C1295" s="4">
        <v>44771.379473703702</v>
      </c>
      <c r="D1295" t="s">
        <v>1358</v>
      </c>
      <c r="E1295" t="s">
        <v>387</v>
      </c>
      <c r="F1295" t="s">
        <v>18</v>
      </c>
      <c r="G1295" t="s">
        <v>124</v>
      </c>
      <c r="H1295" t="s">
        <v>42</v>
      </c>
      <c r="I1295" t="s">
        <v>21</v>
      </c>
      <c r="J1295" t="s">
        <v>1359</v>
      </c>
    </row>
    <row r="1296" spans="1:10" x14ac:dyDescent="0.25">
      <c r="A1296">
        <v>27821494</v>
      </c>
      <c r="B1296" t="s">
        <v>17</v>
      </c>
      <c r="C1296" s="4">
        <v>44771.37951244213</v>
      </c>
      <c r="D1296" t="s">
        <v>1358</v>
      </c>
      <c r="E1296" t="s">
        <v>387</v>
      </c>
      <c r="F1296" t="s">
        <v>18</v>
      </c>
      <c r="G1296" t="s">
        <v>124</v>
      </c>
      <c r="H1296" t="s">
        <v>54</v>
      </c>
      <c r="I1296" t="s">
        <v>21</v>
      </c>
      <c r="J1296" t="s">
        <v>1359</v>
      </c>
    </row>
    <row r="1297" spans="1:10" x14ac:dyDescent="0.25">
      <c r="A1297">
        <v>27821503</v>
      </c>
      <c r="B1297" t="s">
        <v>17</v>
      </c>
      <c r="C1297" s="4">
        <v>44771.379666608787</v>
      </c>
      <c r="F1297" t="s">
        <v>23</v>
      </c>
      <c r="G1297" t="s">
        <v>170</v>
      </c>
      <c r="H1297" t="s">
        <v>20</v>
      </c>
      <c r="I1297" t="s">
        <v>21</v>
      </c>
    </row>
    <row r="1298" spans="1:10" x14ac:dyDescent="0.25">
      <c r="A1298">
        <v>27821510</v>
      </c>
      <c r="B1298" t="s">
        <v>17</v>
      </c>
      <c r="C1298" s="4">
        <v>44771.379966562497</v>
      </c>
      <c r="D1298" t="s">
        <v>1358</v>
      </c>
      <c r="E1298" t="s">
        <v>387</v>
      </c>
      <c r="F1298" t="s">
        <v>18</v>
      </c>
      <c r="G1298" t="s">
        <v>124</v>
      </c>
      <c r="H1298" t="s">
        <v>118</v>
      </c>
      <c r="I1298" t="s">
        <v>36</v>
      </c>
      <c r="J1298" t="s">
        <v>1359</v>
      </c>
    </row>
    <row r="1299" spans="1:10" x14ac:dyDescent="0.25">
      <c r="A1299">
        <v>27821516</v>
      </c>
      <c r="B1299" t="s">
        <v>17</v>
      </c>
      <c r="C1299" s="4">
        <v>44771.380136944441</v>
      </c>
      <c r="D1299" t="s">
        <v>1358</v>
      </c>
      <c r="E1299" t="s">
        <v>387</v>
      </c>
      <c r="F1299" t="s">
        <v>18</v>
      </c>
      <c r="G1299" t="s">
        <v>124</v>
      </c>
      <c r="H1299" t="s">
        <v>35</v>
      </c>
      <c r="I1299" t="s">
        <v>36</v>
      </c>
      <c r="J1299" t="s">
        <v>1359</v>
      </c>
    </row>
    <row r="1300" spans="1:10" x14ac:dyDescent="0.25">
      <c r="A1300">
        <v>27821526</v>
      </c>
      <c r="B1300" t="s">
        <v>17</v>
      </c>
      <c r="C1300" s="4">
        <v>44771.38061896991</v>
      </c>
      <c r="D1300" t="s">
        <v>1348</v>
      </c>
      <c r="E1300" t="s">
        <v>310</v>
      </c>
      <c r="F1300" t="s">
        <v>18</v>
      </c>
      <c r="G1300" t="s">
        <v>271</v>
      </c>
      <c r="H1300" t="s">
        <v>40</v>
      </c>
      <c r="I1300" t="s">
        <v>21</v>
      </c>
      <c r="J1300" t="s">
        <v>311</v>
      </c>
    </row>
    <row r="1301" spans="1:10" x14ac:dyDescent="0.25">
      <c r="A1301">
        <v>27821529</v>
      </c>
      <c r="B1301" t="s">
        <v>17</v>
      </c>
      <c r="C1301" s="4">
        <v>44771.380762083332</v>
      </c>
      <c r="D1301" t="s">
        <v>1360</v>
      </c>
      <c r="E1301" t="s">
        <v>129</v>
      </c>
      <c r="F1301" t="s">
        <v>49</v>
      </c>
      <c r="G1301" t="s">
        <v>359</v>
      </c>
      <c r="H1301" t="s">
        <v>29</v>
      </c>
      <c r="I1301" t="s">
        <v>21</v>
      </c>
      <c r="J1301" t="s">
        <v>1361</v>
      </c>
    </row>
    <row r="1302" spans="1:10" x14ac:dyDescent="0.25">
      <c r="A1302">
        <v>27821543</v>
      </c>
      <c r="B1302" t="s">
        <v>17</v>
      </c>
      <c r="C1302" s="4">
        <v>44771.381001423608</v>
      </c>
      <c r="D1302" t="s">
        <v>1348</v>
      </c>
      <c r="E1302" t="s">
        <v>310</v>
      </c>
      <c r="F1302" t="s">
        <v>18</v>
      </c>
      <c r="G1302" t="s">
        <v>271</v>
      </c>
      <c r="H1302" t="s">
        <v>25</v>
      </c>
      <c r="I1302" t="s">
        <v>21</v>
      </c>
      <c r="J1302" t="s">
        <v>311</v>
      </c>
    </row>
    <row r="1303" spans="1:10" x14ac:dyDescent="0.25">
      <c r="A1303">
        <v>27821557</v>
      </c>
      <c r="B1303" t="s">
        <v>17</v>
      </c>
      <c r="C1303" s="4">
        <v>44771.381036145831</v>
      </c>
      <c r="D1303" t="s">
        <v>1362</v>
      </c>
      <c r="E1303" t="s">
        <v>387</v>
      </c>
      <c r="F1303" t="s">
        <v>18</v>
      </c>
      <c r="G1303" t="s">
        <v>333</v>
      </c>
      <c r="H1303" t="s">
        <v>42</v>
      </c>
      <c r="I1303" t="s">
        <v>21</v>
      </c>
      <c r="J1303" t="s">
        <v>1363</v>
      </c>
    </row>
    <row r="1304" spans="1:10" x14ac:dyDescent="0.25">
      <c r="A1304">
        <v>27821561</v>
      </c>
      <c r="B1304" t="s">
        <v>17</v>
      </c>
      <c r="C1304" s="4">
        <v>44771.381076365738</v>
      </c>
      <c r="D1304" t="s">
        <v>1362</v>
      </c>
      <c r="E1304" t="s">
        <v>387</v>
      </c>
      <c r="F1304" t="s">
        <v>18</v>
      </c>
      <c r="G1304" t="s">
        <v>333</v>
      </c>
      <c r="H1304" t="s">
        <v>54</v>
      </c>
      <c r="I1304" t="s">
        <v>21</v>
      </c>
      <c r="J1304" t="s">
        <v>1363</v>
      </c>
    </row>
    <row r="1305" spans="1:10" x14ac:dyDescent="0.25">
      <c r="A1305">
        <v>27821566</v>
      </c>
      <c r="B1305" t="s">
        <v>17</v>
      </c>
      <c r="C1305" s="4">
        <v>44771.381143657411</v>
      </c>
      <c r="D1305" t="s">
        <v>1362</v>
      </c>
      <c r="E1305" t="s">
        <v>387</v>
      </c>
      <c r="F1305" t="s">
        <v>18</v>
      </c>
      <c r="G1305" t="s">
        <v>333</v>
      </c>
      <c r="H1305" t="s">
        <v>118</v>
      </c>
      <c r="I1305" t="s">
        <v>36</v>
      </c>
      <c r="J1305" t="s">
        <v>1363</v>
      </c>
    </row>
    <row r="1306" spans="1:10" x14ac:dyDescent="0.25">
      <c r="A1306">
        <v>27821570</v>
      </c>
      <c r="B1306" t="s">
        <v>17</v>
      </c>
      <c r="C1306" s="4">
        <v>44771.381191215267</v>
      </c>
      <c r="D1306" t="s">
        <v>1362</v>
      </c>
      <c r="E1306" t="s">
        <v>387</v>
      </c>
      <c r="F1306" t="s">
        <v>18</v>
      </c>
      <c r="G1306" t="s">
        <v>333</v>
      </c>
      <c r="H1306" t="s">
        <v>35</v>
      </c>
      <c r="I1306" t="s">
        <v>36</v>
      </c>
      <c r="J1306" t="s">
        <v>1363</v>
      </c>
    </row>
    <row r="1307" spans="1:10" x14ac:dyDescent="0.25">
      <c r="A1307">
        <v>27821580</v>
      </c>
      <c r="B1307" t="s">
        <v>17</v>
      </c>
      <c r="C1307" s="4">
        <v>44771.381411203707</v>
      </c>
      <c r="D1307" t="s">
        <v>1358</v>
      </c>
      <c r="E1307" t="s">
        <v>387</v>
      </c>
      <c r="F1307" t="s">
        <v>18</v>
      </c>
      <c r="G1307" t="s">
        <v>124</v>
      </c>
      <c r="H1307" t="s">
        <v>118</v>
      </c>
      <c r="I1307" t="s">
        <v>36</v>
      </c>
      <c r="J1307" t="s">
        <v>1359</v>
      </c>
    </row>
    <row r="1308" spans="1:10" x14ac:dyDescent="0.25">
      <c r="A1308">
        <v>27821586</v>
      </c>
      <c r="B1308" t="s">
        <v>17</v>
      </c>
      <c r="C1308" s="4">
        <v>44771.381504756937</v>
      </c>
      <c r="F1308" t="s">
        <v>55</v>
      </c>
      <c r="G1308" t="s">
        <v>412</v>
      </c>
      <c r="H1308" t="s">
        <v>196</v>
      </c>
      <c r="I1308" t="s">
        <v>21</v>
      </c>
    </row>
    <row r="1309" spans="1:10" x14ac:dyDescent="0.25">
      <c r="A1309">
        <v>27821592</v>
      </c>
      <c r="B1309" t="s">
        <v>17</v>
      </c>
      <c r="C1309" s="4">
        <v>44771.381632372693</v>
      </c>
      <c r="D1309" t="s">
        <v>1358</v>
      </c>
      <c r="E1309" t="s">
        <v>387</v>
      </c>
      <c r="F1309" t="s">
        <v>18</v>
      </c>
      <c r="G1309" t="s">
        <v>124</v>
      </c>
      <c r="H1309" t="s">
        <v>35</v>
      </c>
      <c r="I1309" t="s">
        <v>36</v>
      </c>
      <c r="J1309" t="s">
        <v>1359</v>
      </c>
    </row>
    <row r="1310" spans="1:10" x14ac:dyDescent="0.25">
      <c r="A1310">
        <v>27821629</v>
      </c>
      <c r="B1310" t="s">
        <v>17</v>
      </c>
      <c r="C1310" s="4">
        <v>44771.382593912043</v>
      </c>
      <c r="D1310" t="s">
        <v>1358</v>
      </c>
      <c r="E1310" t="s">
        <v>387</v>
      </c>
      <c r="F1310" t="s">
        <v>18</v>
      </c>
      <c r="G1310" t="s">
        <v>124</v>
      </c>
      <c r="H1310" t="s">
        <v>118</v>
      </c>
      <c r="I1310" t="s">
        <v>36</v>
      </c>
      <c r="J1310" t="s">
        <v>1359</v>
      </c>
    </row>
    <row r="1311" spans="1:10" x14ac:dyDescent="0.25">
      <c r="A1311">
        <v>27821649</v>
      </c>
      <c r="B1311" t="s">
        <v>17</v>
      </c>
      <c r="C1311" s="4">
        <v>44771.382946284721</v>
      </c>
      <c r="D1311" t="s">
        <v>1364</v>
      </c>
      <c r="E1311" t="s">
        <v>38</v>
      </c>
      <c r="F1311" t="s">
        <v>52</v>
      </c>
      <c r="G1311" t="s">
        <v>91</v>
      </c>
      <c r="H1311" t="s">
        <v>42</v>
      </c>
      <c r="I1311" t="s">
        <v>21</v>
      </c>
      <c r="J1311" t="s">
        <v>477</v>
      </c>
    </row>
    <row r="1312" spans="1:10" x14ac:dyDescent="0.25">
      <c r="A1312">
        <v>27821652</v>
      </c>
      <c r="B1312" t="s">
        <v>17</v>
      </c>
      <c r="C1312" s="4">
        <v>44771.383013668979</v>
      </c>
      <c r="D1312" t="s">
        <v>1358</v>
      </c>
      <c r="E1312" t="s">
        <v>387</v>
      </c>
      <c r="F1312" t="s">
        <v>18</v>
      </c>
      <c r="G1312" t="s">
        <v>124</v>
      </c>
      <c r="H1312" t="s">
        <v>35</v>
      </c>
      <c r="I1312" t="s">
        <v>36</v>
      </c>
      <c r="J1312" t="s">
        <v>1359</v>
      </c>
    </row>
    <row r="1313" spans="1:10" x14ac:dyDescent="0.25">
      <c r="A1313">
        <v>27821663</v>
      </c>
      <c r="B1313" t="s">
        <v>17</v>
      </c>
      <c r="C1313" s="4">
        <v>44771.383403900472</v>
      </c>
      <c r="D1313" t="s">
        <v>1365</v>
      </c>
      <c r="E1313" t="s">
        <v>27</v>
      </c>
      <c r="F1313" t="s">
        <v>18</v>
      </c>
      <c r="G1313" t="s">
        <v>28</v>
      </c>
      <c r="H1313" t="s">
        <v>29</v>
      </c>
      <c r="I1313" t="s">
        <v>21</v>
      </c>
      <c r="J1313" t="s">
        <v>1366</v>
      </c>
    </row>
    <row r="1314" spans="1:10" x14ac:dyDescent="0.25">
      <c r="A1314">
        <v>27821706</v>
      </c>
      <c r="B1314" t="s">
        <v>17</v>
      </c>
      <c r="C1314" s="4">
        <v>44771.384782858797</v>
      </c>
      <c r="D1314" t="s">
        <v>1351</v>
      </c>
      <c r="E1314" t="s">
        <v>38</v>
      </c>
      <c r="F1314" t="s">
        <v>31</v>
      </c>
      <c r="G1314" t="s">
        <v>199</v>
      </c>
      <c r="H1314" t="s">
        <v>40</v>
      </c>
      <c r="I1314" t="s">
        <v>21</v>
      </c>
      <c r="J1314" t="s">
        <v>1352</v>
      </c>
    </row>
    <row r="1315" spans="1:10" x14ac:dyDescent="0.25">
      <c r="A1315">
        <v>27821715</v>
      </c>
      <c r="B1315" t="s">
        <v>17</v>
      </c>
      <c r="C1315" s="4">
        <v>44771.385229293977</v>
      </c>
      <c r="D1315" t="s">
        <v>1351</v>
      </c>
      <c r="E1315" t="s">
        <v>38</v>
      </c>
      <c r="F1315" t="s">
        <v>31</v>
      </c>
      <c r="G1315" t="s">
        <v>199</v>
      </c>
      <c r="H1315" t="s">
        <v>25</v>
      </c>
      <c r="I1315" t="s">
        <v>21</v>
      </c>
      <c r="J1315" t="s">
        <v>1352</v>
      </c>
    </row>
    <row r="1316" spans="1:10" x14ac:dyDescent="0.25">
      <c r="A1316">
        <v>27821732</v>
      </c>
      <c r="B1316" t="s">
        <v>17</v>
      </c>
      <c r="C1316" s="4">
        <v>44771.385312152779</v>
      </c>
      <c r="D1316" t="s">
        <v>1358</v>
      </c>
      <c r="E1316" t="s">
        <v>387</v>
      </c>
      <c r="F1316" t="s">
        <v>18</v>
      </c>
      <c r="G1316" t="s">
        <v>124</v>
      </c>
      <c r="H1316" t="s">
        <v>40</v>
      </c>
      <c r="I1316" t="s">
        <v>21</v>
      </c>
      <c r="J1316" t="s">
        <v>1359</v>
      </c>
    </row>
    <row r="1317" spans="1:10" x14ac:dyDescent="0.25">
      <c r="A1317">
        <v>27821762</v>
      </c>
      <c r="B1317" t="s">
        <v>17</v>
      </c>
      <c r="C1317" s="4">
        <v>44771.385701018517</v>
      </c>
      <c r="D1317" t="s">
        <v>1358</v>
      </c>
      <c r="E1317" t="s">
        <v>387</v>
      </c>
      <c r="F1317" t="s">
        <v>18</v>
      </c>
      <c r="G1317" t="s">
        <v>124</v>
      </c>
      <c r="H1317" t="s">
        <v>25</v>
      </c>
      <c r="I1317" t="s">
        <v>21</v>
      </c>
      <c r="J1317" t="s">
        <v>1359</v>
      </c>
    </row>
    <row r="1318" spans="1:10" x14ac:dyDescent="0.25">
      <c r="A1318">
        <v>27821792</v>
      </c>
      <c r="B1318" t="s">
        <v>17</v>
      </c>
      <c r="C1318" s="4">
        <v>44771.38643327546</v>
      </c>
      <c r="D1318" t="s">
        <v>1362</v>
      </c>
      <c r="E1318" t="s">
        <v>387</v>
      </c>
      <c r="F1318" t="s">
        <v>18</v>
      </c>
      <c r="G1318" t="s">
        <v>333</v>
      </c>
      <c r="H1318" t="s">
        <v>40</v>
      </c>
      <c r="I1318" t="s">
        <v>21</v>
      </c>
      <c r="J1318" t="s">
        <v>1363</v>
      </c>
    </row>
    <row r="1319" spans="1:10" x14ac:dyDescent="0.25">
      <c r="A1319">
        <v>27821796</v>
      </c>
      <c r="B1319" t="s">
        <v>17</v>
      </c>
      <c r="C1319" s="4">
        <v>44771.386673090281</v>
      </c>
      <c r="D1319" t="s">
        <v>1367</v>
      </c>
      <c r="E1319" t="s">
        <v>62</v>
      </c>
      <c r="F1319" t="s">
        <v>18</v>
      </c>
      <c r="G1319" t="s">
        <v>83</v>
      </c>
      <c r="H1319" t="s">
        <v>29</v>
      </c>
      <c r="I1319" t="s">
        <v>21</v>
      </c>
      <c r="J1319" t="s">
        <v>1368</v>
      </c>
    </row>
    <row r="1320" spans="1:10" x14ac:dyDescent="0.25">
      <c r="A1320">
        <v>27821805</v>
      </c>
      <c r="B1320" t="s">
        <v>17</v>
      </c>
      <c r="C1320" s="4">
        <v>44771.386728240737</v>
      </c>
      <c r="D1320" t="s">
        <v>1362</v>
      </c>
      <c r="E1320" t="s">
        <v>387</v>
      </c>
      <c r="F1320" t="s">
        <v>18</v>
      </c>
      <c r="G1320" t="s">
        <v>333</v>
      </c>
      <c r="H1320" t="s">
        <v>25</v>
      </c>
      <c r="I1320" t="s">
        <v>21</v>
      </c>
      <c r="J1320" t="s">
        <v>1363</v>
      </c>
    </row>
    <row r="1321" spans="1:10" x14ac:dyDescent="0.25">
      <c r="A1321">
        <v>27821823</v>
      </c>
      <c r="B1321" t="s">
        <v>17</v>
      </c>
      <c r="C1321" s="4">
        <v>44771.38693896991</v>
      </c>
      <c r="D1321" t="s">
        <v>1369</v>
      </c>
      <c r="E1321" t="s">
        <v>48</v>
      </c>
      <c r="F1321" t="s">
        <v>49</v>
      </c>
      <c r="G1321" t="s">
        <v>73</v>
      </c>
      <c r="H1321" t="s">
        <v>42</v>
      </c>
      <c r="I1321" t="s">
        <v>21</v>
      </c>
      <c r="J1321" t="s">
        <v>317</v>
      </c>
    </row>
    <row r="1322" spans="1:10" x14ac:dyDescent="0.25">
      <c r="A1322">
        <v>27821851</v>
      </c>
      <c r="B1322" t="s">
        <v>17</v>
      </c>
      <c r="C1322" s="4">
        <v>44771.388038611112</v>
      </c>
      <c r="D1322" t="s">
        <v>1370</v>
      </c>
      <c r="E1322" t="s">
        <v>38</v>
      </c>
      <c r="F1322" t="s">
        <v>23</v>
      </c>
      <c r="G1322" t="s">
        <v>149</v>
      </c>
      <c r="H1322" t="s">
        <v>42</v>
      </c>
      <c r="I1322" t="s">
        <v>21</v>
      </c>
      <c r="J1322" t="s">
        <v>312</v>
      </c>
    </row>
    <row r="1323" spans="1:10" x14ac:dyDescent="0.25">
      <c r="A1323">
        <v>27821858</v>
      </c>
      <c r="B1323" t="s">
        <v>17</v>
      </c>
      <c r="C1323" s="4">
        <v>44771.38814412037</v>
      </c>
      <c r="D1323" t="s">
        <v>1371</v>
      </c>
      <c r="E1323" t="s">
        <v>27</v>
      </c>
      <c r="F1323" t="s">
        <v>18</v>
      </c>
      <c r="G1323" t="s">
        <v>428</v>
      </c>
      <c r="H1323" t="s">
        <v>29</v>
      </c>
      <c r="I1323" t="s">
        <v>21</v>
      </c>
      <c r="J1323" t="s">
        <v>1372</v>
      </c>
    </row>
    <row r="1324" spans="1:10" x14ac:dyDescent="0.25">
      <c r="A1324">
        <v>27821884</v>
      </c>
      <c r="B1324" t="s">
        <v>17</v>
      </c>
      <c r="C1324" s="4">
        <v>44771.388758472232</v>
      </c>
      <c r="D1324" t="s">
        <v>1373</v>
      </c>
      <c r="E1324" t="s">
        <v>117</v>
      </c>
      <c r="F1324" t="s">
        <v>23</v>
      </c>
      <c r="G1324" t="s">
        <v>170</v>
      </c>
      <c r="H1324" t="s">
        <v>40</v>
      </c>
      <c r="I1324" t="s">
        <v>21</v>
      </c>
    </row>
    <row r="1325" spans="1:10" x14ac:dyDescent="0.25">
      <c r="A1325">
        <v>27821896</v>
      </c>
      <c r="B1325" t="s">
        <v>17</v>
      </c>
      <c r="C1325" s="4">
        <v>44771.38919804398</v>
      </c>
      <c r="D1325" t="s">
        <v>1373</v>
      </c>
      <c r="E1325" t="s">
        <v>117</v>
      </c>
      <c r="F1325" t="s">
        <v>23</v>
      </c>
      <c r="G1325" t="s">
        <v>170</v>
      </c>
      <c r="H1325" t="s">
        <v>25</v>
      </c>
      <c r="I1325" t="s">
        <v>21</v>
      </c>
    </row>
    <row r="1326" spans="1:10" x14ac:dyDescent="0.25">
      <c r="A1326">
        <v>27821910</v>
      </c>
      <c r="B1326" t="s">
        <v>17</v>
      </c>
      <c r="C1326" s="4">
        <v>44771.389695428239</v>
      </c>
      <c r="D1326" t="s">
        <v>1370</v>
      </c>
      <c r="E1326" t="s">
        <v>38</v>
      </c>
      <c r="F1326" t="s">
        <v>23</v>
      </c>
      <c r="G1326" t="s">
        <v>149</v>
      </c>
      <c r="H1326" t="s">
        <v>54</v>
      </c>
      <c r="I1326" t="s">
        <v>21</v>
      </c>
      <c r="J1326" t="s">
        <v>312</v>
      </c>
    </row>
    <row r="1327" spans="1:10" x14ac:dyDescent="0.25">
      <c r="A1327">
        <v>27821921</v>
      </c>
      <c r="B1327" t="s">
        <v>17</v>
      </c>
      <c r="C1327" s="4">
        <v>44771.390031423609</v>
      </c>
      <c r="D1327" t="s">
        <v>1364</v>
      </c>
      <c r="E1327" t="s">
        <v>38</v>
      </c>
      <c r="F1327" t="s">
        <v>52</v>
      </c>
      <c r="G1327" t="s">
        <v>91</v>
      </c>
      <c r="H1327" t="s">
        <v>54</v>
      </c>
      <c r="I1327" t="s">
        <v>21</v>
      </c>
      <c r="J1327" t="s">
        <v>477</v>
      </c>
    </row>
    <row r="1328" spans="1:10" x14ac:dyDescent="0.25">
      <c r="A1328">
        <v>27821956</v>
      </c>
      <c r="B1328" t="s">
        <v>17</v>
      </c>
      <c r="C1328" s="4">
        <v>44771.390758425929</v>
      </c>
      <c r="D1328" t="s">
        <v>1374</v>
      </c>
      <c r="E1328" t="s">
        <v>38</v>
      </c>
      <c r="F1328" t="s">
        <v>23</v>
      </c>
      <c r="G1328" t="s">
        <v>355</v>
      </c>
      <c r="H1328" t="s">
        <v>42</v>
      </c>
      <c r="I1328" t="s">
        <v>21</v>
      </c>
      <c r="J1328" t="s">
        <v>348</v>
      </c>
    </row>
    <row r="1329" spans="1:10" x14ac:dyDescent="0.25">
      <c r="A1329">
        <v>27821968</v>
      </c>
      <c r="B1329" t="s">
        <v>17</v>
      </c>
      <c r="C1329" s="4">
        <v>44771.391594733803</v>
      </c>
      <c r="D1329" t="s">
        <v>1374</v>
      </c>
      <c r="E1329" t="s">
        <v>38</v>
      </c>
      <c r="F1329" t="s">
        <v>23</v>
      </c>
      <c r="G1329" t="s">
        <v>355</v>
      </c>
      <c r="H1329" t="s">
        <v>54</v>
      </c>
      <c r="I1329" t="s">
        <v>21</v>
      </c>
      <c r="J1329" t="s">
        <v>348</v>
      </c>
    </row>
    <row r="1330" spans="1:10" x14ac:dyDescent="0.25">
      <c r="A1330">
        <v>27822001</v>
      </c>
      <c r="B1330" t="s">
        <v>17</v>
      </c>
      <c r="C1330" s="4">
        <v>44771.392619108803</v>
      </c>
      <c r="D1330" t="s">
        <v>1364</v>
      </c>
      <c r="E1330" t="s">
        <v>38</v>
      </c>
      <c r="F1330" t="s">
        <v>52</v>
      </c>
      <c r="G1330" t="s">
        <v>91</v>
      </c>
      <c r="H1330" t="s">
        <v>40</v>
      </c>
      <c r="I1330" t="s">
        <v>21</v>
      </c>
      <c r="J1330" t="s">
        <v>477</v>
      </c>
    </row>
    <row r="1331" spans="1:10" x14ac:dyDescent="0.25">
      <c r="A1331">
        <v>27822008</v>
      </c>
      <c r="B1331" t="s">
        <v>17</v>
      </c>
      <c r="C1331" s="4">
        <v>44771.392697777781</v>
      </c>
      <c r="D1331" t="s">
        <v>1375</v>
      </c>
      <c r="E1331" t="s">
        <v>72</v>
      </c>
      <c r="F1331" t="s">
        <v>49</v>
      </c>
      <c r="G1331" t="s">
        <v>128</v>
      </c>
      <c r="H1331" t="s">
        <v>29</v>
      </c>
      <c r="I1331" t="s">
        <v>21</v>
      </c>
      <c r="J1331" t="s">
        <v>1376</v>
      </c>
    </row>
    <row r="1332" spans="1:10" x14ac:dyDescent="0.25">
      <c r="A1332">
        <v>27822036</v>
      </c>
      <c r="B1332" t="s">
        <v>17</v>
      </c>
      <c r="C1332" s="4">
        <v>44771.393291435183</v>
      </c>
      <c r="D1332" t="s">
        <v>1364</v>
      </c>
      <c r="E1332" t="s">
        <v>38</v>
      </c>
      <c r="F1332" t="s">
        <v>52</v>
      </c>
      <c r="G1332" t="s">
        <v>91</v>
      </c>
      <c r="H1332" t="s">
        <v>25</v>
      </c>
      <c r="I1332" t="s">
        <v>21</v>
      </c>
      <c r="J1332" t="s">
        <v>477</v>
      </c>
    </row>
    <row r="1333" spans="1:10" x14ac:dyDescent="0.25">
      <c r="A1333">
        <v>27822049</v>
      </c>
      <c r="B1333" t="s">
        <v>17</v>
      </c>
      <c r="C1333" s="4">
        <v>44771.393605393518</v>
      </c>
      <c r="D1333" t="s">
        <v>1369</v>
      </c>
      <c r="E1333" t="s">
        <v>48</v>
      </c>
      <c r="F1333" t="s">
        <v>49</v>
      </c>
      <c r="G1333" t="s">
        <v>73</v>
      </c>
      <c r="H1333" t="s">
        <v>54</v>
      </c>
      <c r="I1333" t="s">
        <v>21</v>
      </c>
      <c r="J1333" t="s">
        <v>317</v>
      </c>
    </row>
    <row r="1334" spans="1:10" x14ac:dyDescent="0.25">
      <c r="A1334">
        <v>27822062</v>
      </c>
      <c r="B1334" t="s">
        <v>17</v>
      </c>
      <c r="C1334" s="4">
        <v>44771.394063657397</v>
      </c>
      <c r="F1334" t="s">
        <v>49</v>
      </c>
      <c r="G1334" t="s">
        <v>213</v>
      </c>
      <c r="H1334" t="s">
        <v>196</v>
      </c>
      <c r="I1334" t="s">
        <v>21</v>
      </c>
    </row>
    <row r="1335" spans="1:10" x14ac:dyDescent="0.25">
      <c r="A1335">
        <v>27822093</v>
      </c>
      <c r="B1335" t="s">
        <v>17</v>
      </c>
      <c r="C1335" s="4">
        <v>44771.395151585653</v>
      </c>
      <c r="D1335" t="s">
        <v>1377</v>
      </c>
      <c r="E1335" t="s">
        <v>129</v>
      </c>
      <c r="F1335" t="s">
        <v>18</v>
      </c>
      <c r="G1335" t="s">
        <v>226</v>
      </c>
      <c r="H1335" t="s">
        <v>29</v>
      </c>
      <c r="I1335" t="s">
        <v>21</v>
      </c>
      <c r="J1335" t="s">
        <v>1378</v>
      </c>
    </row>
    <row r="1336" spans="1:10" x14ac:dyDescent="0.25">
      <c r="A1336">
        <v>27822116</v>
      </c>
      <c r="B1336" t="s">
        <v>17</v>
      </c>
      <c r="C1336" s="4">
        <v>44771.39560733796</v>
      </c>
      <c r="F1336" t="s">
        <v>18</v>
      </c>
      <c r="G1336" t="s">
        <v>228</v>
      </c>
      <c r="H1336" t="s">
        <v>81</v>
      </c>
      <c r="I1336" t="s">
        <v>21</v>
      </c>
    </row>
    <row r="1337" spans="1:10" x14ac:dyDescent="0.25">
      <c r="A1337">
        <v>27822118</v>
      </c>
      <c r="B1337" t="s">
        <v>17</v>
      </c>
      <c r="C1337" s="4">
        <v>44771.395607523147</v>
      </c>
      <c r="F1337" t="s">
        <v>18</v>
      </c>
      <c r="G1337" t="s">
        <v>228</v>
      </c>
      <c r="H1337" t="s">
        <v>93</v>
      </c>
      <c r="I1337" t="s">
        <v>21</v>
      </c>
    </row>
    <row r="1338" spans="1:10" x14ac:dyDescent="0.25">
      <c r="A1338">
        <v>27822136</v>
      </c>
      <c r="B1338" t="s">
        <v>17</v>
      </c>
      <c r="C1338" s="4">
        <v>44771.395974270832</v>
      </c>
      <c r="D1338" t="s">
        <v>1370</v>
      </c>
      <c r="E1338" t="s">
        <v>38</v>
      </c>
      <c r="F1338" t="s">
        <v>23</v>
      </c>
      <c r="G1338" t="s">
        <v>149</v>
      </c>
      <c r="H1338" t="s">
        <v>40</v>
      </c>
      <c r="I1338" t="s">
        <v>21</v>
      </c>
      <c r="J1338" t="s">
        <v>312</v>
      </c>
    </row>
    <row r="1339" spans="1:10" x14ac:dyDescent="0.25">
      <c r="A1339">
        <v>27822149</v>
      </c>
      <c r="B1339" t="s">
        <v>17</v>
      </c>
      <c r="C1339" s="4">
        <v>44771.396187534723</v>
      </c>
      <c r="D1339" t="s">
        <v>1369</v>
      </c>
      <c r="E1339" t="s">
        <v>48</v>
      </c>
      <c r="F1339" t="s">
        <v>49</v>
      </c>
      <c r="G1339" t="s">
        <v>73</v>
      </c>
      <c r="H1339" t="s">
        <v>40</v>
      </c>
      <c r="I1339" t="s">
        <v>21</v>
      </c>
      <c r="J1339" t="s">
        <v>317</v>
      </c>
    </row>
    <row r="1340" spans="1:10" x14ac:dyDescent="0.25">
      <c r="A1340">
        <v>27822156</v>
      </c>
      <c r="B1340" t="s">
        <v>17</v>
      </c>
      <c r="C1340" s="4">
        <v>44771.396473611108</v>
      </c>
      <c r="D1340" t="s">
        <v>1370</v>
      </c>
      <c r="E1340" t="s">
        <v>38</v>
      </c>
      <c r="F1340" t="s">
        <v>23</v>
      </c>
      <c r="G1340" t="s">
        <v>149</v>
      </c>
      <c r="H1340" t="s">
        <v>25</v>
      </c>
      <c r="I1340" t="s">
        <v>21</v>
      </c>
      <c r="J1340" t="s">
        <v>312</v>
      </c>
    </row>
    <row r="1341" spans="1:10" x14ac:dyDescent="0.25">
      <c r="A1341">
        <v>27822173</v>
      </c>
      <c r="B1341" t="s">
        <v>17</v>
      </c>
      <c r="C1341" s="4">
        <v>44771.396661805557</v>
      </c>
      <c r="D1341" t="s">
        <v>1369</v>
      </c>
      <c r="E1341" t="s">
        <v>48</v>
      </c>
      <c r="F1341" t="s">
        <v>49</v>
      </c>
      <c r="G1341" t="s">
        <v>73</v>
      </c>
      <c r="H1341" t="s">
        <v>25</v>
      </c>
      <c r="I1341" t="s">
        <v>21</v>
      </c>
      <c r="J1341" t="s">
        <v>317</v>
      </c>
    </row>
    <row r="1342" spans="1:10" x14ac:dyDescent="0.25">
      <c r="A1342">
        <v>27822197</v>
      </c>
      <c r="B1342" t="s">
        <v>17</v>
      </c>
      <c r="C1342" s="4">
        <v>44771.396995798612</v>
      </c>
      <c r="D1342" t="s">
        <v>1374</v>
      </c>
      <c r="E1342" t="s">
        <v>38</v>
      </c>
      <c r="F1342" t="s">
        <v>23</v>
      </c>
      <c r="G1342" t="s">
        <v>355</v>
      </c>
      <c r="H1342" t="s">
        <v>40</v>
      </c>
      <c r="I1342" t="s">
        <v>21</v>
      </c>
      <c r="J1342" t="s">
        <v>348</v>
      </c>
    </row>
    <row r="1343" spans="1:10" x14ac:dyDescent="0.25">
      <c r="A1343">
        <v>27822198</v>
      </c>
      <c r="B1343" t="s">
        <v>17</v>
      </c>
      <c r="C1343" s="4">
        <v>44771.396997997683</v>
      </c>
      <c r="D1343" t="s">
        <v>1379</v>
      </c>
      <c r="E1343" t="s">
        <v>387</v>
      </c>
      <c r="F1343" t="s">
        <v>18</v>
      </c>
      <c r="G1343" t="s">
        <v>395</v>
      </c>
      <c r="H1343" t="s">
        <v>29</v>
      </c>
      <c r="I1343" t="s">
        <v>21</v>
      </c>
      <c r="J1343" t="s">
        <v>705</v>
      </c>
    </row>
    <row r="1344" spans="1:10" x14ac:dyDescent="0.25">
      <c r="A1344">
        <v>27822220</v>
      </c>
      <c r="B1344" t="s">
        <v>17</v>
      </c>
      <c r="C1344" s="4">
        <v>44771.397657997688</v>
      </c>
      <c r="D1344" t="s">
        <v>1374</v>
      </c>
      <c r="E1344" t="s">
        <v>38</v>
      </c>
      <c r="F1344" t="s">
        <v>23</v>
      </c>
      <c r="G1344" t="s">
        <v>355</v>
      </c>
      <c r="H1344" t="s">
        <v>25</v>
      </c>
      <c r="I1344" t="s">
        <v>21</v>
      </c>
      <c r="J1344" t="s">
        <v>348</v>
      </c>
    </row>
    <row r="1345" spans="1:10" x14ac:dyDescent="0.25">
      <c r="A1345">
        <v>27822233</v>
      </c>
      <c r="B1345" t="s">
        <v>17</v>
      </c>
      <c r="C1345" s="4">
        <v>44771.397720578701</v>
      </c>
      <c r="D1345" t="s">
        <v>696</v>
      </c>
      <c r="E1345" t="s">
        <v>30</v>
      </c>
      <c r="F1345" t="s">
        <v>31</v>
      </c>
      <c r="G1345" t="s">
        <v>32</v>
      </c>
      <c r="H1345" t="s">
        <v>29</v>
      </c>
      <c r="I1345" t="s">
        <v>21</v>
      </c>
      <c r="J1345" t="s">
        <v>318</v>
      </c>
    </row>
    <row r="1346" spans="1:10" x14ac:dyDescent="0.25">
      <c r="A1346">
        <v>27822244</v>
      </c>
      <c r="B1346" t="s">
        <v>17</v>
      </c>
      <c r="C1346" s="4">
        <v>44771.397867881948</v>
      </c>
      <c r="D1346" t="s">
        <v>1380</v>
      </c>
      <c r="E1346" t="s">
        <v>975</v>
      </c>
      <c r="F1346" t="s">
        <v>49</v>
      </c>
      <c r="G1346" t="s">
        <v>250</v>
      </c>
      <c r="H1346" t="s">
        <v>29</v>
      </c>
      <c r="I1346" t="s">
        <v>21</v>
      </c>
      <c r="J1346" t="s">
        <v>1381</v>
      </c>
    </row>
    <row r="1347" spans="1:10" x14ac:dyDescent="0.25">
      <c r="A1347">
        <v>27822262</v>
      </c>
      <c r="B1347" t="s">
        <v>17</v>
      </c>
      <c r="C1347" s="4">
        <v>44771.398345370369</v>
      </c>
      <c r="F1347" t="s">
        <v>31</v>
      </c>
      <c r="G1347" t="s">
        <v>86</v>
      </c>
      <c r="H1347" t="s">
        <v>20</v>
      </c>
      <c r="I1347" t="s">
        <v>21</v>
      </c>
    </row>
    <row r="1348" spans="1:10" x14ac:dyDescent="0.25">
      <c r="A1348">
        <v>27822269</v>
      </c>
      <c r="B1348" t="s">
        <v>17</v>
      </c>
      <c r="C1348" s="4">
        <v>44771.398411736111</v>
      </c>
      <c r="F1348" t="s">
        <v>57</v>
      </c>
      <c r="G1348" t="s">
        <v>63</v>
      </c>
      <c r="H1348" t="s">
        <v>67</v>
      </c>
      <c r="I1348" t="s">
        <v>21</v>
      </c>
    </row>
    <row r="1349" spans="1:10" x14ac:dyDescent="0.25">
      <c r="A1349">
        <v>27822273</v>
      </c>
      <c r="B1349" t="s">
        <v>17</v>
      </c>
      <c r="C1349" s="4">
        <v>44771.398572962957</v>
      </c>
      <c r="D1349" t="s">
        <v>1382</v>
      </c>
      <c r="E1349" t="s">
        <v>38</v>
      </c>
      <c r="F1349" t="s">
        <v>57</v>
      </c>
      <c r="G1349" t="s">
        <v>431</v>
      </c>
      <c r="H1349" t="s">
        <v>29</v>
      </c>
      <c r="I1349" t="s">
        <v>21</v>
      </c>
    </row>
    <row r="1350" spans="1:10" x14ac:dyDescent="0.25">
      <c r="A1350">
        <v>27822277</v>
      </c>
      <c r="B1350" t="s">
        <v>17</v>
      </c>
      <c r="C1350" s="4">
        <v>44771.39870017361</v>
      </c>
      <c r="F1350" t="s">
        <v>57</v>
      </c>
      <c r="G1350" t="s">
        <v>63</v>
      </c>
      <c r="H1350" t="s">
        <v>68</v>
      </c>
      <c r="I1350" t="s">
        <v>21</v>
      </c>
    </row>
    <row r="1351" spans="1:10" x14ac:dyDescent="0.25">
      <c r="A1351">
        <v>27822299</v>
      </c>
      <c r="B1351" t="s">
        <v>17</v>
      </c>
      <c r="C1351" s="4">
        <v>44771.399138449073</v>
      </c>
      <c r="F1351" t="s">
        <v>18</v>
      </c>
      <c r="G1351" t="s">
        <v>228</v>
      </c>
      <c r="H1351" t="s">
        <v>81</v>
      </c>
      <c r="I1351" t="s">
        <v>21</v>
      </c>
    </row>
    <row r="1352" spans="1:10" x14ac:dyDescent="0.25">
      <c r="A1352">
        <v>27822301</v>
      </c>
      <c r="B1352" t="s">
        <v>17</v>
      </c>
      <c r="C1352" s="4">
        <v>44771.399138842593</v>
      </c>
      <c r="F1352" t="s">
        <v>18</v>
      </c>
      <c r="G1352" t="s">
        <v>228</v>
      </c>
      <c r="H1352" t="s">
        <v>93</v>
      </c>
      <c r="I1352" t="s">
        <v>21</v>
      </c>
    </row>
    <row r="1353" spans="1:10" x14ac:dyDescent="0.25">
      <c r="A1353">
        <v>27822359</v>
      </c>
      <c r="B1353" t="s">
        <v>17</v>
      </c>
      <c r="C1353" s="4">
        <v>44771.401082037039</v>
      </c>
      <c r="D1353" t="s">
        <v>1383</v>
      </c>
      <c r="E1353" t="s">
        <v>27</v>
      </c>
      <c r="F1353" t="s">
        <v>18</v>
      </c>
      <c r="G1353" t="s">
        <v>273</v>
      </c>
      <c r="H1353" t="s">
        <v>29</v>
      </c>
      <c r="I1353" t="s">
        <v>21</v>
      </c>
      <c r="J1353" t="s">
        <v>294</v>
      </c>
    </row>
    <row r="1354" spans="1:10" x14ac:dyDescent="0.25">
      <c r="A1354">
        <v>27822376</v>
      </c>
      <c r="B1354" t="s">
        <v>17</v>
      </c>
      <c r="C1354" s="4">
        <v>44771.401427384262</v>
      </c>
      <c r="D1354" t="s">
        <v>1384</v>
      </c>
      <c r="E1354" t="s">
        <v>387</v>
      </c>
      <c r="F1354" t="s">
        <v>18</v>
      </c>
      <c r="G1354" t="s">
        <v>262</v>
      </c>
      <c r="H1354" t="s">
        <v>29</v>
      </c>
      <c r="I1354" t="s">
        <v>21</v>
      </c>
      <c r="J1354" t="s">
        <v>388</v>
      </c>
    </row>
    <row r="1355" spans="1:10" x14ac:dyDescent="0.25">
      <c r="A1355">
        <v>27822402</v>
      </c>
      <c r="B1355" t="s">
        <v>17</v>
      </c>
      <c r="C1355" s="4">
        <v>44771.402111863426</v>
      </c>
      <c r="D1355" t="s">
        <v>1385</v>
      </c>
      <c r="E1355" t="s">
        <v>27</v>
      </c>
      <c r="F1355" t="s">
        <v>18</v>
      </c>
      <c r="G1355" t="s">
        <v>265</v>
      </c>
      <c r="H1355" t="s">
        <v>42</v>
      </c>
      <c r="I1355" t="s">
        <v>21</v>
      </c>
      <c r="J1355" t="s">
        <v>298</v>
      </c>
    </row>
    <row r="1356" spans="1:10" x14ac:dyDescent="0.25">
      <c r="A1356">
        <v>27822465</v>
      </c>
      <c r="B1356" t="s">
        <v>17</v>
      </c>
      <c r="C1356" s="4">
        <v>44771.403594930547</v>
      </c>
      <c r="D1356" t="s">
        <v>1385</v>
      </c>
      <c r="E1356" t="s">
        <v>27</v>
      </c>
      <c r="F1356" t="s">
        <v>18</v>
      </c>
      <c r="G1356" t="s">
        <v>265</v>
      </c>
      <c r="H1356" t="s">
        <v>54</v>
      </c>
      <c r="I1356" t="s">
        <v>21</v>
      </c>
      <c r="J1356" t="s">
        <v>298</v>
      </c>
    </row>
    <row r="1357" spans="1:10" x14ac:dyDescent="0.25">
      <c r="A1357">
        <v>27822473</v>
      </c>
      <c r="B1357" t="s">
        <v>17</v>
      </c>
      <c r="C1357" s="4">
        <v>44771.403815972233</v>
      </c>
      <c r="D1357" t="s">
        <v>1385</v>
      </c>
      <c r="E1357" t="s">
        <v>27</v>
      </c>
      <c r="F1357" t="s">
        <v>18</v>
      </c>
      <c r="G1357" t="s">
        <v>265</v>
      </c>
      <c r="H1357" t="s">
        <v>118</v>
      </c>
      <c r="I1357" t="s">
        <v>36</v>
      </c>
      <c r="J1357" t="s">
        <v>298</v>
      </c>
    </row>
    <row r="1358" spans="1:10" x14ac:dyDescent="0.25">
      <c r="A1358">
        <v>27822478</v>
      </c>
      <c r="B1358" t="s">
        <v>17</v>
      </c>
      <c r="C1358" s="4">
        <v>44771.403856446763</v>
      </c>
      <c r="D1358" t="s">
        <v>1385</v>
      </c>
      <c r="E1358" t="s">
        <v>27</v>
      </c>
      <c r="F1358" t="s">
        <v>18</v>
      </c>
      <c r="G1358" t="s">
        <v>265</v>
      </c>
      <c r="H1358" t="s">
        <v>35</v>
      </c>
      <c r="I1358" t="s">
        <v>36</v>
      </c>
      <c r="J1358" t="s">
        <v>298</v>
      </c>
    </row>
    <row r="1359" spans="1:10" x14ac:dyDescent="0.25">
      <c r="A1359">
        <v>27822481</v>
      </c>
      <c r="B1359" t="s">
        <v>17</v>
      </c>
      <c r="C1359" s="4">
        <v>44771.403883078703</v>
      </c>
      <c r="D1359" t="s">
        <v>1385</v>
      </c>
      <c r="E1359" t="s">
        <v>27</v>
      </c>
      <c r="F1359" t="s">
        <v>18</v>
      </c>
      <c r="G1359" t="s">
        <v>265</v>
      </c>
      <c r="H1359" t="s">
        <v>118</v>
      </c>
      <c r="I1359" t="s">
        <v>36</v>
      </c>
      <c r="J1359" t="s">
        <v>298</v>
      </c>
    </row>
    <row r="1360" spans="1:10" x14ac:dyDescent="0.25">
      <c r="A1360">
        <v>27822486</v>
      </c>
      <c r="B1360" t="s">
        <v>17</v>
      </c>
      <c r="C1360" s="4">
        <v>44771.403923587961</v>
      </c>
      <c r="D1360" t="s">
        <v>1385</v>
      </c>
      <c r="E1360" t="s">
        <v>27</v>
      </c>
      <c r="F1360" t="s">
        <v>18</v>
      </c>
      <c r="G1360" t="s">
        <v>265</v>
      </c>
      <c r="H1360" t="s">
        <v>35</v>
      </c>
      <c r="I1360" t="s">
        <v>36</v>
      </c>
      <c r="J1360" t="s">
        <v>298</v>
      </c>
    </row>
    <row r="1361" spans="1:10" x14ac:dyDescent="0.25">
      <c r="A1361">
        <v>27822508</v>
      </c>
      <c r="B1361" t="s">
        <v>17</v>
      </c>
      <c r="C1361" s="4">
        <v>44771.404473935188</v>
      </c>
      <c r="D1361" t="s">
        <v>1386</v>
      </c>
      <c r="E1361" t="s">
        <v>268</v>
      </c>
      <c r="F1361" t="s">
        <v>49</v>
      </c>
      <c r="G1361" t="s">
        <v>74</v>
      </c>
      <c r="H1361" t="s">
        <v>42</v>
      </c>
      <c r="I1361" t="s">
        <v>21</v>
      </c>
      <c r="J1361" t="s">
        <v>308</v>
      </c>
    </row>
    <row r="1362" spans="1:10" x14ac:dyDescent="0.25">
      <c r="A1362">
        <v>27822545</v>
      </c>
      <c r="B1362" t="s">
        <v>17</v>
      </c>
      <c r="C1362" s="4">
        <v>44771.405296516197</v>
      </c>
      <c r="D1362" t="s">
        <v>1387</v>
      </c>
      <c r="E1362" t="s">
        <v>38</v>
      </c>
      <c r="F1362" t="s">
        <v>31</v>
      </c>
      <c r="G1362" t="s">
        <v>86</v>
      </c>
      <c r="H1362" t="s">
        <v>40</v>
      </c>
      <c r="I1362" t="s">
        <v>21</v>
      </c>
      <c r="J1362" t="s">
        <v>613</v>
      </c>
    </row>
    <row r="1363" spans="1:10" x14ac:dyDescent="0.25">
      <c r="A1363">
        <v>27822556</v>
      </c>
      <c r="B1363" t="s">
        <v>17</v>
      </c>
      <c r="C1363" s="4">
        <v>44771.405798125001</v>
      </c>
      <c r="D1363" t="s">
        <v>1387</v>
      </c>
      <c r="E1363" t="s">
        <v>38</v>
      </c>
      <c r="F1363" t="s">
        <v>31</v>
      </c>
      <c r="G1363" t="s">
        <v>86</v>
      </c>
      <c r="H1363" t="s">
        <v>25</v>
      </c>
      <c r="I1363" t="s">
        <v>21</v>
      </c>
      <c r="J1363" t="s">
        <v>613</v>
      </c>
    </row>
    <row r="1364" spans="1:10" x14ac:dyDescent="0.25">
      <c r="A1364">
        <v>27822566</v>
      </c>
      <c r="B1364" t="s">
        <v>17</v>
      </c>
      <c r="C1364" s="4">
        <v>44771.405983877317</v>
      </c>
      <c r="D1364" t="s">
        <v>1388</v>
      </c>
      <c r="E1364" t="s">
        <v>191</v>
      </c>
      <c r="F1364" t="s">
        <v>49</v>
      </c>
      <c r="G1364" t="s">
        <v>192</v>
      </c>
      <c r="H1364" t="s">
        <v>29</v>
      </c>
      <c r="I1364" t="s">
        <v>21</v>
      </c>
      <c r="J1364" t="s">
        <v>1389</v>
      </c>
    </row>
    <row r="1365" spans="1:10" x14ac:dyDescent="0.25">
      <c r="A1365">
        <v>27822581</v>
      </c>
      <c r="B1365" t="s">
        <v>17</v>
      </c>
      <c r="C1365" s="4">
        <v>44771.406185451393</v>
      </c>
      <c r="D1365" t="s">
        <v>1390</v>
      </c>
      <c r="E1365" t="s">
        <v>38</v>
      </c>
      <c r="F1365" t="s">
        <v>31</v>
      </c>
      <c r="G1365" t="s">
        <v>141</v>
      </c>
      <c r="H1365" t="s">
        <v>29</v>
      </c>
      <c r="I1365" t="s">
        <v>21</v>
      </c>
      <c r="J1365" t="s">
        <v>163</v>
      </c>
    </row>
    <row r="1366" spans="1:10" x14ac:dyDescent="0.25">
      <c r="A1366">
        <v>27822629</v>
      </c>
      <c r="B1366" t="s">
        <v>17</v>
      </c>
      <c r="C1366" s="4">
        <v>44771.407451770843</v>
      </c>
      <c r="D1366" t="s">
        <v>1391</v>
      </c>
      <c r="E1366" t="s">
        <v>27</v>
      </c>
      <c r="F1366" t="s">
        <v>57</v>
      </c>
      <c r="G1366" t="s">
        <v>416</v>
      </c>
      <c r="H1366" t="s">
        <v>29</v>
      </c>
      <c r="I1366" t="s">
        <v>21</v>
      </c>
      <c r="J1366" t="s">
        <v>470</v>
      </c>
    </row>
    <row r="1367" spans="1:10" x14ac:dyDescent="0.25">
      <c r="A1367">
        <v>27822670</v>
      </c>
      <c r="B1367" t="s">
        <v>17</v>
      </c>
      <c r="C1367" s="4">
        <v>44771.408361562499</v>
      </c>
      <c r="D1367" t="s">
        <v>1385</v>
      </c>
      <c r="E1367" t="s">
        <v>27</v>
      </c>
      <c r="F1367" t="s">
        <v>18</v>
      </c>
      <c r="G1367" t="s">
        <v>265</v>
      </c>
      <c r="H1367" t="s">
        <v>40</v>
      </c>
      <c r="I1367" t="s">
        <v>21</v>
      </c>
      <c r="J1367" t="s">
        <v>298</v>
      </c>
    </row>
    <row r="1368" spans="1:10" x14ac:dyDescent="0.25">
      <c r="A1368">
        <v>27822679</v>
      </c>
      <c r="B1368" t="s">
        <v>17</v>
      </c>
      <c r="C1368" s="4">
        <v>44771.40852488426</v>
      </c>
      <c r="D1368" t="s">
        <v>1392</v>
      </c>
      <c r="E1368" t="s">
        <v>38</v>
      </c>
      <c r="F1368" t="s">
        <v>52</v>
      </c>
      <c r="G1368" t="s">
        <v>234</v>
      </c>
      <c r="H1368" t="s">
        <v>42</v>
      </c>
      <c r="I1368" t="s">
        <v>21</v>
      </c>
      <c r="J1368" t="s">
        <v>143</v>
      </c>
    </row>
    <row r="1369" spans="1:10" x14ac:dyDescent="0.25">
      <c r="A1369">
        <v>27822687</v>
      </c>
      <c r="B1369" t="s">
        <v>17</v>
      </c>
      <c r="C1369" s="4">
        <v>44771.40896847222</v>
      </c>
      <c r="D1369" t="s">
        <v>1385</v>
      </c>
      <c r="E1369" t="s">
        <v>27</v>
      </c>
      <c r="F1369" t="s">
        <v>18</v>
      </c>
      <c r="G1369" t="s">
        <v>265</v>
      </c>
      <c r="H1369" t="s">
        <v>25</v>
      </c>
      <c r="I1369" t="s">
        <v>21</v>
      </c>
      <c r="J1369" t="s">
        <v>298</v>
      </c>
    </row>
    <row r="1370" spans="1:10" x14ac:dyDescent="0.25">
      <c r="A1370">
        <v>27822721</v>
      </c>
      <c r="B1370" t="s">
        <v>17</v>
      </c>
      <c r="C1370" s="4">
        <v>44771.409789050929</v>
      </c>
      <c r="D1370" t="s">
        <v>1392</v>
      </c>
      <c r="E1370" t="s">
        <v>38</v>
      </c>
      <c r="F1370" t="s">
        <v>52</v>
      </c>
      <c r="G1370" t="s">
        <v>234</v>
      </c>
      <c r="H1370" t="s">
        <v>54</v>
      </c>
      <c r="I1370" t="s">
        <v>21</v>
      </c>
      <c r="J1370" t="s">
        <v>143</v>
      </c>
    </row>
    <row r="1371" spans="1:10" x14ac:dyDescent="0.25">
      <c r="A1371">
        <v>27822746</v>
      </c>
      <c r="B1371" t="s">
        <v>17</v>
      </c>
      <c r="C1371" s="4">
        <v>44771.410550127322</v>
      </c>
      <c r="D1371" t="s">
        <v>1393</v>
      </c>
      <c r="E1371" t="s">
        <v>22</v>
      </c>
      <c r="F1371" t="s">
        <v>52</v>
      </c>
      <c r="G1371" t="s">
        <v>409</v>
      </c>
      <c r="H1371" t="s">
        <v>42</v>
      </c>
      <c r="I1371" t="s">
        <v>21</v>
      </c>
      <c r="J1371" t="s">
        <v>324</v>
      </c>
    </row>
    <row r="1372" spans="1:10" x14ac:dyDescent="0.25">
      <c r="A1372">
        <v>27822748</v>
      </c>
      <c r="B1372" t="s">
        <v>17</v>
      </c>
      <c r="C1372" s="4">
        <v>44771.410571493063</v>
      </c>
      <c r="D1372" t="s">
        <v>1394</v>
      </c>
      <c r="E1372" t="s">
        <v>387</v>
      </c>
      <c r="F1372" t="s">
        <v>18</v>
      </c>
      <c r="G1372" t="s">
        <v>207</v>
      </c>
      <c r="H1372" t="s">
        <v>29</v>
      </c>
      <c r="I1372" t="s">
        <v>21</v>
      </c>
      <c r="J1372" t="s">
        <v>1395</v>
      </c>
    </row>
    <row r="1373" spans="1:10" x14ac:dyDescent="0.25">
      <c r="A1373">
        <v>27822760</v>
      </c>
      <c r="B1373" t="s">
        <v>17</v>
      </c>
      <c r="C1373" s="4">
        <v>44771.410762905092</v>
      </c>
      <c r="D1373" t="s">
        <v>1386</v>
      </c>
      <c r="E1373" t="s">
        <v>268</v>
      </c>
      <c r="F1373" t="s">
        <v>49</v>
      </c>
      <c r="G1373" t="s">
        <v>74</v>
      </c>
      <c r="H1373" t="s">
        <v>239</v>
      </c>
      <c r="I1373" t="s">
        <v>21</v>
      </c>
      <c r="J1373" t="s">
        <v>308</v>
      </c>
    </row>
    <row r="1374" spans="1:10" x14ac:dyDescent="0.25">
      <c r="A1374">
        <v>27822762</v>
      </c>
      <c r="B1374" t="s">
        <v>17</v>
      </c>
      <c r="C1374" s="4">
        <v>44771.410769641203</v>
      </c>
      <c r="D1374" t="s">
        <v>1386</v>
      </c>
      <c r="E1374" t="s">
        <v>268</v>
      </c>
      <c r="F1374" t="s">
        <v>49</v>
      </c>
      <c r="G1374" t="s">
        <v>74</v>
      </c>
      <c r="H1374" t="s">
        <v>240</v>
      </c>
      <c r="I1374" t="s">
        <v>21</v>
      </c>
      <c r="J1374" t="s">
        <v>308</v>
      </c>
    </row>
    <row r="1375" spans="1:10" x14ac:dyDescent="0.25">
      <c r="A1375">
        <v>27822796</v>
      </c>
      <c r="B1375" t="s">
        <v>17</v>
      </c>
      <c r="C1375" s="4">
        <v>44771.412170300922</v>
      </c>
      <c r="D1375" t="s">
        <v>1396</v>
      </c>
      <c r="E1375" t="s">
        <v>62</v>
      </c>
      <c r="F1375" t="s">
        <v>57</v>
      </c>
      <c r="G1375" t="s">
        <v>76</v>
      </c>
      <c r="H1375" t="s">
        <v>42</v>
      </c>
      <c r="I1375" t="s">
        <v>21</v>
      </c>
      <c r="J1375" t="s">
        <v>1397</v>
      </c>
    </row>
    <row r="1376" spans="1:10" x14ac:dyDescent="0.25">
      <c r="A1376">
        <v>27822812</v>
      </c>
      <c r="B1376" t="s">
        <v>17</v>
      </c>
      <c r="C1376" s="4">
        <v>44771.412935555563</v>
      </c>
      <c r="D1376" t="s">
        <v>1393</v>
      </c>
      <c r="E1376" t="s">
        <v>22</v>
      </c>
      <c r="F1376" t="s">
        <v>52</v>
      </c>
      <c r="G1376" t="s">
        <v>409</v>
      </c>
      <c r="H1376" t="s">
        <v>54</v>
      </c>
      <c r="I1376" t="s">
        <v>21</v>
      </c>
      <c r="J1376" t="s">
        <v>324</v>
      </c>
    </row>
    <row r="1377" spans="1:10" x14ac:dyDescent="0.25">
      <c r="A1377">
        <v>27822824</v>
      </c>
      <c r="B1377" t="s">
        <v>17</v>
      </c>
      <c r="C1377" s="4">
        <v>44771.413194490742</v>
      </c>
      <c r="D1377" t="s">
        <v>1386</v>
      </c>
      <c r="E1377" t="s">
        <v>268</v>
      </c>
      <c r="F1377" t="s">
        <v>49</v>
      </c>
      <c r="G1377" t="s">
        <v>74</v>
      </c>
      <c r="H1377" t="s">
        <v>40</v>
      </c>
      <c r="I1377" t="s">
        <v>21</v>
      </c>
      <c r="J1377" t="s">
        <v>308</v>
      </c>
    </row>
    <row r="1378" spans="1:10" x14ac:dyDescent="0.25">
      <c r="A1378">
        <v>27822858</v>
      </c>
      <c r="B1378" t="s">
        <v>17</v>
      </c>
      <c r="C1378" s="4">
        <v>44771.414294861112</v>
      </c>
      <c r="D1378" t="s">
        <v>1386</v>
      </c>
      <c r="E1378" t="s">
        <v>268</v>
      </c>
      <c r="F1378" t="s">
        <v>49</v>
      </c>
      <c r="G1378" t="s">
        <v>74</v>
      </c>
      <c r="H1378" t="s">
        <v>25</v>
      </c>
      <c r="I1378" t="s">
        <v>21</v>
      </c>
      <c r="J1378" t="s">
        <v>308</v>
      </c>
    </row>
    <row r="1379" spans="1:10" x14ac:dyDescent="0.25">
      <c r="A1379">
        <v>27822876</v>
      </c>
      <c r="B1379" t="s">
        <v>17</v>
      </c>
      <c r="C1379" s="4">
        <v>44771.414643935183</v>
      </c>
      <c r="D1379" t="s">
        <v>1392</v>
      </c>
      <c r="E1379" t="s">
        <v>38</v>
      </c>
      <c r="F1379" t="s">
        <v>52</v>
      </c>
      <c r="G1379" t="s">
        <v>234</v>
      </c>
      <c r="H1379" t="s">
        <v>40</v>
      </c>
      <c r="I1379" t="s">
        <v>21</v>
      </c>
      <c r="J1379" t="s">
        <v>143</v>
      </c>
    </row>
    <row r="1380" spans="1:10" x14ac:dyDescent="0.25">
      <c r="A1380">
        <v>27822881</v>
      </c>
      <c r="B1380" t="s">
        <v>17</v>
      </c>
      <c r="C1380" s="4">
        <v>44771.414967314813</v>
      </c>
      <c r="D1380" t="s">
        <v>1124</v>
      </c>
      <c r="E1380" t="s">
        <v>417</v>
      </c>
      <c r="F1380" t="s">
        <v>18</v>
      </c>
      <c r="G1380" t="s">
        <v>418</v>
      </c>
      <c r="H1380" t="s">
        <v>29</v>
      </c>
      <c r="I1380" t="s">
        <v>21</v>
      </c>
      <c r="J1380" t="s">
        <v>1398</v>
      </c>
    </row>
    <row r="1381" spans="1:10" x14ac:dyDescent="0.25">
      <c r="A1381">
        <v>27822890</v>
      </c>
      <c r="B1381" t="s">
        <v>17</v>
      </c>
      <c r="C1381" s="4">
        <v>44771.415071423609</v>
      </c>
      <c r="D1381" t="s">
        <v>1392</v>
      </c>
      <c r="E1381" t="s">
        <v>38</v>
      </c>
      <c r="F1381" t="s">
        <v>52</v>
      </c>
      <c r="G1381" t="s">
        <v>234</v>
      </c>
      <c r="H1381" t="s">
        <v>25</v>
      </c>
      <c r="I1381" t="s">
        <v>21</v>
      </c>
      <c r="J1381" t="s">
        <v>143</v>
      </c>
    </row>
    <row r="1382" spans="1:10" x14ac:dyDescent="0.25">
      <c r="A1382">
        <v>27822922</v>
      </c>
      <c r="B1382" t="s">
        <v>17</v>
      </c>
      <c r="C1382" s="4">
        <v>44771.415762013887</v>
      </c>
      <c r="D1382" t="s">
        <v>1399</v>
      </c>
      <c r="E1382" t="s">
        <v>62</v>
      </c>
      <c r="F1382" t="s">
        <v>18</v>
      </c>
      <c r="G1382" t="s">
        <v>61</v>
      </c>
      <c r="H1382" t="s">
        <v>29</v>
      </c>
      <c r="I1382" t="s">
        <v>21</v>
      </c>
      <c r="J1382" t="s">
        <v>1400</v>
      </c>
    </row>
    <row r="1383" spans="1:10" x14ac:dyDescent="0.25">
      <c r="A1383">
        <v>27822942</v>
      </c>
      <c r="B1383" t="s">
        <v>17</v>
      </c>
      <c r="C1383" s="4">
        <v>44771.416395300927</v>
      </c>
      <c r="D1383" t="s">
        <v>1401</v>
      </c>
      <c r="E1383" t="s">
        <v>1330</v>
      </c>
      <c r="F1383" t="s">
        <v>49</v>
      </c>
      <c r="G1383" t="s">
        <v>106</v>
      </c>
      <c r="H1383" t="s">
        <v>29</v>
      </c>
      <c r="I1383" t="s">
        <v>21</v>
      </c>
      <c r="J1383" t="s">
        <v>1402</v>
      </c>
    </row>
    <row r="1384" spans="1:10" x14ac:dyDescent="0.25">
      <c r="A1384">
        <v>27822983</v>
      </c>
      <c r="B1384" t="s">
        <v>17</v>
      </c>
      <c r="C1384" s="4">
        <v>44771.417023576389</v>
      </c>
      <c r="D1384" t="s">
        <v>1396</v>
      </c>
      <c r="E1384" t="s">
        <v>62</v>
      </c>
      <c r="F1384" t="s">
        <v>57</v>
      </c>
      <c r="G1384" t="s">
        <v>76</v>
      </c>
      <c r="H1384" t="s">
        <v>54</v>
      </c>
      <c r="I1384" t="s">
        <v>21</v>
      </c>
      <c r="J1384" t="s">
        <v>1397</v>
      </c>
    </row>
    <row r="1385" spans="1:10" x14ac:dyDescent="0.25">
      <c r="A1385">
        <v>27822994</v>
      </c>
      <c r="B1385" t="s">
        <v>17</v>
      </c>
      <c r="C1385" s="4">
        <v>44771.417635127313</v>
      </c>
      <c r="D1385" t="s">
        <v>1403</v>
      </c>
      <c r="E1385" t="s">
        <v>62</v>
      </c>
      <c r="F1385" t="s">
        <v>57</v>
      </c>
      <c r="G1385" t="s">
        <v>291</v>
      </c>
      <c r="H1385" t="s">
        <v>29</v>
      </c>
      <c r="I1385" t="s">
        <v>21</v>
      </c>
      <c r="J1385" t="s">
        <v>1404</v>
      </c>
    </row>
    <row r="1386" spans="1:10" x14ac:dyDescent="0.25">
      <c r="A1386">
        <v>27823011</v>
      </c>
      <c r="B1386" t="s">
        <v>17</v>
      </c>
      <c r="C1386" s="4">
        <v>44771.417775104157</v>
      </c>
      <c r="D1386" t="s">
        <v>1393</v>
      </c>
      <c r="E1386" t="s">
        <v>22</v>
      </c>
      <c r="F1386" t="s">
        <v>52</v>
      </c>
      <c r="G1386" t="s">
        <v>409</v>
      </c>
      <c r="H1386" t="s">
        <v>40</v>
      </c>
      <c r="I1386" t="s">
        <v>21</v>
      </c>
      <c r="J1386" t="s">
        <v>324</v>
      </c>
    </row>
    <row r="1387" spans="1:10" x14ac:dyDescent="0.25">
      <c r="A1387">
        <v>27823013</v>
      </c>
      <c r="B1387" t="s">
        <v>17</v>
      </c>
      <c r="C1387" s="4">
        <v>44771.417946574067</v>
      </c>
      <c r="D1387" t="s">
        <v>1405</v>
      </c>
      <c r="E1387" t="s">
        <v>27</v>
      </c>
      <c r="F1387" t="s">
        <v>18</v>
      </c>
      <c r="G1387" t="s">
        <v>285</v>
      </c>
      <c r="H1387" t="s">
        <v>29</v>
      </c>
      <c r="I1387" t="s">
        <v>21</v>
      </c>
      <c r="J1387" t="s">
        <v>1406</v>
      </c>
    </row>
    <row r="1388" spans="1:10" x14ac:dyDescent="0.25">
      <c r="A1388">
        <v>27823032</v>
      </c>
      <c r="B1388" t="s">
        <v>17</v>
      </c>
      <c r="C1388" s="4">
        <v>44771.418402800933</v>
      </c>
      <c r="D1388" t="s">
        <v>1393</v>
      </c>
      <c r="E1388" t="s">
        <v>22</v>
      </c>
      <c r="F1388" t="s">
        <v>52</v>
      </c>
      <c r="G1388" t="s">
        <v>409</v>
      </c>
      <c r="H1388" t="s">
        <v>25</v>
      </c>
      <c r="I1388" t="s">
        <v>21</v>
      </c>
      <c r="J1388" t="s">
        <v>324</v>
      </c>
    </row>
    <row r="1389" spans="1:10" x14ac:dyDescent="0.25">
      <c r="A1389">
        <v>27823052</v>
      </c>
      <c r="B1389" t="s">
        <v>17</v>
      </c>
      <c r="C1389" s="4">
        <v>44771.418971678242</v>
      </c>
      <c r="D1389" t="s">
        <v>1396</v>
      </c>
      <c r="E1389" t="s">
        <v>62</v>
      </c>
      <c r="F1389" t="s">
        <v>57</v>
      </c>
      <c r="G1389" t="s">
        <v>76</v>
      </c>
      <c r="H1389" t="s">
        <v>40</v>
      </c>
      <c r="I1389" t="s">
        <v>21</v>
      </c>
      <c r="J1389" t="s">
        <v>1397</v>
      </c>
    </row>
    <row r="1390" spans="1:10" x14ac:dyDescent="0.25">
      <c r="A1390">
        <v>27823059</v>
      </c>
      <c r="B1390" t="s">
        <v>17</v>
      </c>
      <c r="C1390" s="4">
        <v>44771.419273460648</v>
      </c>
      <c r="D1390" t="s">
        <v>1396</v>
      </c>
      <c r="E1390" t="s">
        <v>62</v>
      </c>
      <c r="F1390" t="s">
        <v>57</v>
      </c>
      <c r="G1390" t="s">
        <v>76</v>
      </c>
      <c r="H1390" t="s">
        <v>25</v>
      </c>
      <c r="I1390" t="s">
        <v>21</v>
      </c>
      <c r="J1390" t="s">
        <v>1397</v>
      </c>
    </row>
    <row r="1391" spans="1:10" x14ac:dyDescent="0.25">
      <c r="A1391">
        <v>27823078</v>
      </c>
      <c r="B1391" t="s">
        <v>17</v>
      </c>
      <c r="C1391" s="4">
        <v>44771.419751863417</v>
      </c>
      <c r="D1391" t="s">
        <v>1407</v>
      </c>
      <c r="E1391" t="s">
        <v>387</v>
      </c>
      <c r="F1391" t="s">
        <v>18</v>
      </c>
      <c r="G1391" t="s">
        <v>262</v>
      </c>
      <c r="H1391" t="s">
        <v>42</v>
      </c>
      <c r="I1391" t="s">
        <v>21</v>
      </c>
      <c r="J1391" t="s">
        <v>1408</v>
      </c>
    </row>
    <row r="1392" spans="1:10" x14ac:dyDescent="0.25">
      <c r="A1392">
        <v>27823082</v>
      </c>
      <c r="B1392" t="s">
        <v>17</v>
      </c>
      <c r="C1392" s="4">
        <v>44771.419790127307</v>
      </c>
      <c r="D1392" t="s">
        <v>1407</v>
      </c>
      <c r="E1392" t="s">
        <v>387</v>
      </c>
      <c r="F1392" t="s">
        <v>18</v>
      </c>
      <c r="G1392" t="s">
        <v>262</v>
      </c>
      <c r="H1392" t="s">
        <v>54</v>
      </c>
      <c r="I1392" t="s">
        <v>21</v>
      </c>
      <c r="J1392" t="s">
        <v>1408</v>
      </c>
    </row>
    <row r="1393" spans="1:10" x14ac:dyDescent="0.25">
      <c r="A1393">
        <v>27823088</v>
      </c>
      <c r="B1393" t="s">
        <v>17</v>
      </c>
      <c r="C1393" s="4">
        <v>44771.419875023152</v>
      </c>
      <c r="D1393" t="s">
        <v>1407</v>
      </c>
      <c r="E1393" t="s">
        <v>387</v>
      </c>
      <c r="F1393" t="s">
        <v>18</v>
      </c>
      <c r="G1393" t="s">
        <v>262</v>
      </c>
      <c r="H1393" t="s">
        <v>118</v>
      </c>
      <c r="I1393" t="s">
        <v>36</v>
      </c>
      <c r="J1393" t="s">
        <v>1408</v>
      </c>
    </row>
    <row r="1394" spans="1:10" x14ac:dyDescent="0.25">
      <c r="A1394">
        <v>27823093</v>
      </c>
      <c r="B1394" t="s">
        <v>17</v>
      </c>
      <c r="C1394" s="4">
        <v>44771.4200240625</v>
      </c>
      <c r="D1394" t="s">
        <v>1407</v>
      </c>
      <c r="E1394" t="s">
        <v>387</v>
      </c>
      <c r="F1394" t="s">
        <v>18</v>
      </c>
      <c r="G1394" t="s">
        <v>262</v>
      </c>
      <c r="H1394" t="s">
        <v>35</v>
      </c>
      <c r="I1394" t="s">
        <v>36</v>
      </c>
      <c r="J1394" t="s">
        <v>1408</v>
      </c>
    </row>
    <row r="1395" spans="1:10" x14ac:dyDescent="0.25">
      <c r="A1395">
        <v>27823098</v>
      </c>
      <c r="B1395" t="s">
        <v>17</v>
      </c>
      <c r="C1395" s="4">
        <v>44771.420044062499</v>
      </c>
      <c r="D1395" t="s">
        <v>1407</v>
      </c>
      <c r="E1395" t="s">
        <v>387</v>
      </c>
      <c r="F1395" t="s">
        <v>18</v>
      </c>
      <c r="G1395" t="s">
        <v>262</v>
      </c>
      <c r="H1395" t="s">
        <v>118</v>
      </c>
      <c r="I1395" t="s">
        <v>36</v>
      </c>
      <c r="J1395" t="s">
        <v>1408</v>
      </c>
    </row>
    <row r="1396" spans="1:10" x14ac:dyDescent="0.25">
      <c r="A1396">
        <v>27823104</v>
      </c>
      <c r="B1396" t="s">
        <v>17</v>
      </c>
      <c r="C1396" s="4">
        <v>44771.420110636573</v>
      </c>
      <c r="D1396" t="s">
        <v>1407</v>
      </c>
      <c r="E1396" t="s">
        <v>387</v>
      </c>
      <c r="F1396" t="s">
        <v>18</v>
      </c>
      <c r="G1396" t="s">
        <v>262</v>
      </c>
      <c r="H1396" t="s">
        <v>35</v>
      </c>
      <c r="I1396" t="s">
        <v>36</v>
      </c>
      <c r="J1396" t="s">
        <v>1408</v>
      </c>
    </row>
    <row r="1397" spans="1:10" x14ac:dyDescent="0.25">
      <c r="A1397">
        <v>27823107</v>
      </c>
      <c r="B1397" t="s">
        <v>17</v>
      </c>
      <c r="C1397" s="4">
        <v>44771.420143020827</v>
      </c>
      <c r="D1397" t="s">
        <v>1407</v>
      </c>
      <c r="E1397" t="s">
        <v>387</v>
      </c>
      <c r="F1397" t="s">
        <v>18</v>
      </c>
      <c r="G1397" t="s">
        <v>262</v>
      </c>
      <c r="H1397" t="s">
        <v>118</v>
      </c>
      <c r="I1397" t="s">
        <v>36</v>
      </c>
      <c r="J1397" t="s">
        <v>1408</v>
      </c>
    </row>
    <row r="1398" spans="1:10" x14ac:dyDescent="0.25">
      <c r="A1398">
        <v>27823119</v>
      </c>
      <c r="B1398" t="s">
        <v>17</v>
      </c>
      <c r="C1398" s="4">
        <v>44771.420172337967</v>
      </c>
      <c r="D1398" t="s">
        <v>1407</v>
      </c>
      <c r="E1398" t="s">
        <v>387</v>
      </c>
      <c r="F1398" t="s">
        <v>18</v>
      </c>
      <c r="G1398" t="s">
        <v>262</v>
      </c>
      <c r="H1398" t="s">
        <v>35</v>
      </c>
      <c r="I1398" t="s">
        <v>36</v>
      </c>
      <c r="J1398" t="s">
        <v>1408</v>
      </c>
    </row>
    <row r="1399" spans="1:10" x14ac:dyDescent="0.25">
      <c r="A1399">
        <v>27823129</v>
      </c>
      <c r="B1399" t="s">
        <v>17</v>
      </c>
      <c r="C1399" s="4">
        <v>44771.420494131948</v>
      </c>
      <c r="F1399" t="s">
        <v>18</v>
      </c>
      <c r="G1399" t="s">
        <v>228</v>
      </c>
      <c r="H1399" t="s">
        <v>81</v>
      </c>
      <c r="I1399" t="s">
        <v>21</v>
      </c>
    </row>
    <row r="1400" spans="1:10" x14ac:dyDescent="0.25">
      <c r="A1400">
        <v>27823131</v>
      </c>
      <c r="B1400" t="s">
        <v>17</v>
      </c>
      <c r="C1400" s="4">
        <v>44771.42056648148</v>
      </c>
      <c r="F1400" t="s">
        <v>18</v>
      </c>
      <c r="G1400" t="s">
        <v>228</v>
      </c>
      <c r="H1400" t="s">
        <v>93</v>
      </c>
      <c r="I1400" t="s">
        <v>21</v>
      </c>
    </row>
    <row r="1401" spans="1:10" x14ac:dyDescent="0.25">
      <c r="A1401">
        <v>27823170</v>
      </c>
      <c r="B1401" t="s">
        <v>17</v>
      </c>
      <c r="C1401" s="4">
        <v>44771.422319988429</v>
      </c>
      <c r="D1401" t="s">
        <v>1409</v>
      </c>
      <c r="E1401" t="s">
        <v>268</v>
      </c>
      <c r="F1401" t="s">
        <v>49</v>
      </c>
      <c r="G1401" t="s">
        <v>74</v>
      </c>
      <c r="H1401" t="s">
        <v>126</v>
      </c>
      <c r="I1401" t="s">
        <v>21</v>
      </c>
      <c r="J1401" t="s">
        <v>1410</v>
      </c>
    </row>
    <row r="1402" spans="1:10" x14ac:dyDescent="0.25">
      <c r="A1402">
        <v>27823172</v>
      </c>
      <c r="B1402" t="s">
        <v>17</v>
      </c>
      <c r="C1402" s="4">
        <v>44771.422320289363</v>
      </c>
      <c r="D1402" t="s">
        <v>1409</v>
      </c>
      <c r="E1402" t="s">
        <v>268</v>
      </c>
      <c r="F1402" t="s">
        <v>49</v>
      </c>
      <c r="G1402" t="s">
        <v>74</v>
      </c>
      <c r="H1402" t="s">
        <v>127</v>
      </c>
      <c r="I1402" t="s">
        <v>21</v>
      </c>
      <c r="J1402" t="s">
        <v>1410</v>
      </c>
    </row>
    <row r="1403" spans="1:10" x14ac:dyDescent="0.25">
      <c r="A1403">
        <v>27823199</v>
      </c>
      <c r="B1403" t="s">
        <v>17</v>
      </c>
      <c r="C1403" s="4">
        <v>44771.423397870371</v>
      </c>
      <c r="D1403" t="s">
        <v>1411</v>
      </c>
      <c r="E1403" t="s">
        <v>371</v>
      </c>
      <c r="F1403" t="s">
        <v>49</v>
      </c>
      <c r="G1403" t="s">
        <v>146</v>
      </c>
      <c r="H1403" t="s">
        <v>42</v>
      </c>
      <c r="I1403" t="s">
        <v>21</v>
      </c>
      <c r="J1403" t="s">
        <v>1412</v>
      </c>
    </row>
    <row r="1404" spans="1:10" x14ac:dyDescent="0.25">
      <c r="A1404">
        <v>27823225</v>
      </c>
      <c r="B1404" t="s">
        <v>17</v>
      </c>
      <c r="C1404" s="4">
        <v>44771.423865509263</v>
      </c>
      <c r="F1404" t="s">
        <v>18</v>
      </c>
      <c r="G1404" t="s">
        <v>228</v>
      </c>
      <c r="H1404" t="s">
        <v>81</v>
      </c>
      <c r="I1404" t="s">
        <v>21</v>
      </c>
    </row>
    <row r="1405" spans="1:10" x14ac:dyDescent="0.25">
      <c r="A1405">
        <v>27823227</v>
      </c>
      <c r="B1405" t="s">
        <v>17</v>
      </c>
      <c r="C1405" s="4">
        <v>44771.423865717603</v>
      </c>
      <c r="F1405" t="s">
        <v>18</v>
      </c>
      <c r="G1405" t="s">
        <v>228</v>
      </c>
      <c r="H1405" t="s">
        <v>93</v>
      </c>
      <c r="I1405" t="s">
        <v>21</v>
      </c>
    </row>
    <row r="1406" spans="1:10" x14ac:dyDescent="0.25">
      <c r="A1406">
        <v>27823229</v>
      </c>
      <c r="B1406" t="s">
        <v>17</v>
      </c>
      <c r="C1406" s="4">
        <v>44771.423908645833</v>
      </c>
      <c r="D1406" t="s">
        <v>1411</v>
      </c>
      <c r="E1406" t="s">
        <v>371</v>
      </c>
      <c r="F1406" t="s">
        <v>49</v>
      </c>
      <c r="G1406" t="s">
        <v>146</v>
      </c>
      <c r="H1406" t="s">
        <v>54</v>
      </c>
      <c r="I1406" t="s">
        <v>21</v>
      </c>
      <c r="J1406" t="s">
        <v>1412</v>
      </c>
    </row>
    <row r="1407" spans="1:10" x14ac:dyDescent="0.25">
      <c r="A1407">
        <v>27823256</v>
      </c>
      <c r="B1407" t="s">
        <v>17</v>
      </c>
      <c r="C1407" s="4">
        <v>44771.425059768517</v>
      </c>
      <c r="D1407" t="s">
        <v>1413</v>
      </c>
      <c r="E1407" t="s">
        <v>27</v>
      </c>
      <c r="F1407" t="s">
        <v>18</v>
      </c>
      <c r="G1407" t="s">
        <v>183</v>
      </c>
      <c r="H1407" t="s">
        <v>29</v>
      </c>
      <c r="I1407" t="s">
        <v>21</v>
      </c>
      <c r="J1407" t="s">
        <v>1414</v>
      </c>
    </row>
    <row r="1408" spans="1:10" x14ac:dyDescent="0.25">
      <c r="A1408">
        <v>27823277</v>
      </c>
      <c r="B1408" t="s">
        <v>17</v>
      </c>
      <c r="C1408" s="4">
        <v>44771.425366921299</v>
      </c>
      <c r="F1408" t="s">
        <v>18</v>
      </c>
      <c r="G1408" t="s">
        <v>418</v>
      </c>
      <c r="H1408" t="s">
        <v>67</v>
      </c>
      <c r="I1408" t="s">
        <v>21</v>
      </c>
    </row>
    <row r="1409" spans="1:10" x14ac:dyDescent="0.25">
      <c r="A1409">
        <v>27823279</v>
      </c>
      <c r="B1409" t="s">
        <v>17</v>
      </c>
      <c r="C1409" s="4">
        <v>44771.425516087962</v>
      </c>
      <c r="D1409" t="s">
        <v>1321</v>
      </c>
      <c r="E1409" t="s">
        <v>62</v>
      </c>
      <c r="F1409" t="s">
        <v>57</v>
      </c>
      <c r="G1409" t="s">
        <v>292</v>
      </c>
      <c r="H1409" t="s">
        <v>29</v>
      </c>
      <c r="I1409" t="s">
        <v>21</v>
      </c>
      <c r="J1409" t="s">
        <v>1415</v>
      </c>
    </row>
    <row r="1410" spans="1:10" x14ac:dyDescent="0.25">
      <c r="A1410">
        <v>27823297</v>
      </c>
      <c r="B1410" t="s">
        <v>17</v>
      </c>
      <c r="C1410" s="4">
        <v>44771.425704398149</v>
      </c>
      <c r="D1410" t="s">
        <v>1416</v>
      </c>
      <c r="E1410" t="s">
        <v>38</v>
      </c>
      <c r="F1410" t="s">
        <v>31</v>
      </c>
      <c r="G1410" t="s">
        <v>199</v>
      </c>
      <c r="H1410" t="s">
        <v>29</v>
      </c>
      <c r="I1410" t="s">
        <v>21</v>
      </c>
    </row>
    <row r="1411" spans="1:10" x14ac:dyDescent="0.25">
      <c r="A1411">
        <v>27823301</v>
      </c>
      <c r="B1411" t="s">
        <v>17</v>
      </c>
      <c r="C1411" s="4">
        <v>44771.425912997693</v>
      </c>
      <c r="D1411" t="s">
        <v>1407</v>
      </c>
      <c r="E1411" t="s">
        <v>387</v>
      </c>
      <c r="F1411" t="s">
        <v>18</v>
      </c>
      <c r="G1411" t="s">
        <v>262</v>
      </c>
      <c r="H1411" t="s">
        <v>40</v>
      </c>
      <c r="I1411" t="s">
        <v>21</v>
      </c>
      <c r="J1411" t="s">
        <v>1408</v>
      </c>
    </row>
    <row r="1412" spans="1:10" x14ac:dyDescent="0.25">
      <c r="A1412">
        <v>27823311</v>
      </c>
      <c r="B1412" t="s">
        <v>17</v>
      </c>
      <c r="C1412" s="4">
        <v>44771.426290219897</v>
      </c>
      <c r="D1412" t="s">
        <v>1407</v>
      </c>
      <c r="E1412" t="s">
        <v>387</v>
      </c>
      <c r="F1412" t="s">
        <v>18</v>
      </c>
      <c r="G1412" t="s">
        <v>262</v>
      </c>
      <c r="H1412" t="s">
        <v>25</v>
      </c>
      <c r="I1412" t="s">
        <v>21</v>
      </c>
      <c r="J1412" t="s">
        <v>1408</v>
      </c>
    </row>
    <row r="1413" spans="1:10" x14ac:dyDescent="0.25">
      <c r="A1413">
        <v>27823330</v>
      </c>
      <c r="B1413" t="s">
        <v>17</v>
      </c>
      <c r="C1413" s="4">
        <v>44771.426614699078</v>
      </c>
      <c r="F1413" t="s">
        <v>49</v>
      </c>
      <c r="G1413" t="s">
        <v>130</v>
      </c>
      <c r="H1413" t="s">
        <v>67</v>
      </c>
      <c r="I1413" t="s">
        <v>21</v>
      </c>
    </row>
    <row r="1414" spans="1:10" x14ac:dyDescent="0.25">
      <c r="A1414">
        <v>27823344</v>
      </c>
      <c r="B1414" t="s">
        <v>17</v>
      </c>
      <c r="C1414" s="4">
        <v>44771.427081041656</v>
      </c>
      <c r="F1414" t="s">
        <v>55</v>
      </c>
      <c r="G1414" t="s">
        <v>227</v>
      </c>
      <c r="H1414" t="s">
        <v>20</v>
      </c>
      <c r="I1414" t="s">
        <v>21</v>
      </c>
    </row>
    <row r="1415" spans="1:10" x14ac:dyDescent="0.25">
      <c r="A1415">
        <v>27823366</v>
      </c>
      <c r="B1415" t="s">
        <v>17</v>
      </c>
      <c r="C1415" s="4">
        <v>44771.42723976852</v>
      </c>
      <c r="F1415" t="s">
        <v>49</v>
      </c>
      <c r="G1415" t="s">
        <v>130</v>
      </c>
      <c r="H1415" t="s">
        <v>68</v>
      </c>
      <c r="I1415" t="s">
        <v>21</v>
      </c>
    </row>
    <row r="1416" spans="1:10" x14ac:dyDescent="0.25">
      <c r="A1416">
        <v>27823411</v>
      </c>
      <c r="B1416" t="s">
        <v>17</v>
      </c>
      <c r="C1416" s="4">
        <v>44771.42903032407</v>
      </c>
      <c r="D1416" t="s">
        <v>1417</v>
      </c>
      <c r="E1416" t="s">
        <v>22</v>
      </c>
      <c r="F1416" t="s">
        <v>23</v>
      </c>
      <c r="G1416" t="s">
        <v>180</v>
      </c>
      <c r="H1416" t="s">
        <v>29</v>
      </c>
      <c r="I1416" t="s">
        <v>21</v>
      </c>
      <c r="J1416" t="s">
        <v>1418</v>
      </c>
    </row>
    <row r="1417" spans="1:10" x14ac:dyDescent="0.25">
      <c r="A1417">
        <v>27823427</v>
      </c>
      <c r="B1417" t="s">
        <v>17</v>
      </c>
      <c r="C1417" s="4">
        <v>44771.429434907397</v>
      </c>
      <c r="D1417" t="s">
        <v>1419</v>
      </c>
      <c r="E1417" t="s">
        <v>27</v>
      </c>
      <c r="F1417" t="s">
        <v>18</v>
      </c>
      <c r="G1417" t="s">
        <v>102</v>
      </c>
      <c r="H1417" t="s">
        <v>29</v>
      </c>
      <c r="I1417" t="s">
        <v>21</v>
      </c>
      <c r="J1417" t="s">
        <v>1420</v>
      </c>
    </row>
    <row r="1418" spans="1:10" x14ac:dyDescent="0.25">
      <c r="A1418">
        <v>27823438</v>
      </c>
      <c r="B1418" t="s">
        <v>17</v>
      </c>
      <c r="C1418" s="4">
        <v>44771.429937152781</v>
      </c>
      <c r="F1418" t="s">
        <v>18</v>
      </c>
      <c r="G1418" t="s">
        <v>228</v>
      </c>
      <c r="H1418" t="s">
        <v>81</v>
      </c>
      <c r="I1418" t="s">
        <v>21</v>
      </c>
    </row>
    <row r="1419" spans="1:10" x14ac:dyDescent="0.25">
      <c r="A1419">
        <v>27823440</v>
      </c>
      <c r="B1419" t="s">
        <v>17</v>
      </c>
      <c r="C1419" s="4">
        <v>44771.429937349538</v>
      </c>
      <c r="F1419" t="s">
        <v>18</v>
      </c>
      <c r="G1419" t="s">
        <v>228</v>
      </c>
      <c r="H1419" t="s">
        <v>93</v>
      </c>
      <c r="I1419" t="s">
        <v>21</v>
      </c>
    </row>
    <row r="1420" spans="1:10" x14ac:dyDescent="0.25">
      <c r="A1420">
        <v>27823493</v>
      </c>
      <c r="B1420" t="s">
        <v>17</v>
      </c>
      <c r="C1420" s="4">
        <v>44771.431773935183</v>
      </c>
      <c r="D1420" t="s">
        <v>1421</v>
      </c>
      <c r="E1420" t="s">
        <v>27</v>
      </c>
      <c r="F1420" t="s">
        <v>18</v>
      </c>
      <c r="G1420" t="s">
        <v>186</v>
      </c>
      <c r="H1420" t="s">
        <v>29</v>
      </c>
      <c r="I1420" t="s">
        <v>21</v>
      </c>
      <c r="J1420" t="s">
        <v>1422</v>
      </c>
    </row>
    <row r="1421" spans="1:10" x14ac:dyDescent="0.25">
      <c r="A1421">
        <v>27823514</v>
      </c>
      <c r="B1421" t="s">
        <v>17</v>
      </c>
      <c r="C1421" s="4">
        <v>44771.432194270827</v>
      </c>
      <c r="D1421" t="s">
        <v>1423</v>
      </c>
      <c r="E1421" t="s">
        <v>27</v>
      </c>
      <c r="F1421" t="s">
        <v>18</v>
      </c>
      <c r="G1421" t="s">
        <v>375</v>
      </c>
      <c r="H1421" t="s">
        <v>42</v>
      </c>
      <c r="I1421" t="s">
        <v>21</v>
      </c>
      <c r="J1421" t="s">
        <v>1424</v>
      </c>
    </row>
    <row r="1422" spans="1:10" x14ac:dyDescent="0.25">
      <c r="A1422">
        <v>27823520</v>
      </c>
      <c r="B1422" t="s">
        <v>17</v>
      </c>
      <c r="C1422" s="4">
        <v>44771.432288668977</v>
      </c>
      <c r="D1422" t="s">
        <v>1423</v>
      </c>
      <c r="E1422" t="s">
        <v>27</v>
      </c>
      <c r="F1422" t="s">
        <v>18</v>
      </c>
      <c r="G1422" t="s">
        <v>375</v>
      </c>
      <c r="H1422" t="s">
        <v>54</v>
      </c>
      <c r="I1422" t="s">
        <v>21</v>
      </c>
      <c r="J1422" t="s">
        <v>1424</v>
      </c>
    </row>
    <row r="1423" spans="1:10" x14ac:dyDescent="0.25">
      <c r="A1423">
        <v>27823549</v>
      </c>
      <c r="B1423" t="s">
        <v>17</v>
      </c>
      <c r="C1423" s="4">
        <v>44771.432666898138</v>
      </c>
      <c r="D1423" t="s">
        <v>1425</v>
      </c>
      <c r="E1423" t="s">
        <v>27</v>
      </c>
      <c r="F1423" t="s">
        <v>49</v>
      </c>
      <c r="G1423" t="s">
        <v>132</v>
      </c>
      <c r="H1423" t="s">
        <v>42</v>
      </c>
      <c r="I1423" t="s">
        <v>21</v>
      </c>
      <c r="J1423" t="s">
        <v>1426</v>
      </c>
    </row>
    <row r="1424" spans="1:10" x14ac:dyDescent="0.25">
      <c r="A1424">
        <v>27823557</v>
      </c>
      <c r="B1424" t="s">
        <v>17</v>
      </c>
      <c r="C1424" s="4">
        <v>44771.433068229169</v>
      </c>
      <c r="F1424" t="s">
        <v>18</v>
      </c>
      <c r="G1424" t="s">
        <v>228</v>
      </c>
      <c r="H1424" t="s">
        <v>81</v>
      </c>
      <c r="I1424" t="s">
        <v>21</v>
      </c>
    </row>
    <row r="1425" spans="1:10" x14ac:dyDescent="0.25">
      <c r="A1425">
        <v>27823560</v>
      </c>
      <c r="B1425" t="s">
        <v>17</v>
      </c>
      <c r="C1425" s="4">
        <v>44771.433124826392</v>
      </c>
      <c r="D1425" t="s">
        <v>1427</v>
      </c>
      <c r="E1425" t="s">
        <v>30</v>
      </c>
      <c r="F1425" t="s">
        <v>31</v>
      </c>
      <c r="G1425" t="s">
        <v>161</v>
      </c>
      <c r="H1425" t="s">
        <v>29</v>
      </c>
      <c r="I1425" t="s">
        <v>21</v>
      </c>
      <c r="J1425" t="s">
        <v>60</v>
      </c>
    </row>
    <row r="1426" spans="1:10" x14ac:dyDescent="0.25">
      <c r="A1426">
        <v>27823570</v>
      </c>
      <c r="B1426" t="s">
        <v>17</v>
      </c>
      <c r="C1426" s="4">
        <v>44771.433295266201</v>
      </c>
      <c r="D1426" t="s">
        <v>1425</v>
      </c>
      <c r="E1426" t="s">
        <v>27</v>
      </c>
      <c r="F1426" t="s">
        <v>49</v>
      </c>
      <c r="G1426" t="s">
        <v>132</v>
      </c>
      <c r="H1426" t="s">
        <v>239</v>
      </c>
      <c r="I1426" t="s">
        <v>21</v>
      </c>
      <c r="J1426" t="s">
        <v>1426</v>
      </c>
    </row>
    <row r="1427" spans="1:10" x14ac:dyDescent="0.25">
      <c r="A1427">
        <v>27823572</v>
      </c>
      <c r="B1427" t="s">
        <v>17</v>
      </c>
      <c r="C1427" s="4">
        <v>44771.433303356484</v>
      </c>
      <c r="D1427" t="s">
        <v>1425</v>
      </c>
      <c r="E1427" t="s">
        <v>27</v>
      </c>
      <c r="F1427" t="s">
        <v>49</v>
      </c>
      <c r="G1427" t="s">
        <v>132</v>
      </c>
      <c r="H1427" t="s">
        <v>240</v>
      </c>
      <c r="I1427" t="s">
        <v>21</v>
      </c>
      <c r="J1427" t="s">
        <v>1426</v>
      </c>
    </row>
    <row r="1428" spans="1:10" x14ac:dyDescent="0.25">
      <c r="A1428">
        <v>27823576</v>
      </c>
      <c r="B1428" t="s">
        <v>17</v>
      </c>
      <c r="C1428" s="4">
        <v>44771.433357754628</v>
      </c>
      <c r="F1428" t="s">
        <v>18</v>
      </c>
      <c r="G1428" t="s">
        <v>228</v>
      </c>
      <c r="H1428" t="s">
        <v>208</v>
      </c>
      <c r="I1428" t="s">
        <v>21</v>
      </c>
    </row>
    <row r="1429" spans="1:10" x14ac:dyDescent="0.25">
      <c r="A1429">
        <v>27823579</v>
      </c>
      <c r="B1429" t="s">
        <v>17</v>
      </c>
      <c r="C1429" s="4">
        <v>44771.433361342592</v>
      </c>
      <c r="F1429" t="s">
        <v>18</v>
      </c>
      <c r="G1429" t="s">
        <v>228</v>
      </c>
      <c r="H1429" t="s">
        <v>93</v>
      </c>
      <c r="I1429" t="s">
        <v>21</v>
      </c>
    </row>
    <row r="1430" spans="1:10" x14ac:dyDescent="0.25">
      <c r="A1430">
        <v>27823586</v>
      </c>
      <c r="B1430" t="s">
        <v>17</v>
      </c>
      <c r="C1430" s="4">
        <v>44771.433594837959</v>
      </c>
      <c r="D1430" t="s">
        <v>1411</v>
      </c>
      <c r="E1430" t="s">
        <v>371</v>
      </c>
      <c r="F1430" t="s">
        <v>49</v>
      </c>
      <c r="G1430" t="s">
        <v>146</v>
      </c>
      <c r="H1430" t="s">
        <v>40</v>
      </c>
      <c r="I1430" t="s">
        <v>21</v>
      </c>
      <c r="J1430" t="s">
        <v>1412</v>
      </c>
    </row>
    <row r="1431" spans="1:10" x14ac:dyDescent="0.25">
      <c r="A1431">
        <v>27823590</v>
      </c>
      <c r="B1431" t="s">
        <v>17</v>
      </c>
      <c r="C1431" s="4">
        <v>44771.433809710637</v>
      </c>
      <c r="F1431" t="s">
        <v>55</v>
      </c>
      <c r="G1431" t="s">
        <v>204</v>
      </c>
      <c r="H1431" t="s">
        <v>116</v>
      </c>
      <c r="I1431" t="s">
        <v>21</v>
      </c>
    </row>
    <row r="1432" spans="1:10" x14ac:dyDescent="0.25">
      <c r="A1432">
        <v>27823601</v>
      </c>
      <c r="B1432" t="s">
        <v>17</v>
      </c>
      <c r="C1432" s="4">
        <v>44771.434112662027</v>
      </c>
      <c r="D1432" t="s">
        <v>1411</v>
      </c>
      <c r="E1432" t="s">
        <v>371</v>
      </c>
      <c r="F1432" t="s">
        <v>49</v>
      </c>
      <c r="G1432" t="s">
        <v>146</v>
      </c>
      <c r="H1432" t="s">
        <v>25</v>
      </c>
      <c r="I1432" t="s">
        <v>21</v>
      </c>
      <c r="J1432" t="s">
        <v>1412</v>
      </c>
    </row>
    <row r="1433" spans="1:10" x14ac:dyDescent="0.25">
      <c r="A1433">
        <v>27823637</v>
      </c>
      <c r="B1433" t="s">
        <v>17</v>
      </c>
      <c r="C1433" s="4">
        <v>44771.434912916673</v>
      </c>
      <c r="F1433" t="s">
        <v>18</v>
      </c>
      <c r="G1433" t="s">
        <v>418</v>
      </c>
      <c r="H1433" t="s">
        <v>68</v>
      </c>
      <c r="I1433" t="s">
        <v>21</v>
      </c>
    </row>
    <row r="1434" spans="1:10" x14ac:dyDescent="0.25">
      <c r="A1434">
        <v>27823656</v>
      </c>
      <c r="B1434" t="s">
        <v>17</v>
      </c>
      <c r="C1434" s="4">
        <v>44771.43596357639</v>
      </c>
      <c r="F1434" t="s">
        <v>33</v>
      </c>
      <c r="G1434" t="s">
        <v>427</v>
      </c>
      <c r="H1434" t="s">
        <v>20</v>
      </c>
      <c r="I1434" t="s">
        <v>21</v>
      </c>
    </row>
    <row r="1435" spans="1:10" x14ac:dyDescent="0.25">
      <c r="A1435">
        <v>27823668</v>
      </c>
      <c r="B1435" t="s">
        <v>17</v>
      </c>
      <c r="C1435" s="4">
        <v>44771.436380162027</v>
      </c>
      <c r="D1435" t="s">
        <v>1423</v>
      </c>
      <c r="E1435" t="s">
        <v>27</v>
      </c>
      <c r="F1435" t="s">
        <v>18</v>
      </c>
      <c r="G1435" t="s">
        <v>375</v>
      </c>
      <c r="H1435" t="s">
        <v>40</v>
      </c>
      <c r="I1435" t="s">
        <v>21</v>
      </c>
      <c r="J1435" t="s">
        <v>1424</v>
      </c>
    </row>
    <row r="1436" spans="1:10" x14ac:dyDescent="0.25">
      <c r="A1436">
        <v>27823674</v>
      </c>
      <c r="B1436" t="s">
        <v>17</v>
      </c>
      <c r="C1436" s="4">
        <v>44771.436725694453</v>
      </c>
      <c r="D1436" t="s">
        <v>1423</v>
      </c>
      <c r="E1436" t="s">
        <v>27</v>
      </c>
      <c r="F1436" t="s">
        <v>18</v>
      </c>
      <c r="G1436" t="s">
        <v>375</v>
      </c>
      <c r="H1436" t="s">
        <v>25</v>
      </c>
      <c r="I1436" t="s">
        <v>21</v>
      </c>
      <c r="J1436" t="s">
        <v>1424</v>
      </c>
    </row>
    <row r="1437" spans="1:10" x14ac:dyDescent="0.25">
      <c r="A1437">
        <v>27823729</v>
      </c>
      <c r="B1437" t="s">
        <v>17</v>
      </c>
      <c r="C1437" s="4">
        <v>44771.438118194441</v>
      </c>
      <c r="D1437" t="s">
        <v>790</v>
      </c>
      <c r="E1437" t="s">
        <v>38</v>
      </c>
      <c r="F1437" t="s">
        <v>23</v>
      </c>
      <c r="G1437" t="s">
        <v>194</v>
      </c>
      <c r="H1437" t="s">
        <v>29</v>
      </c>
      <c r="I1437" t="s">
        <v>21</v>
      </c>
      <c r="J1437" t="s">
        <v>791</v>
      </c>
    </row>
    <row r="1438" spans="1:10" x14ac:dyDescent="0.25">
      <c r="A1438">
        <v>27823746</v>
      </c>
      <c r="B1438" t="s">
        <v>17</v>
      </c>
      <c r="C1438" s="4">
        <v>44771.438243912038</v>
      </c>
      <c r="F1438" t="s">
        <v>18</v>
      </c>
      <c r="G1438" t="s">
        <v>228</v>
      </c>
      <c r="H1438" t="s">
        <v>81</v>
      </c>
      <c r="I1438" t="s">
        <v>21</v>
      </c>
    </row>
    <row r="1439" spans="1:10" x14ac:dyDescent="0.25">
      <c r="A1439">
        <v>27823748</v>
      </c>
      <c r="B1439" t="s">
        <v>17</v>
      </c>
      <c r="C1439" s="4">
        <v>44771.438244108787</v>
      </c>
      <c r="F1439" t="s">
        <v>18</v>
      </c>
      <c r="G1439" t="s">
        <v>228</v>
      </c>
      <c r="H1439" t="s">
        <v>93</v>
      </c>
      <c r="I1439" t="s">
        <v>21</v>
      </c>
    </row>
    <row r="1440" spans="1:10" x14ac:dyDescent="0.25">
      <c r="A1440">
        <v>27823776</v>
      </c>
      <c r="B1440" t="s">
        <v>17</v>
      </c>
      <c r="C1440" s="4">
        <v>44771.438572800929</v>
      </c>
      <c r="E1440" t="s">
        <v>38</v>
      </c>
      <c r="F1440" t="s">
        <v>55</v>
      </c>
      <c r="G1440" t="s">
        <v>227</v>
      </c>
      <c r="H1440" t="s">
        <v>40</v>
      </c>
      <c r="I1440" t="s">
        <v>21</v>
      </c>
    </row>
    <row r="1441" spans="1:10" x14ac:dyDescent="0.25">
      <c r="A1441">
        <v>27823780</v>
      </c>
      <c r="B1441" t="s">
        <v>17</v>
      </c>
      <c r="C1441" s="4">
        <v>44771.438618356478</v>
      </c>
      <c r="D1441" t="s">
        <v>1428</v>
      </c>
      <c r="E1441" t="s">
        <v>62</v>
      </c>
      <c r="F1441" t="s">
        <v>18</v>
      </c>
      <c r="G1441" t="s">
        <v>260</v>
      </c>
      <c r="H1441" t="s">
        <v>42</v>
      </c>
      <c r="I1441" t="s">
        <v>21</v>
      </c>
      <c r="J1441" t="s">
        <v>1429</v>
      </c>
    </row>
    <row r="1442" spans="1:10" x14ac:dyDescent="0.25">
      <c r="A1442">
        <v>27823787</v>
      </c>
      <c r="B1442" t="s">
        <v>17</v>
      </c>
      <c r="C1442" s="4">
        <v>44771.438718784717</v>
      </c>
      <c r="D1442" t="s">
        <v>1430</v>
      </c>
      <c r="E1442" t="s">
        <v>38</v>
      </c>
      <c r="F1442" t="s">
        <v>23</v>
      </c>
      <c r="G1442" t="s">
        <v>120</v>
      </c>
      <c r="H1442" t="s">
        <v>29</v>
      </c>
      <c r="I1442" t="s">
        <v>21</v>
      </c>
      <c r="J1442" t="s">
        <v>1431</v>
      </c>
    </row>
    <row r="1443" spans="1:10" x14ac:dyDescent="0.25">
      <c r="A1443">
        <v>27823794</v>
      </c>
      <c r="B1443" t="s">
        <v>17</v>
      </c>
      <c r="C1443" s="4">
        <v>44771.438739606478</v>
      </c>
      <c r="F1443" t="s">
        <v>18</v>
      </c>
      <c r="G1443" t="s">
        <v>228</v>
      </c>
      <c r="H1443" t="s">
        <v>81</v>
      </c>
      <c r="I1443" t="s">
        <v>21</v>
      </c>
    </row>
    <row r="1444" spans="1:10" x14ac:dyDescent="0.25">
      <c r="A1444">
        <v>27823803</v>
      </c>
      <c r="B1444" t="s">
        <v>17</v>
      </c>
      <c r="C1444" s="4">
        <v>44771.438791608787</v>
      </c>
      <c r="D1444" t="s">
        <v>1432</v>
      </c>
      <c r="E1444" t="s">
        <v>38</v>
      </c>
      <c r="F1444" t="s">
        <v>23</v>
      </c>
      <c r="G1444" t="s">
        <v>180</v>
      </c>
      <c r="H1444" t="s">
        <v>42</v>
      </c>
      <c r="I1444" t="s">
        <v>21</v>
      </c>
      <c r="J1444" t="s">
        <v>144</v>
      </c>
    </row>
    <row r="1445" spans="1:10" x14ac:dyDescent="0.25">
      <c r="A1445">
        <v>27823807</v>
      </c>
      <c r="B1445" t="s">
        <v>17</v>
      </c>
      <c r="C1445" s="4">
        <v>44771.438829386578</v>
      </c>
      <c r="D1445" t="s">
        <v>1428</v>
      </c>
      <c r="E1445" t="s">
        <v>62</v>
      </c>
      <c r="F1445" t="s">
        <v>18</v>
      </c>
      <c r="G1445" t="s">
        <v>260</v>
      </c>
      <c r="H1445" t="s">
        <v>54</v>
      </c>
      <c r="I1445" t="s">
        <v>21</v>
      </c>
      <c r="J1445" t="s">
        <v>1429</v>
      </c>
    </row>
    <row r="1446" spans="1:10" x14ac:dyDescent="0.25">
      <c r="A1446">
        <v>27823821</v>
      </c>
      <c r="B1446" t="s">
        <v>17</v>
      </c>
      <c r="C1446" s="4">
        <v>44771.438955277779</v>
      </c>
      <c r="F1446" t="s">
        <v>18</v>
      </c>
      <c r="G1446" t="s">
        <v>228</v>
      </c>
      <c r="H1446" t="s">
        <v>93</v>
      </c>
      <c r="I1446" t="s">
        <v>21</v>
      </c>
    </row>
    <row r="1447" spans="1:10" x14ac:dyDescent="0.25">
      <c r="A1447">
        <v>27823831</v>
      </c>
      <c r="B1447" t="s">
        <v>17</v>
      </c>
      <c r="C1447" s="4">
        <v>44771.439193495367</v>
      </c>
      <c r="D1447" t="s">
        <v>1433</v>
      </c>
      <c r="E1447" t="s">
        <v>27</v>
      </c>
      <c r="F1447" t="s">
        <v>18</v>
      </c>
      <c r="G1447" t="s">
        <v>28</v>
      </c>
      <c r="H1447" t="s">
        <v>42</v>
      </c>
      <c r="I1447" t="s">
        <v>21</v>
      </c>
      <c r="J1447" t="s">
        <v>433</v>
      </c>
    </row>
    <row r="1448" spans="1:10" x14ac:dyDescent="0.25">
      <c r="A1448">
        <v>27823838</v>
      </c>
      <c r="B1448" t="s">
        <v>17</v>
      </c>
      <c r="C1448" s="4">
        <v>44771.439234953701</v>
      </c>
      <c r="D1448" t="s">
        <v>1433</v>
      </c>
      <c r="E1448" t="s">
        <v>27</v>
      </c>
      <c r="F1448" t="s">
        <v>18</v>
      </c>
      <c r="G1448" t="s">
        <v>28</v>
      </c>
      <c r="H1448" t="s">
        <v>54</v>
      </c>
      <c r="I1448" t="s">
        <v>21</v>
      </c>
      <c r="J1448" t="s">
        <v>433</v>
      </c>
    </row>
    <row r="1449" spans="1:10" x14ac:dyDescent="0.25">
      <c r="A1449">
        <v>27823850</v>
      </c>
      <c r="B1449" t="s">
        <v>17</v>
      </c>
      <c r="C1449" s="4">
        <v>44771.439394085653</v>
      </c>
      <c r="D1449" t="s">
        <v>1425</v>
      </c>
      <c r="E1449" t="s">
        <v>27</v>
      </c>
      <c r="F1449" t="s">
        <v>49</v>
      </c>
      <c r="G1449" t="s">
        <v>132</v>
      </c>
      <c r="H1449" t="s">
        <v>40</v>
      </c>
      <c r="I1449" t="s">
        <v>21</v>
      </c>
      <c r="J1449" t="s">
        <v>1426</v>
      </c>
    </row>
    <row r="1450" spans="1:10" x14ac:dyDescent="0.25">
      <c r="A1450">
        <v>27823859</v>
      </c>
      <c r="B1450" t="s">
        <v>17</v>
      </c>
      <c r="C1450" s="4">
        <v>44771.439756342603</v>
      </c>
      <c r="E1450" t="s">
        <v>38</v>
      </c>
      <c r="F1450" t="s">
        <v>55</v>
      </c>
      <c r="G1450" t="s">
        <v>227</v>
      </c>
      <c r="H1450" t="s">
        <v>25</v>
      </c>
      <c r="I1450" t="s">
        <v>21</v>
      </c>
    </row>
    <row r="1451" spans="1:10" x14ac:dyDescent="0.25">
      <c r="A1451">
        <v>27823865</v>
      </c>
      <c r="B1451" t="s">
        <v>17</v>
      </c>
      <c r="C1451" s="4">
        <v>44771.439842430547</v>
      </c>
      <c r="D1451" t="s">
        <v>1425</v>
      </c>
      <c r="E1451" t="s">
        <v>27</v>
      </c>
      <c r="F1451" t="s">
        <v>49</v>
      </c>
      <c r="G1451" t="s">
        <v>132</v>
      </c>
      <c r="H1451" t="s">
        <v>25</v>
      </c>
      <c r="I1451" t="s">
        <v>21</v>
      </c>
      <c r="J1451" t="s">
        <v>1426</v>
      </c>
    </row>
    <row r="1452" spans="1:10" x14ac:dyDescent="0.25">
      <c r="A1452">
        <v>27823868</v>
      </c>
      <c r="B1452" t="s">
        <v>17</v>
      </c>
      <c r="C1452" s="4">
        <v>44771.439842719898</v>
      </c>
      <c r="D1452" t="s">
        <v>1434</v>
      </c>
      <c r="E1452" t="s">
        <v>38</v>
      </c>
      <c r="F1452" t="s">
        <v>23</v>
      </c>
      <c r="G1452" t="s">
        <v>172</v>
      </c>
      <c r="H1452" t="s">
        <v>29</v>
      </c>
      <c r="I1452" t="s">
        <v>21</v>
      </c>
      <c r="J1452" t="s">
        <v>197</v>
      </c>
    </row>
    <row r="1453" spans="1:10" x14ac:dyDescent="0.25">
      <c r="A1453">
        <v>27823885</v>
      </c>
      <c r="B1453" t="s">
        <v>17</v>
      </c>
      <c r="C1453" s="4">
        <v>44771.439943541664</v>
      </c>
      <c r="D1453" t="s">
        <v>1435</v>
      </c>
      <c r="E1453" t="s">
        <v>38</v>
      </c>
      <c r="F1453" t="s">
        <v>23</v>
      </c>
      <c r="G1453" t="s">
        <v>224</v>
      </c>
      <c r="H1453" t="s">
        <v>29</v>
      </c>
      <c r="I1453" t="s">
        <v>21</v>
      </c>
      <c r="J1453" t="s">
        <v>1436</v>
      </c>
    </row>
    <row r="1454" spans="1:10" x14ac:dyDescent="0.25">
      <c r="A1454">
        <v>27823901</v>
      </c>
      <c r="B1454" t="s">
        <v>17</v>
      </c>
      <c r="C1454" s="4">
        <v>44771.440204606479</v>
      </c>
      <c r="D1454" t="s">
        <v>1437</v>
      </c>
      <c r="E1454" t="s">
        <v>38</v>
      </c>
      <c r="F1454" t="s">
        <v>33</v>
      </c>
      <c r="G1454" t="s">
        <v>34</v>
      </c>
      <c r="H1454" t="s">
        <v>29</v>
      </c>
      <c r="I1454" t="s">
        <v>21</v>
      </c>
      <c r="J1454" t="s">
        <v>373</v>
      </c>
    </row>
    <row r="1455" spans="1:10" x14ac:dyDescent="0.25">
      <c r="A1455">
        <v>27823920</v>
      </c>
      <c r="B1455" t="s">
        <v>17</v>
      </c>
      <c r="C1455" s="4">
        <v>44771.440873854168</v>
      </c>
      <c r="D1455" t="s">
        <v>1438</v>
      </c>
      <c r="E1455" t="s">
        <v>27</v>
      </c>
      <c r="F1455" t="s">
        <v>18</v>
      </c>
      <c r="G1455" t="s">
        <v>154</v>
      </c>
      <c r="H1455" t="s">
        <v>29</v>
      </c>
      <c r="I1455" t="s">
        <v>21</v>
      </c>
      <c r="J1455" t="s">
        <v>1439</v>
      </c>
    </row>
    <row r="1456" spans="1:10" x14ac:dyDescent="0.25">
      <c r="A1456">
        <v>27823930</v>
      </c>
      <c r="B1456" t="s">
        <v>17</v>
      </c>
      <c r="C1456" s="4">
        <v>44771.440924456023</v>
      </c>
      <c r="D1456" t="s">
        <v>1432</v>
      </c>
      <c r="E1456" t="s">
        <v>38</v>
      </c>
      <c r="F1456" t="s">
        <v>23</v>
      </c>
      <c r="G1456" t="s">
        <v>180</v>
      </c>
      <c r="H1456" t="s">
        <v>54</v>
      </c>
      <c r="I1456" t="s">
        <v>21</v>
      </c>
      <c r="J1456" t="s">
        <v>144</v>
      </c>
    </row>
    <row r="1457" spans="1:10" x14ac:dyDescent="0.25">
      <c r="A1457">
        <v>27823936</v>
      </c>
      <c r="B1457" t="s">
        <v>17</v>
      </c>
      <c r="C1457" s="4">
        <v>44771.440988402777</v>
      </c>
      <c r="F1457" t="s">
        <v>49</v>
      </c>
      <c r="G1457" t="s">
        <v>218</v>
      </c>
      <c r="H1457" t="s">
        <v>195</v>
      </c>
      <c r="I1457" t="s">
        <v>21</v>
      </c>
    </row>
    <row r="1458" spans="1:10" x14ac:dyDescent="0.25">
      <c r="A1458">
        <v>27823994</v>
      </c>
      <c r="B1458" t="s">
        <v>17</v>
      </c>
      <c r="C1458" s="4">
        <v>44771.441705636571</v>
      </c>
      <c r="F1458" t="s">
        <v>52</v>
      </c>
      <c r="G1458" t="s">
        <v>94</v>
      </c>
      <c r="H1458" t="s">
        <v>20</v>
      </c>
      <c r="I1458" t="s">
        <v>21</v>
      </c>
    </row>
    <row r="1459" spans="1:10" x14ac:dyDescent="0.25">
      <c r="A1459">
        <v>27824029</v>
      </c>
      <c r="B1459" t="s">
        <v>17</v>
      </c>
      <c r="C1459" s="4">
        <v>44771.443277222221</v>
      </c>
      <c r="F1459" t="s">
        <v>18</v>
      </c>
      <c r="G1459" t="s">
        <v>418</v>
      </c>
      <c r="H1459" t="s">
        <v>67</v>
      </c>
      <c r="I1459" t="s">
        <v>21</v>
      </c>
    </row>
    <row r="1460" spans="1:10" x14ac:dyDescent="0.25">
      <c r="A1460">
        <v>27824035</v>
      </c>
      <c r="B1460" t="s">
        <v>17</v>
      </c>
      <c r="C1460" s="4">
        <v>44771.44332189815</v>
      </c>
      <c r="D1460" t="s">
        <v>1428</v>
      </c>
      <c r="E1460" t="s">
        <v>62</v>
      </c>
      <c r="F1460" t="s">
        <v>18</v>
      </c>
      <c r="G1460" t="s">
        <v>260</v>
      </c>
      <c r="H1460" t="s">
        <v>40</v>
      </c>
      <c r="I1460" t="s">
        <v>21</v>
      </c>
      <c r="J1460" t="s">
        <v>1429</v>
      </c>
    </row>
    <row r="1461" spans="1:10" x14ac:dyDescent="0.25">
      <c r="A1461">
        <v>27824038</v>
      </c>
      <c r="B1461" t="s">
        <v>17</v>
      </c>
      <c r="C1461" s="4">
        <v>44771.443584293978</v>
      </c>
      <c r="F1461" t="s">
        <v>18</v>
      </c>
      <c r="G1461" t="s">
        <v>228</v>
      </c>
      <c r="H1461" t="s">
        <v>81</v>
      </c>
      <c r="I1461" t="s">
        <v>21</v>
      </c>
    </row>
    <row r="1462" spans="1:10" x14ac:dyDescent="0.25">
      <c r="A1462">
        <v>27824040</v>
      </c>
      <c r="B1462" t="s">
        <v>17</v>
      </c>
      <c r="C1462" s="4">
        <v>44771.443584583343</v>
      </c>
      <c r="F1462" t="s">
        <v>18</v>
      </c>
      <c r="G1462" t="s">
        <v>228</v>
      </c>
      <c r="H1462" t="s">
        <v>93</v>
      </c>
      <c r="I1462" t="s">
        <v>21</v>
      </c>
    </row>
    <row r="1463" spans="1:10" x14ac:dyDescent="0.25">
      <c r="A1463">
        <v>27824050</v>
      </c>
      <c r="B1463" t="s">
        <v>17</v>
      </c>
      <c r="C1463" s="4">
        <v>44771.443866539354</v>
      </c>
      <c r="D1463" t="s">
        <v>1428</v>
      </c>
      <c r="E1463" t="s">
        <v>62</v>
      </c>
      <c r="F1463" t="s">
        <v>18</v>
      </c>
      <c r="G1463" t="s">
        <v>260</v>
      </c>
      <c r="H1463" t="s">
        <v>25</v>
      </c>
      <c r="I1463" t="s">
        <v>21</v>
      </c>
      <c r="J1463" t="s">
        <v>1429</v>
      </c>
    </row>
    <row r="1464" spans="1:10" x14ac:dyDescent="0.25">
      <c r="A1464">
        <v>27824066</v>
      </c>
      <c r="B1464" t="s">
        <v>17</v>
      </c>
      <c r="C1464" s="4">
        <v>44771.444215243057</v>
      </c>
      <c r="F1464" t="s">
        <v>18</v>
      </c>
      <c r="G1464" t="s">
        <v>418</v>
      </c>
      <c r="H1464" t="s">
        <v>68</v>
      </c>
      <c r="I1464" t="s">
        <v>21</v>
      </c>
    </row>
    <row r="1465" spans="1:10" x14ac:dyDescent="0.25">
      <c r="A1465">
        <v>27824076</v>
      </c>
      <c r="B1465" t="s">
        <v>17</v>
      </c>
      <c r="C1465" s="4">
        <v>44771.444485810192</v>
      </c>
      <c r="F1465" t="s">
        <v>18</v>
      </c>
      <c r="G1465" t="s">
        <v>418</v>
      </c>
      <c r="H1465" t="s">
        <v>20</v>
      </c>
      <c r="I1465" t="s">
        <v>21</v>
      </c>
    </row>
    <row r="1466" spans="1:10" x14ac:dyDescent="0.25">
      <c r="A1466">
        <v>27824081</v>
      </c>
      <c r="B1466" t="s">
        <v>17</v>
      </c>
      <c r="C1466" s="4">
        <v>44771.444529525463</v>
      </c>
      <c r="D1466" t="s">
        <v>1440</v>
      </c>
      <c r="E1466" t="s">
        <v>379</v>
      </c>
      <c r="F1466" t="s">
        <v>18</v>
      </c>
      <c r="G1466" t="s">
        <v>418</v>
      </c>
      <c r="H1466" t="s">
        <v>118</v>
      </c>
      <c r="I1466" t="s">
        <v>36</v>
      </c>
    </row>
    <row r="1467" spans="1:10" x14ac:dyDescent="0.25">
      <c r="A1467">
        <v>27824086</v>
      </c>
      <c r="B1467" t="s">
        <v>17</v>
      </c>
      <c r="C1467" s="4">
        <v>44771.444580289353</v>
      </c>
      <c r="D1467" t="s">
        <v>1440</v>
      </c>
      <c r="E1467" t="s">
        <v>379</v>
      </c>
      <c r="F1467" t="s">
        <v>18</v>
      </c>
      <c r="G1467" t="s">
        <v>418</v>
      </c>
      <c r="H1467" t="s">
        <v>35</v>
      </c>
      <c r="I1467" t="s">
        <v>36</v>
      </c>
    </row>
    <row r="1468" spans="1:10" x14ac:dyDescent="0.25">
      <c r="A1468">
        <v>27824094</v>
      </c>
      <c r="B1468" t="s">
        <v>17</v>
      </c>
      <c r="C1468" s="4">
        <v>44771.444681122688</v>
      </c>
      <c r="D1468" t="s">
        <v>1440</v>
      </c>
      <c r="E1468" t="s">
        <v>379</v>
      </c>
      <c r="F1468" t="s">
        <v>18</v>
      </c>
      <c r="G1468" t="s">
        <v>418</v>
      </c>
      <c r="H1468" t="s">
        <v>79</v>
      </c>
      <c r="I1468" t="s">
        <v>21</v>
      </c>
    </row>
    <row r="1469" spans="1:10" x14ac:dyDescent="0.25">
      <c r="A1469">
        <v>27824097</v>
      </c>
      <c r="B1469" t="s">
        <v>17</v>
      </c>
      <c r="C1469" s="4">
        <v>44771.444690266202</v>
      </c>
      <c r="D1469" t="s">
        <v>1441</v>
      </c>
      <c r="E1469" t="s">
        <v>38</v>
      </c>
      <c r="F1469" t="s">
        <v>23</v>
      </c>
      <c r="G1469" t="s">
        <v>337</v>
      </c>
      <c r="H1469" t="s">
        <v>29</v>
      </c>
      <c r="I1469" t="s">
        <v>21</v>
      </c>
      <c r="J1469" t="s">
        <v>1442</v>
      </c>
    </row>
    <row r="1470" spans="1:10" x14ac:dyDescent="0.25">
      <c r="A1470">
        <v>27824110</v>
      </c>
      <c r="B1470" t="s">
        <v>17</v>
      </c>
      <c r="C1470" s="4">
        <v>44771.444783738429</v>
      </c>
      <c r="F1470" t="s">
        <v>18</v>
      </c>
      <c r="G1470" t="s">
        <v>418</v>
      </c>
      <c r="H1470" t="s">
        <v>67</v>
      </c>
      <c r="I1470" t="s">
        <v>21</v>
      </c>
    </row>
    <row r="1471" spans="1:10" x14ac:dyDescent="0.25">
      <c r="A1471">
        <v>27824114</v>
      </c>
      <c r="B1471" t="s">
        <v>17</v>
      </c>
      <c r="C1471" s="4">
        <v>44771.444803194441</v>
      </c>
      <c r="D1471" t="s">
        <v>1432</v>
      </c>
      <c r="E1471" t="s">
        <v>38</v>
      </c>
      <c r="F1471" t="s">
        <v>23</v>
      </c>
      <c r="G1471" t="s">
        <v>180</v>
      </c>
      <c r="H1471" t="s">
        <v>40</v>
      </c>
      <c r="I1471" t="s">
        <v>21</v>
      </c>
      <c r="J1471" t="s">
        <v>144</v>
      </c>
    </row>
    <row r="1472" spans="1:10" x14ac:dyDescent="0.25">
      <c r="A1472">
        <v>27824115</v>
      </c>
      <c r="B1472" t="s">
        <v>17</v>
      </c>
      <c r="C1472" s="4">
        <v>44771.444837488423</v>
      </c>
      <c r="F1472" t="s">
        <v>18</v>
      </c>
      <c r="G1472" t="s">
        <v>418</v>
      </c>
      <c r="H1472" t="s">
        <v>68</v>
      </c>
      <c r="I1472" t="s">
        <v>21</v>
      </c>
    </row>
    <row r="1473" spans="1:10" x14ac:dyDescent="0.25">
      <c r="A1473">
        <v>27824118</v>
      </c>
      <c r="B1473" t="s">
        <v>17</v>
      </c>
      <c r="C1473" s="4">
        <v>44771.44484971065</v>
      </c>
      <c r="D1473" t="s">
        <v>1443</v>
      </c>
      <c r="E1473" t="s">
        <v>22</v>
      </c>
      <c r="F1473" t="s">
        <v>23</v>
      </c>
      <c r="G1473" t="s">
        <v>98</v>
      </c>
      <c r="H1473" t="s">
        <v>29</v>
      </c>
      <c r="I1473" t="s">
        <v>21</v>
      </c>
      <c r="J1473" t="s">
        <v>338</v>
      </c>
    </row>
    <row r="1474" spans="1:10" x14ac:dyDescent="0.25">
      <c r="A1474">
        <v>27824132</v>
      </c>
      <c r="B1474" t="s">
        <v>17</v>
      </c>
      <c r="C1474" s="4">
        <v>44771.444988831019</v>
      </c>
      <c r="D1474" t="s">
        <v>1444</v>
      </c>
      <c r="E1474" t="s">
        <v>22</v>
      </c>
      <c r="F1474" t="s">
        <v>23</v>
      </c>
      <c r="G1474" t="s">
        <v>110</v>
      </c>
      <c r="H1474" t="s">
        <v>29</v>
      </c>
      <c r="I1474" t="s">
        <v>21</v>
      </c>
      <c r="J1474" t="s">
        <v>712</v>
      </c>
    </row>
    <row r="1475" spans="1:10" x14ac:dyDescent="0.25">
      <c r="A1475">
        <v>27824153</v>
      </c>
      <c r="B1475" t="s">
        <v>17</v>
      </c>
      <c r="C1475" s="4">
        <v>44771.445326562498</v>
      </c>
      <c r="D1475" t="s">
        <v>1432</v>
      </c>
      <c r="E1475" t="s">
        <v>38</v>
      </c>
      <c r="F1475" t="s">
        <v>23</v>
      </c>
      <c r="G1475" t="s">
        <v>180</v>
      </c>
      <c r="H1475" t="s">
        <v>25</v>
      </c>
      <c r="I1475" t="s">
        <v>21</v>
      </c>
      <c r="J1475" t="s">
        <v>144</v>
      </c>
    </row>
    <row r="1476" spans="1:10" x14ac:dyDescent="0.25">
      <c r="A1476">
        <v>27824177</v>
      </c>
      <c r="B1476" t="s">
        <v>17</v>
      </c>
      <c r="C1476" s="4">
        <v>44771.445908240741</v>
      </c>
      <c r="D1476" t="s">
        <v>1433</v>
      </c>
      <c r="E1476" t="s">
        <v>27</v>
      </c>
      <c r="F1476" t="s">
        <v>18</v>
      </c>
      <c r="G1476" t="s">
        <v>28</v>
      </c>
      <c r="H1476" t="s">
        <v>40</v>
      </c>
      <c r="I1476" t="s">
        <v>21</v>
      </c>
      <c r="J1476" t="s">
        <v>433</v>
      </c>
    </row>
    <row r="1477" spans="1:10" x14ac:dyDescent="0.25">
      <c r="A1477">
        <v>27824180</v>
      </c>
      <c r="B1477" t="s">
        <v>17</v>
      </c>
      <c r="C1477" s="4">
        <v>44771.446155914353</v>
      </c>
      <c r="D1477" t="s">
        <v>1445</v>
      </c>
      <c r="E1477" t="s">
        <v>22</v>
      </c>
      <c r="F1477" t="s">
        <v>23</v>
      </c>
      <c r="G1477" t="s">
        <v>24</v>
      </c>
      <c r="H1477" t="s">
        <v>29</v>
      </c>
      <c r="I1477" t="s">
        <v>21</v>
      </c>
      <c r="J1477" t="s">
        <v>1446</v>
      </c>
    </row>
    <row r="1478" spans="1:10" x14ac:dyDescent="0.25">
      <c r="A1478">
        <v>27824191</v>
      </c>
      <c r="B1478" t="s">
        <v>17</v>
      </c>
      <c r="C1478" s="4">
        <v>44771.446267523148</v>
      </c>
      <c r="F1478" t="s">
        <v>18</v>
      </c>
      <c r="G1478" t="s">
        <v>228</v>
      </c>
      <c r="H1478" t="s">
        <v>81</v>
      </c>
      <c r="I1478" t="s">
        <v>21</v>
      </c>
    </row>
    <row r="1479" spans="1:10" x14ac:dyDescent="0.25">
      <c r="A1479">
        <v>27824193</v>
      </c>
      <c r="B1479" t="s">
        <v>17</v>
      </c>
      <c r="C1479" s="4">
        <v>44771.446267708343</v>
      </c>
      <c r="F1479" t="s">
        <v>18</v>
      </c>
      <c r="G1479" t="s">
        <v>228</v>
      </c>
      <c r="H1479" t="s">
        <v>93</v>
      </c>
      <c r="I1479" t="s">
        <v>21</v>
      </c>
    </row>
    <row r="1480" spans="1:10" x14ac:dyDescent="0.25">
      <c r="A1480">
        <v>27824202</v>
      </c>
      <c r="B1480" t="s">
        <v>17</v>
      </c>
      <c r="C1480" s="4">
        <v>44771.446449421303</v>
      </c>
      <c r="D1480" t="s">
        <v>1433</v>
      </c>
      <c r="E1480" t="s">
        <v>27</v>
      </c>
      <c r="F1480" t="s">
        <v>18</v>
      </c>
      <c r="G1480" t="s">
        <v>28</v>
      </c>
      <c r="H1480" t="s">
        <v>25</v>
      </c>
      <c r="I1480" t="s">
        <v>21</v>
      </c>
      <c r="J1480" t="s">
        <v>433</v>
      </c>
    </row>
    <row r="1481" spans="1:10" x14ac:dyDescent="0.25">
      <c r="A1481">
        <v>27824275</v>
      </c>
      <c r="B1481" t="s">
        <v>17</v>
      </c>
      <c r="C1481" s="4">
        <v>44771.448284398153</v>
      </c>
      <c r="E1481" t="s">
        <v>30</v>
      </c>
      <c r="F1481" t="s">
        <v>33</v>
      </c>
      <c r="G1481" t="s">
        <v>427</v>
      </c>
      <c r="H1481" t="s">
        <v>40</v>
      </c>
      <c r="I1481" t="s">
        <v>21</v>
      </c>
    </row>
    <row r="1482" spans="1:10" x14ac:dyDescent="0.25">
      <c r="A1482">
        <v>27824300</v>
      </c>
      <c r="B1482" t="s">
        <v>17</v>
      </c>
      <c r="C1482" s="4">
        <v>44771.448654328713</v>
      </c>
      <c r="E1482" t="s">
        <v>30</v>
      </c>
      <c r="F1482" t="s">
        <v>33</v>
      </c>
      <c r="G1482" t="s">
        <v>427</v>
      </c>
      <c r="H1482" t="s">
        <v>25</v>
      </c>
      <c r="I1482" t="s">
        <v>21</v>
      </c>
    </row>
    <row r="1483" spans="1:10" x14ac:dyDescent="0.25">
      <c r="A1483">
        <v>27824346</v>
      </c>
      <c r="B1483" t="s">
        <v>17</v>
      </c>
      <c r="C1483" s="4">
        <v>44771.450863576392</v>
      </c>
      <c r="D1483" t="s">
        <v>1447</v>
      </c>
      <c r="E1483" t="s">
        <v>27</v>
      </c>
      <c r="F1483" t="s">
        <v>45</v>
      </c>
      <c r="G1483" t="s">
        <v>283</v>
      </c>
      <c r="H1483" t="s">
        <v>29</v>
      </c>
      <c r="I1483" t="s">
        <v>21</v>
      </c>
      <c r="J1483" t="s">
        <v>1448</v>
      </c>
    </row>
    <row r="1484" spans="1:10" x14ac:dyDescent="0.25">
      <c r="A1484">
        <v>27824372</v>
      </c>
      <c r="B1484" t="s">
        <v>17</v>
      </c>
      <c r="C1484" s="4">
        <v>44771.451418877317</v>
      </c>
      <c r="F1484" t="s">
        <v>18</v>
      </c>
      <c r="G1484" t="s">
        <v>228</v>
      </c>
      <c r="H1484" t="s">
        <v>81</v>
      </c>
      <c r="I1484" t="s">
        <v>21</v>
      </c>
    </row>
    <row r="1485" spans="1:10" x14ac:dyDescent="0.25">
      <c r="A1485">
        <v>27824374</v>
      </c>
      <c r="B1485" t="s">
        <v>17</v>
      </c>
      <c r="C1485" s="4">
        <v>44771.45141908565</v>
      </c>
      <c r="F1485" t="s">
        <v>18</v>
      </c>
      <c r="G1485" t="s">
        <v>228</v>
      </c>
      <c r="H1485" t="s">
        <v>93</v>
      </c>
      <c r="I1485" t="s">
        <v>21</v>
      </c>
    </row>
    <row r="1486" spans="1:10" x14ac:dyDescent="0.25">
      <c r="A1486">
        <v>27824388</v>
      </c>
      <c r="B1486" t="s">
        <v>17</v>
      </c>
      <c r="C1486" s="4">
        <v>44771.451719386583</v>
      </c>
      <c r="D1486" t="s">
        <v>1449</v>
      </c>
      <c r="E1486" t="s">
        <v>27</v>
      </c>
      <c r="F1486" t="s">
        <v>18</v>
      </c>
      <c r="G1486" t="s">
        <v>396</v>
      </c>
      <c r="H1486" t="s">
        <v>29</v>
      </c>
      <c r="I1486" t="s">
        <v>21</v>
      </c>
      <c r="J1486" t="s">
        <v>1450</v>
      </c>
    </row>
    <row r="1487" spans="1:10" x14ac:dyDescent="0.25">
      <c r="A1487">
        <v>27824409</v>
      </c>
      <c r="B1487" t="s">
        <v>17</v>
      </c>
      <c r="C1487" s="4">
        <v>44771.451870486111</v>
      </c>
      <c r="D1487" t="s">
        <v>1451</v>
      </c>
      <c r="E1487" t="s">
        <v>27</v>
      </c>
      <c r="F1487" t="s">
        <v>18</v>
      </c>
      <c r="G1487" t="s">
        <v>186</v>
      </c>
      <c r="H1487" t="s">
        <v>42</v>
      </c>
      <c r="I1487" t="s">
        <v>21</v>
      </c>
      <c r="J1487" t="s">
        <v>1452</v>
      </c>
    </row>
    <row r="1488" spans="1:10" x14ac:dyDescent="0.25">
      <c r="A1488">
        <v>27824414</v>
      </c>
      <c r="B1488" t="s">
        <v>17</v>
      </c>
      <c r="C1488" s="4">
        <v>44771.451939050923</v>
      </c>
      <c r="D1488" t="s">
        <v>1451</v>
      </c>
      <c r="E1488" t="s">
        <v>27</v>
      </c>
      <c r="F1488" t="s">
        <v>18</v>
      </c>
      <c r="G1488" t="s">
        <v>186</v>
      </c>
      <c r="H1488" t="s">
        <v>54</v>
      </c>
      <c r="I1488" t="s">
        <v>21</v>
      </c>
      <c r="J1488" t="s">
        <v>1452</v>
      </c>
    </row>
    <row r="1489" spans="1:10" x14ac:dyDescent="0.25">
      <c r="A1489">
        <v>27824439</v>
      </c>
      <c r="B1489" t="s">
        <v>17</v>
      </c>
      <c r="C1489" s="4">
        <v>44771.452420833331</v>
      </c>
      <c r="D1489" t="s">
        <v>1256</v>
      </c>
      <c r="E1489" t="s">
        <v>38</v>
      </c>
      <c r="F1489" t="s">
        <v>52</v>
      </c>
      <c r="G1489" t="s">
        <v>90</v>
      </c>
      <c r="H1489" t="s">
        <v>29</v>
      </c>
      <c r="I1489" t="s">
        <v>21</v>
      </c>
      <c r="J1489" t="s">
        <v>212</v>
      </c>
    </row>
    <row r="1490" spans="1:10" x14ac:dyDescent="0.25">
      <c r="A1490">
        <v>27824476</v>
      </c>
      <c r="B1490" t="s">
        <v>17</v>
      </c>
      <c r="C1490" s="4">
        <v>44771.453655439807</v>
      </c>
      <c r="D1490" t="s">
        <v>756</v>
      </c>
      <c r="E1490" t="s">
        <v>38</v>
      </c>
      <c r="F1490" t="s">
        <v>55</v>
      </c>
      <c r="G1490" t="s">
        <v>56</v>
      </c>
      <c r="H1490" t="s">
        <v>29</v>
      </c>
      <c r="I1490" t="s">
        <v>21</v>
      </c>
    </row>
    <row r="1491" spans="1:10" x14ac:dyDescent="0.25">
      <c r="A1491">
        <v>27824485</v>
      </c>
      <c r="B1491" t="s">
        <v>17</v>
      </c>
      <c r="C1491" s="4">
        <v>44771.454023958337</v>
      </c>
      <c r="F1491" t="s">
        <v>18</v>
      </c>
      <c r="G1491" t="s">
        <v>228</v>
      </c>
      <c r="H1491" t="s">
        <v>81</v>
      </c>
      <c r="I1491" t="s">
        <v>21</v>
      </c>
    </row>
    <row r="1492" spans="1:10" x14ac:dyDescent="0.25">
      <c r="A1492">
        <v>27824487</v>
      </c>
      <c r="B1492" t="s">
        <v>17</v>
      </c>
      <c r="C1492" s="4">
        <v>44771.454024166669</v>
      </c>
      <c r="F1492" t="s">
        <v>18</v>
      </c>
      <c r="G1492" t="s">
        <v>228</v>
      </c>
      <c r="H1492" t="s">
        <v>93</v>
      </c>
      <c r="I1492" t="s">
        <v>21</v>
      </c>
    </row>
    <row r="1493" spans="1:10" x14ac:dyDescent="0.25">
      <c r="A1493">
        <v>27824495</v>
      </c>
      <c r="B1493" t="s">
        <v>17</v>
      </c>
      <c r="C1493" s="4">
        <v>44771.454247997688</v>
      </c>
      <c r="F1493" t="s">
        <v>23</v>
      </c>
      <c r="G1493" t="s">
        <v>172</v>
      </c>
      <c r="H1493" t="s">
        <v>20</v>
      </c>
      <c r="I1493" t="s">
        <v>21</v>
      </c>
    </row>
    <row r="1494" spans="1:10" x14ac:dyDescent="0.25">
      <c r="A1494">
        <v>27824501</v>
      </c>
      <c r="B1494" t="s">
        <v>17</v>
      </c>
      <c r="C1494" s="4">
        <v>44771.454522025473</v>
      </c>
      <c r="D1494" t="s">
        <v>1453</v>
      </c>
      <c r="E1494" t="s">
        <v>38</v>
      </c>
      <c r="F1494" t="s">
        <v>23</v>
      </c>
      <c r="G1494" t="s">
        <v>51</v>
      </c>
      <c r="H1494" t="s">
        <v>29</v>
      </c>
      <c r="I1494" t="s">
        <v>21</v>
      </c>
      <c r="J1494" t="s">
        <v>1454</v>
      </c>
    </row>
    <row r="1495" spans="1:10" x14ac:dyDescent="0.25">
      <c r="A1495">
        <v>27824517</v>
      </c>
      <c r="B1495" t="s">
        <v>17</v>
      </c>
      <c r="C1495" s="4">
        <v>44771.454777465267</v>
      </c>
      <c r="F1495" t="s">
        <v>18</v>
      </c>
      <c r="G1495" t="s">
        <v>228</v>
      </c>
      <c r="H1495" t="s">
        <v>81</v>
      </c>
      <c r="I1495" t="s">
        <v>21</v>
      </c>
    </row>
    <row r="1496" spans="1:10" x14ac:dyDescent="0.25">
      <c r="A1496">
        <v>27824519</v>
      </c>
      <c r="B1496" t="s">
        <v>17</v>
      </c>
      <c r="C1496" s="4">
        <v>44771.454777662038</v>
      </c>
      <c r="F1496" t="s">
        <v>18</v>
      </c>
      <c r="G1496" t="s">
        <v>228</v>
      </c>
      <c r="H1496" t="s">
        <v>93</v>
      </c>
      <c r="I1496" t="s">
        <v>21</v>
      </c>
    </row>
    <row r="1497" spans="1:10" x14ac:dyDescent="0.25">
      <c r="A1497">
        <v>27824566</v>
      </c>
      <c r="B1497" t="s">
        <v>17</v>
      </c>
      <c r="C1497" s="4">
        <v>44771.455793229157</v>
      </c>
      <c r="D1497" t="s">
        <v>1007</v>
      </c>
      <c r="E1497" t="s">
        <v>27</v>
      </c>
      <c r="F1497" t="s">
        <v>45</v>
      </c>
      <c r="G1497" t="s">
        <v>314</v>
      </c>
      <c r="H1497" t="s">
        <v>29</v>
      </c>
      <c r="I1497" t="s">
        <v>21</v>
      </c>
      <c r="J1497" t="s">
        <v>334</v>
      </c>
    </row>
    <row r="1498" spans="1:10" x14ac:dyDescent="0.25">
      <c r="A1498">
        <v>27824585</v>
      </c>
      <c r="B1498" t="s">
        <v>17</v>
      </c>
      <c r="C1498" s="4">
        <v>44771.45653059028</v>
      </c>
      <c r="F1498" t="s">
        <v>18</v>
      </c>
      <c r="G1498" t="s">
        <v>228</v>
      </c>
      <c r="H1498" t="s">
        <v>81</v>
      </c>
      <c r="I1498" t="s">
        <v>21</v>
      </c>
    </row>
    <row r="1499" spans="1:10" x14ac:dyDescent="0.25">
      <c r="A1499">
        <v>27824589</v>
      </c>
      <c r="B1499" t="s">
        <v>17</v>
      </c>
      <c r="C1499" s="4">
        <v>44771.456616180563</v>
      </c>
      <c r="D1499" t="s">
        <v>1455</v>
      </c>
      <c r="E1499" t="s">
        <v>38</v>
      </c>
      <c r="F1499" t="s">
        <v>52</v>
      </c>
      <c r="G1499" t="s">
        <v>94</v>
      </c>
      <c r="H1499" t="s">
        <v>40</v>
      </c>
      <c r="I1499" t="s">
        <v>21</v>
      </c>
      <c r="J1499" t="s">
        <v>320</v>
      </c>
    </row>
    <row r="1500" spans="1:10" x14ac:dyDescent="0.25">
      <c r="A1500">
        <v>27824595</v>
      </c>
      <c r="B1500" t="s">
        <v>17</v>
      </c>
      <c r="C1500" s="4">
        <v>44771.456820208332</v>
      </c>
      <c r="F1500" t="s">
        <v>18</v>
      </c>
      <c r="G1500" t="s">
        <v>228</v>
      </c>
      <c r="H1500" t="s">
        <v>208</v>
      </c>
      <c r="I1500" t="s">
        <v>21</v>
      </c>
    </row>
    <row r="1501" spans="1:10" x14ac:dyDescent="0.25">
      <c r="A1501">
        <v>27824597</v>
      </c>
      <c r="B1501" t="s">
        <v>17</v>
      </c>
      <c r="C1501" s="4">
        <v>44771.456820416657</v>
      </c>
      <c r="F1501" t="s">
        <v>18</v>
      </c>
      <c r="G1501" t="s">
        <v>228</v>
      </c>
      <c r="H1501" t="s">
        <v>93</v>
      </c>
      <c r="I1501" t="s">
        <v>21</v>
      </c>
    </row>
    <row r="1502" spans="1:10" x14ac:dyDescent="0.25">
      <c r="A1502">
        <v>27824603</v>
      </c>
      <c r="B1502" t="s">
        <v>17</v>
      </c>
      <c r="C1502" s="4">
        <v>44771.45718568287</v>
      </c>
      <c r="D1502" t="s">
        <v>1455</v>
      </c>
      <c r="E1502" t="s">
        <v>38</v>
      </c>
      <c r="F1502" t="s">
        <v>52</v>
      </c>
      <c r="G1502" t="s">
        <v>94</v>
      </c>
      <c r="H1502" t="s">
        <v>25</v>
      </c>
      <c r="I1502" t="s">
        <v>21</v>
      </c>
      <c r="J1502" t="s">
        <v>320</v>
      </c>
    </row>
    <row r="1503" spans="1:10" x14ac:dyDescent="0.25">
      <c r="A1503">
        <v>27824626</v>
      </c>
      <c r="B1503" t="s">
        <v>17</v>
      </c>
      <c r="C1503" s="4">
        <v>44771.457483935177</v>
      </c>
      <c r="D1503" t="s">
        <v>1456</v>
      </c>
      <c r="E1503" t="s">
        <v>129</v>
      </c>
      <c r="F1503" t="s">
        <v>49</v>
      </c>
      <c r="G1503" t="s">
        <v>247</v>
      </c>
      <c r="H1503" t="s">
        <v>42</v>
      </c>
      <c r="I1503" t="s">
        <v>21</v>
      </c>
      <c r="J1503" t="s">
        <v>340</v>
      </c>
    </row>
    <row r="1504" spans="1:10" x14ac:dyDescent="0.25">
      <c r="A1504">
        <v>27824632</v>
      </c>
      <c r="B1504" t="s">
        <v>17</v>
      </c>
      <c r="C1504" s="4">
        <v>44771.457666909722</v>
      </c>
      <c r="D1504" t="s">
        <v>1457</v>
      </c>
      <c r="E1504" t="s">
        <v>38</v>
      </c>
      <c r="F1504" t="s">
        <v>23</v>
      </c>
      <c r="G1504" t="s">
        <v>172</v>
      </c>
      <c r="H1504" t="s">
        <v>40</v>
      </c>
      <c r="I1504" t="s">
        <v>21</v>
      </c>
      <c r="J1504" t="s">
        <v>1458</v>
      </c>
    </row>
    <row r="1505" spans="1:10" x14ac:dyDescent="0.25">
      <c r="A1505">
        <v>27824639</v>
      </c>
      <c r="B1505" t="s">
        <v>17</v>
      </c>
      <c r="C1505" s="4">
        <v>44771.457716550933</v>
      </c>
      <c r="D1505" t="s">
        <v>1459</v>
      </c>
      <c r="E1505" t="s">
        <v>310</v>
      </c>
      <c r="F1505" t="s">
        <v>18</v>
      </c>
      <c r="G1505" t="s">
        <v>429</v>
      </c>
      <c r="H1505" t="s">
        <v>42</v>
      </c>
      <c r="I1505" t="s">
        <v>21</v>
      </c>
      <c r="J1505" t="s">
        <v>1460</v>
      </c>
    </row>
    <row r="1506" spans="1:10" x14ac:dyDescent="0.25">
      <c r="A1506">
        <v>27824654</v>
      </c>
      <c r="B1506" t="s">
        <v>17</v>
      </c>
      <c r="C1506" s="4">
        <v>44771.457856747693</v>
      </c>
      <c r="D1506" t="s">
        <v>807</v>
      </c>
      <c r="E1506" t="s">
        <v>310</v>
      </c>
      <c r="F1506" t="s">
        <v>18</v>
      </c>
      <c r="G1506" t="s">
        <v>429</v>
      </c>
      <c r="H1506" t="s">
        <v>54</v>
      </c>
      <c r="I1506" t="s">
        <v>21</v>
      </c>
      <c r="J1506" t="s">
        <v>1460</v>
      </c>
    </row>
    <row r="1507" spans="1:10" x14ac:dyDescent="0.25">
      <c r="A1507">
        <v>27824668</v>
      </c>
      <c r="B1507" t="s">
        <v>17</v>
      </c>
      <c r="C1507" s="4">
        <v>44771.458111087974</v>
      </c>
      <c r="D1507" t="s">
        <v>1457</v>
      </c>
      <c r="E1507" t="s">
        <v>38</v>
      </c>
      <c r="F1507" t="s">
        <v>23</v>
      </c>
      <c r="G1507" t="s">
        <v>172</v>
      </c>
      <c r="H1507" t="s">
        <v>25</v>
      </c>
      <c r="I1507" t="s">
        <v>21</v>
      </c>
      <c r="J1507" t="s">
        <v>1458</v>
      </c>
    </row>
    <row r="1508" spans="1:10" x14ac:dyDescent="0.25">
      <c r="A1508">
        <v>27824681</v>
      </c>
      <c r="B1508" t="s">
        <v>17</v>
      </c>
      <c r="C1508" s="4">
        <v>44771.45818710648</v>
      </c>
      <c r="D1508" t="s">
        <v>1461</v>
      </c>
      <c r="E1508" t="s">
        <v>22</v>
      </c>
      <c r="F1508" t="s">
        <v>52</v>
      </c>
      <c r="G1508" t="s">
        <v>400</v>
      </c>
      <c r="H1508" t="s">
        <v>29</v>
      </c>
      <c r="I1508" t="s">
        <v>21</v>
      </c>
      <c r="J1508" t="s">
        <v>1462</v>
      </c>
    </row>
    <row r="1509" spans="1:10" x14ac:dyDescent="0.25">
      <c r="A1509">
        <v>27824724</v>
      </c>
      <c r="B1509" t="s">
        <v>17</v>
      </c>
      <c r="C1509" s="4">
        <v>44771.459207604174</v>
      </c>
      <c r="D1509" t="s">
        <v>1463</v>
      </c>
      <c r="E1509" t="s">
        <v>22</v>
      </c>
      <c r="F1509" t="s">
        <v>23</v>
      </c>
      <c r="G1509" t="s">
        <v>225</v>
      </c>
      <c r="H1509" t="s">
        <v>29</v>
      </c>
      <c r="I1509" t="s">
        <v>21</v>
      </c>
      <c r="J1509" t="s">
        <v>1464</v>
      </c>
    </row>
    <row r="1510" spans="1:10" x14ac:dyDescent="0.25">
      <c r="A1510">
        <v>27824733</v>
      </c>
      <c r="B1510" t="s">
        <v>17</v>
      </c>
      <c r="C1510" s="4">
        <v>44771.459275578702</v>
      </c>
      <c r="D1510" t="s">
        <v>1465</v>
      </c>
      <c r="E1510" t="s">
        <v>27</v>
      </c>
      <c r="F1510" t="s">
        <v>18</v>
      </c>
      <c r="G1510" t="s">
        <v>265</v>
      </c>
      <c r="H1510" t="s">
        <v>29</v>
      </c>
      <c r="I1510" t="s">
        <v>21</v>
      </c>
      <c r="J1510" t="s">
        <v>1466</v>
      </c>
    </row>
    <row r="1511" spans="1:10" x14ac:dyDescent="0.25">
      <c r="A1511">
        <v>27824755</v>
      </c>
      <c r="B1511" t="s">
        <v>17</v>
      </c>
      <c r="C1511" s="4">
        <v>44771.459649305558</v>
      </c>
      <c r="D1511" t="s">
        <v>1451</v>
      </c>
      <c r="E1511" t="s">
        <v>27</v>
      </c>
      <c r="F1511" t="s">
        <v>18</v>
      </c>
      <c r="G1511" t="s">
        <v>186</v>
      </c>
      <c r="H1511" t="s">
        <v>40</v>
      </c>
      <c r="I1511" t="s">
        <v>21</v>
      </c>
      <c r="J1511" t="s">
        <v>1452</v>
      </c>
    </row>
    <row r="1512" spans="1:10" x14ac:dyDescent="0.25">
      <c r="A1512">
        <v>27824761</v>
      </c>
      <c r="B1512" t="s">
        <v>17</v>
      </c>
      <c r="C1512" s="4">
        <v>44771.459789837972</v>
      </c>
      <c r="D1512" t="s">
        <v>807</v>
      </c>
      <c r="E1512" t="s">
        <v>310</v>
      </c>
      <c r="F1512" t="s">
        <v>18</v>
      </c>
      <c r="G1512" t="s">
        <v>429</v>
      </c>
      <c r="H1512" t="s">
        <v>118</v>
      </c>
      <c r="I1512" t="s">
        <v>36</v>
      </c>
      <c r="J1512" t="s">
        <v>1460</v>
      </c>
    </row>
    <row r="1513" spans="1:10" x14ac:dyDescent="0.25">
      <c r="A1513">
        <v>27824769</v>
      </c>
      <c r="B1513" t="s">
        <v>17</v>
      </c>
      <c r="C1513" s="4">
        <v>44771.459880289352</v>
      </c>
      <c r="D1513" t="s">
        <v>1467</v>
      </c>
      <c r="E1513" t="s">
        <v>22</v>
      </c>
      <c r="F1513" t="s">
        <v>52</v>
      </c>
      <c r="G1513" t="s">
        <v>280</v>
      </c>
      <c r="H1513" t="s">
        <v>29</v>
      </c>
      <c r="I1513" t="s">
        <v>21</v>
      </c>
      <c r="J1513" t="s">
        <v>339</v>
      </c>
    </row>
    <row r="1514" spans="1:10" x14ac:dyDescent="0.25">
      <c r="A1514">
        <v>27824778</v>
      </c>
      <c r="B1514" t="s">
        <v>17</v>
      </c>
      <c r="C1514" s="4">
        <v>44771.459960902779</v>
      </c>
      <c r="D1514" t="s">
        <v>807</v>
      </c>
      <c r="E1514" t="s">
        <v>310</v>
      </c>
      <c r="F1514" t="s">
        <v>18</v>
      </c>
      <c r="G1514" t="s">
        <v>429</v>
      </c>
      <c r="H1514" t="s">
        <v>35</v>
      </c>
      <c r="I1514" t="s">
        <v>36</v>
      </c>
      <c r="J1514" t="s">
        <v>1460</v>
      </c>
    </row>
    <row r="1515" spans="1:10" x14ac:dyDescent="0.25">
      <c r="A1515">
        <v>27824791</v>
      </c>
      <c r="B1515" t="s">
        <v>17</v>
      </c>
      <c r="C1515" s="4">
        <v>44771.460249849537</v>
      </c>
      <c r="D1515" t="s">
        <v>1451</v>
      </c>
      <c r="E1515" t="s">
        <v>27</v>
      </c>
      <c r="F1515" t="s">
        <v>18</v>
      </c>
      <c r="G1515" t="s">
        <v>186</v>
      </c>
      <c r="H1515" t="s">
        <v>25</v>
      </c>
      <c r="I1515" t="s">
        <v>21</v>
      </c>
      <c r="J1515" t="s">
        <v>1452</v>
      </c>
    </row>
    <row r="1516" spans="1:10" x14ac:dyDescent="0.25">
      <c r="A1516">
        <v>27824808</v>
      </c>
      <c r="B1516" t="s">
        <v>17</v>
      </c>
      <c r="C1516" s="4">
        <v>44771.460469641213</v>
      </c>
      <c r="D1516" t="s">
        <v>807</v>
      </c>
      <c r="E1516" t="s">
        <v>310</v>
      </c>
      <c r="F1516" t="s">
        <v>18</v>
      </c>
      <c r="G1516" t="s">
        <v>429</v>
      </c>
      <c r="H1516" t="s">
        <v>118</v>
      </c>
      <c r="I1516" t="s">
        <v>36</v>
      </c>
      <c r="J1516" t="s">
        <v>1460</v>
      </c>
    </row>
    <row r="1517" spans="1:10" x14ac:dyDescent="0.25">
      <c r="A1517">
        <v>27824815</v>
      </c>
      <c r="B1517" t="s">
        <v>17</v>
      </c>
      <c r="C1517" s="4">
        <v>44771.460799236113</v>
      </c>
      <c r="F1517" t="s">
        <v>18</v>
      </c>
      <c r="G1517" t="s">
        <v>228</v>
      </c>
      <c r="H1517" t="s">
        <v>81</v>
      </c>
      <c r="I1517" t="s">
        <v>21</v>
      </c>
    </row>
    <row r="1518" spans="1:10" x14ac:dyDescent="0.25">
      <c r="A1518">
        <v>27824817</v>
      </c>
      <c r="B1518" t="s">
        <v>17</v>
      </c>
      <c r="C1518" s="4">
        <v>44771.460799490742</v>
      </c>
      <c r="F1518" t="s">
        <v>18</v>
      </c>
      <c r="G1518" t="s">
        <v>228</v>
      </c>
      <c r="H1518" t="s">
        <v>93</v>
      </c>
      <c r="I1518" t="s">
        <v>21</v>
      </c>
    </row>
    <row r="1519" spans="1:10" x14ac:dyDescent="0.25">
      <c r="A1519">
        <v>27824826</v>
      </c>
      <c r="B1519" t="s">
        <v>17</v>
      </c>
      <c r="C1519" s="4">
        <v>44771.461003703713</v>
      </c>
      <c r="D1519" t="s">
        <v>807</v>
      </c>
      <c r="E1519" t="s">
        <v>310</v>
      </c>
      <c r="F1519" t="s">
        <v>18</v>
      </c>
      <c r="G1519" t="s">
        <v>429</v>
      </c>
      <c r="H1519" t="s">
        <v>35</v>
      </c>
      <c r="I1519" t="s">
        <v>36</v>
      </c>
      <c r="J1519" t="s">
        <v>1460</v>
      </c>
    </row>
    <row r="1520" spans="1:10" x14ac:dyDescent="0.25">
      <c r="A1520">
        <v>27824836</v>
      </c>
      <c r="B1520" t="s">
        <v>17</v>
      </c>
      <c r="C1520" s="4">
        <v>44771.461160104169</v>
      </c>
      <c r="D1520" t="s">
        <v>1062</v>
      </c>
      <c r="E1520" t="s">
        <v>38</v>
      </c>
      <c r="F1520" t="s">
        <v>52</v>
      </c>
      <c r="G1520" t="s">
        <v>220</v>
      </c>
      <c r="H1520" t="s">
        <v>29</v>
      </c>
      <c r="I1520" t="s">
        <v>21</v>
      </c>
      <c r="J1520" t="s">
        <v>1063</v>
      </c>
    </row>
    <row r="1521" spans="1:10" x14ac:dyDescent="0.25">
      <c r="A1521">
        <v>27824843</v>
      </c>
      <c r="B1521" t="s">
        <v>17</v>
      </c>
      <c r="C1521" s="4">
        <v>44771.461187430563</v>
      </c>
      <c r="D1521" t="s">
        <v>1468</v>
      </c>
      <c r="E1521" t="s">
        <v>38</v>
      </c>
      <c r="F1521" t="s">
        <v>52</v>
      </c>
      <c r="G1521" t="s">
        <v>220</v>
      </c>
      <c r="H1521" t="s">
        <v>42</v>
      </c>
      <c r="I1521" t="s">
        <v>21</v>
      </c>
      <c r="J1521" t="s">
        <v>597</v>
      </c>
    </row>
    <row r="1522" spans="1:10" x14ac:dyDescent="0.25">
      <c r="A1522">
        <v>27824846</v>
      </c>
      <c r="B1522" t="s">
        <v>17</v>
      </c>
      <c r="C1522" s="4">
        <v>44771.461191030103</v>
      </c>
      <c r="E1522" t="s">
        <v>38</v>
      </c>
      <c r="F1522" t="s">
        <v>52</v>
      </c>
      <c r="G1522" t="s">
        <v>220</v>
      </c>
      <c r="H1522" t="s">
        <v>232</v>
      </c>
      <c r="I1522" t="s">
        <v>21</v>
      </c>
      <c r="J1522" t="s">
        <v>597</v>
      </c>
    </row>
    <row r="1523" spans="1:10" x14ac:dyDescent="0.25">
      <c r="A1523">
        <v>27824858</v>
      </c>
      <c r="B1523" t="s">
        <v>17</v>
      </c>
      <c r="C1523" s="4">
        <v>44771.461499224541</v>
      </c>
      <c r="D1523" t="s">
        <v>1456</v>
      </c>
      <c r="E1523" t="s">
        <v>129</v>
      </c>
      <c r="F1523" t="s">
        <v>49</v>
      </c>
      <c r="G1523" t="s">
        <v>247</v>
      </c>
      <c r="H1523" t="s">
        <v>54</v>
      </c>
      <c r="I1523" t="s">
        <v>21</v>
      </c>
      <c r="J1523" t="s">
        <v>340</v>
      </c>
    </row>
    <row r="1524" spans="1:10" x14ac:dyDescent="0.25">
      <c r="A1524">
        <v>27824860</v>
      </c>
      <c r="B1524" t="s">
        <v>17</v>
      </c>
      <c r="C1524" s="4">
        <v>44771.461511111112</v>
      </c>
      <c r="D1524" t="s">
        <v>807</v>
      </c>
      <c r="E1524" t="s">
        <v>310</v>
      </c>
      <c r="F1524" t="s">
        <v>18</v>
      </c>
      <c r="G1524" t="s">
        <v>429</v>
      </c>
      <c r="H1524" t="s">
        <v>118</v>
      </c>
      <c r="I1524" t="s">
        <v>36</v>
      </c>
      <c r="J1524" t="s">
        <v>1460</v>
      </c>
    </row>
    <row r="1525" spans="1:10" x14ac:dyDescent="0.25">
      <c r="A1525">
        <v>27824874</v>
      </c>
      <c r="B1525" t="s">
        <v>17</v>
      </c>
      <c r="C1525" s="4">
        <v>44771.461652349542</v>
      </c>
      <c r="D1525" t="s">
        <v>807</v>
      </c>
      <c r="E1525" t="s">
        <v>310</v>
      </c>
      <c r="F1525" t="s">
        <v>18</v>
      </c>
      <c r="G1525" t="s">
        <v>429</v>
      </c>
      <c r="H1525" t="s">
        <v>35</v>
      </c>
      <c r="I1525" t="s">
        <v>36</v>
      </c>
      <c r="J1525" t="s">
        <v>1460</v>
      </c>
    </row>
    <row r="1526" spans="1:10" x14ac:dyDescent="0.25">
      <c r="A1526">
        <v>27824880</v>
      </c>
      <c r="B1526" t="s">
        <v>17</v>
      </c>
      <c r="C1526" s="4">
        <v>44771.461761203696</v>
      </c>
      <c r="D1526" t="s">
        <v>1469</v>
      </c>
      <c r="E1526" t="s">
        <v>387</v>
      </c>
      <c r="F1526" t="s">
        <v>18</v>
      </c>
      <c r="G1526" t="s">
        <v>124</v>
      </c>
      <c r="H1526" t="s">
        <v>29</v>
      </c>
      <c r="I1526" t="s">
        <v>21</v>
      </c>
      <c r="J1526" t="s">
        <v>1470</v>
      </c>
    </row>
    <row r="1527" spans="1:10" x14ac:dyDescent="0.25">
      <c r="A1527">
        <v>27824909</v>
      </c>
      <c r="B1527" t="s">
        <v>17</v>
      </c>
      <c r="C1527" s="4">
        <v>44771.462129756947</v>
      </c>
      <c r="D1527" t="s">
        <v>1471</v>
      </c>
      <c r="E1527" t="s">
        <v>62</v>
      </c>
      <c r="F1527" t="s">
        <v>57</v>
      </c>
      <c r="G1527" t="s">
        <v>286</v>
      </c>
      <c r="H1527" t="s">
        <v>29</v>
      </c>
      <c r="I1527" t="s">
        <v>21</v>
      </c>
      <c r="J1527" t="s">
        <v>1472</v>
      </c>
    </row>
    <row r="1528" spans="1:10" x14ac:dyDescent="0.25">
      <c r="A1528">
        <v>27824916</v>
      </c>
      <c r="B1528" t="s">
        <v>17</v>
      </c>
      <c r="C1528" s="4">
        <v>44771.462154212961</v>
      </c>
      <c r="F1528" t="s">
        <v>23</v>
      </c>
      <c r="G1528" t="s">
        <v>224</v>
      </c>
      <c r="H1528" t="s">
        <v>20</v>
      </c>
      <c r="I1528" t="s">
        <v>21</v>
      </c>
    </row>
    <row r="1529" spans="1:10" x14ac:dyDescent="0.25">
      <c r="A1529">
        <v>27824939</v>
      </c>
      <c r="B1529" t="s">
        <v>17</v>
      </c>
      <c r="C1529" s="4">
        <v>44771.462538495369</v>
      </c>
      <c r="F1529" t="s">
        <v>18</v>
      </c>
      <c r="G1529" t="s">
        <v>228</v>
      </c>
      <c r="H1529" t="s">
        <v>81</v>
      </c>
      <c r="I1529" t="s">
        <v>21</v>
      </c>
    </row>
    <row r="1530" spans="1:10" x14ac:dyDescent="0.25">
      <c r="A1530">
        <v>27824941</v>
      </c>
      <c r="B1530" t="s">
        <v>17</v>
      </c>
      <c r="C1530" s="4">
        <v>44771.462538726853</v>
      </c>
      <c r="F1530" t="s">
        <v>18</v>
      </c>
      <c r="G1530" t="s">
        <v>228</v>
      </c>
      <c r="H1530" t="s">
        <v>93</v>
      </c>
      <c r="I1530" t="s">
        <v>21</v>
      </c>
    </row>
    <row r="1531" spans="1:10" x14ac:dyDescent="0.25">
      <c r="A1531">
        <v>27824946</v>
      </c>
      <c r="B1531" t="s">
        <v>17</v>
      </c>
      <c r="C1531" s="4">
        <v>44771.462669594897</v>
      </c>
      <c r="D1531" t="s">
        <v>1177</v>
      </c>
      <c r="E1531" t="s">
        <v>38</v>
      </c>
      <c r="F1531" t="s">
        <v>55</v>
      </c>
      <c r="G1531" t="s">
        <v>204</v>
      </c>
      <c r="H1531" t="s">
        <v>29</v>
      </c>
      <c r="I1531" t="s">
        <v>21</v>
      </c>
    </row>
    <row r="1532" spans="1:10" x14ac:dyDescent="0.25">
      <c r="A1532">
        <v>27824962</v>
      </c>
      <c r="B1532" t="s">
        <v>17</v>
      </c>
      <c r="C1532" s="4">
        <v>44771.463045497687</v>
      </c>
      <c r="F1532" t="s">
        <v>18</v>
      </c>
      <c r="G1532" t="s">
        <v>228</v>
      </c>
      <c r="H1532" t="s">
        <v>81</v>
      </c>
      <c r="I1532" t="s">
        <v>21</v>
      </c>
    </row>
    <row r="1533" spans="1:10" x14ac:dyDescent="0.25">
      <c r="A1533">
        <v>27824964</v>
      </c>
      <c r="B1533" t="s">
        <v>17</v>
      </c>
      <c r="C1533" s="4">
        <v>44771.463045706019</v>
      </c>
      <c r="F1533" t="s">
        <v>18</v>
      </c>
      <c r="G1533" t="s">
        <v>228</v>
      </c>
      <c r="H1533" t="s">
        <v>93</v>
      </c>
      <c r="I1533" t="s">
        <v>21</v>
      </c>
    </row>
    <row r="1534" spans="1:10" x14ac:dyDescent="0.25">
      <c r="A1534">
        <v>27824982</v>
      </c>
      <c r="B1534" t="s">
        <v>17</v>
      </c>
      <c r="C1534" s="4">
        <v>44771.463553067129</v>
      </c>
      <c r="D1534" t="s">
        <v>1456</v>
      </c>
      <c r="E1534" t="s">
        <v>129</v>
      </c>
      <c r="F1534" t="s">
        <v>49</v>
      </c>
      <c r="G1534" t="s">
        <v>247</v>
      </c>
      <c r="H1534" t="s">
        <v>40</v>
      </c>
      <c r="I1534" t="s">
        <v>21</v>
      </c>
      <c r="J1534" t="s">
        <v>340</v>
      </c>
    </row>
    <row r="1535" spans="1:10" x14ac:dyDescent="0.25">
      <c r="A1535">
        <v>27824990</v>
      </c>
      <c r="B1535" t="s">
        <v>17</v>
      </c>
      <c r="C1535" s="4">
        <v>44771.463676180552</v>
      </c>
      <c r="D1535" t="s">
        <v>1473</v>
      </c>
      <c r="E1535" t="s">
        <v>27</v>
      </c>
      <c r="F1535" t="s">
        <v>18</v>
      </c>
      <c r="G1535" t="s">
        <v>183</v>
      </c>
      <c r="H1535" t="s">
        <v>42</v>
      </c>
      <c r="I1535" t="s">
        <v>21</v>
      </c>
      <c r="J1535" t="s">
        <v>287</v>
      </c>
    </row>
    <row r="1536" spans="1:10" x14ac:dyDescent="0.25">
      <c r="A1536">
        <v>27824993</v>
      </c>
      <c r="B1536" t="s">
        <v>17</v>
      </c>
      <c r="C1536" s="4">
        <v>44771.463727731483</v>
      </c>
      <c r="D1536" t="s">
        <v>1473</v>
      </c>
      <c r="E1536" t="s">
        <v>27</v>
      </c>
      <c r="F1536" t="s">
        <v>18</v>
      </c>
      <c r="G1536" t="s">
        <v>183</v>
      </c>
      <c r="H1536" t="s">
        <v>54</v>
      </c>
      <c r="I1536" t="s">
        <v>21</v>
      </c>
      <c r="J1536" t="s">
        <v>287</v>
      </c>
    </row>
    <row r="1537" spans="1:10" x14ac:dyDescent="0.25">
      <c r="A1537">
        <v>27825000</v>
      </c>
      <c r="B1537" t="s">
        <v>17</v>
      </c>
      <c r="C1537" s="4">
        <v>44771.463891493047</v>
      </c>
      <c r="D1537" t="s">
        <v>1474</v>
      </c>
      <c r="E1537" t="s">
        <v>62</v>
      </c>
      <c r="F1537" t="s">
        <v>57</v>
      </c>
      <c r="G1537" t="s">
        <v>244</v>
      </c>
      <c r="H1537" t="s">
        <v>29</v>
      </c>
      <c r="I1537" t="s">
        <v>21</v>
      </c>
      <c r="J1537" t="s">
        <v>452</v>
      </c>
    </row>
    <row r="1538" spans="1:10" x14ac:dyDescent="0.25">
      <c r="A1538">
        <v>27825010</v>
      </c>
      <c r="B1538" t="s">
        <v>17</v>
      </c>
      <c r="C1538" s="4">
        <v>44771.463990636577</v>
      </c>
      <c r="D1538" t="s">
        <v>1456</v>
      </c>
      <c r="E1538" t="s">
        <v>129</v>
      </c>
      <c r="F1538" t="s">
        <v>49</v>
      </c>
      <c r="G1538" t="s">
        <v>247</v>
      </c>
      <c r="H1538" t="s">
        <v>25</v>
      </c>
      <c r="I1538" t="s">
        <v>21</v>
      </c>
      <c r="J1538" t="s">
        <v>340</v>
      </c>
    </row>
    <row r="1539" spans="1:10" x14ac:dyDescent="0.25">
      <c r="A1539">
        <v>27825067</v>
      </c>
      <c r="B1539" t="s">
        <v>17</v>
      </c>
      <c r="C1539" s="4">
        <v>44771.465668252313</v>
      </c>
      <c r="D1539" t="s">
        <v>1475</v>
      </c>
      <c r="E1539" t="s">
        <v>38</v>
      </c>
      <c r="F1539" t="s">
        <v>31</v>
      </c>
      <c r="G1539" t="s">
        <v>137</v>
      </c>
      <c r="H1539" t="s">
        <v>29</v>
      </c>
      <c r="I1539" t="s">
        <v>21</v>
      </c>
      <c r="J1539" t="s">
        <v>344</v>
      </c>
    </row>
    <row r="1540" spans="1:10" x14ac:dyDescent="0.25">
      <c r="A1540">
        <v>27825089</v>
      </c>
      <c r="B1540" t="s">
        <v>17</v>
      </c>
      <c r="C1540" s="4">
        <v>44771.46616689815</v>
      </c>
      <c r="D1540" t="s">
        <v>1409</v>
      </c>
      <c r="E1540" t="s">
        <v>268</v>
      </c>
      <c r="F1540" t="s">
        <v>49</v>
      </c>
      <c r="G1540" t="s">
        <v>74</v>
      </c>
      <c r="H1540" t="s">
        <v>29</v>
      </c>
      <c r="I1540" t="s">
        <v>21</v>
      </c>
      <c r="J1540" t="s">
        <v>1410</v>
      </c>
    </row>
    <row r="1541" spans="1:10" x14ac:dyDescent="0.25">
      <c r="A1541">
        <v>27825126</v>
      </c>
      <c r="B1541" t="s">
        <v>17</v>
      </c>
      <c r="C1541" s="4">
        <v>44771.467214722223</v>
      </c>
      <c r="D1541" t="s">
        <v>807</v>
      </c>
      <c r="E1541" t="s">
        <v>310</v>
      </c>
      <c r="F1541" t="s">
        <v>18</v>
      </c>
      <c r="G1541" t="s">
        <v>429</v>
      </c>
      <c r="H1541" t="s">
        <v>40</v>
      </c>
      <c r="I1541" t="s">
        <v>21</v>
      </c>
      <c r="J1541" t="s">
        <v>1460</v>
      </c>
    </row>
    <row r="1542" spans="1:10" x14ac:dyDescent="0.25">
      <c r="A1542">
        <v>27825131</v>
      </c>
      <c r="B1542" t="s">
        <v>17</v>
      </c>
      <c r="C1542" s="4">
        <v>44771.467339537026</v>
      </c>
      <c r="F1542" t="s">
        <v>18</v>
      </c>
      <c r="G1542" t="s">
        <v>228</v>
      </c>
      <c r="H1542" t="s">
        <v>81</v>
      </c>
      <c r="I1542" t="s">
        <v>21</v>
      </c>
    </row>
    <row r="1543" spans="1:10" x14ac:dyDescent="0.25">
      <c r="A1543">
        <v>27825133</v>
      </c>
      <c r="B1543" t="s">
        <v>17</v>
      </c>
      <c r="C1543" s="4">
        <v>44771.467339768518</v>
      </c>
      <c r="F1543" t="s">
        <v>18</v>
      </c>
      <c r="G1543" t="s">
        <v>228</v>
      </c>
      <c r="H1543" t="s">
        <v>93</v>
      </c>
      <c r="I1543" t="s">
        <v>21</v>
      </c>
    </row>
    <row r="1544" spans="1:10" x14ac:dyDescent="0.25">
      <c r="A1544">
        <v>27825140</v>
      </c>
      <c r="B1544" t="s">
        <v>17</v>
      </c>
      <c r="C1544" s="4">
        <v>44771.467719016196</v>
      </c>
      <c r="D1544" t="s">
        <v>807</v>
      </c>
      <c r="E1544" t="s">
        <v>310</v>
      </c>
      <c r="F1544" t="s">
        <v>18</v>
      </c>
      <c r="G1544" t="s">
        <v>429</v>
      </c>
      <c r="H1544" t="s">
        <v>25</v>
      </c>
      <c r="I1544" t="s">
        <v>21</v>
      </c>
      <c r="J1544" t="s">
        <v>1460</v>
      </c>
    </row>
    <row r="1545" spans="1:10" x14ac:dyDescent="0.25">
      <c r="A1545">
        <v>27825158</v>
      </c>
      <c r="B1545" t="s">
        <v>17</v>
      </c>
      <c r="C1545" s="4">
        <v>44771.468096932869</v>
      </c>
      <c r="F1545" t="s">
        <v>18</v>
      </c>
      <c r="G1545" t="s">
        <v>228</v>
      </c>
      <c r="H1545" t="s">
        <v>81</v>
      </c>
      <c r="I1545" t="s">
        <v>21</v>
      </c>
    </row>
    <row r="1546" spans="1:10" x14ac:dyDescent="0.25">
      <c r="A1546">
        <v>27825160</v>
      </c>
      <c r="B1546" t="s">
        <v>17</v>
      </c>
      <c r="C1546" s="4">
        <v>44771.468097129633</v>
      </c>
      <c r="F1546" t="s">
        <v>18</v>
      </c>
      <c r="G1546" t="s">
        <v>228</v>
      </c>
      <c r="H1546" t="s">
        <v>93</v>
      </c>
      <c r="I1546" t="s">
        <v>21</v>
      </c>
    </row>
    <row r="1547" spans="1:10" x14ac:dyDescent="0.25">
      <c r="A1547">
        <v>27825171</v>
      </c>
      <c r="B1547" t="s">
        <v>17</v>
      </c>
      <c r="C1547" s="4">
        <v>44771.46824814815</v>
      </c>
      <c r="D1547" t="s">
        <v>1476</v>
      </c>
      <c r="E1547" t="s">
        <v>27</v>
      </c>
      <c r="F1547" t="s">
        <v>18</v>
      </c>
      <c r="G1547" t="s">
        <v>226</v>
      </c>
      <c r="H1547" t="s">
        <v>42</v>
      </c>
      <c r="I1547" t="s">
        <v>21</v>
      </c>
      <c r="J1547" t="s">
        <v>356</v>
      </c>
    </row>
    <row r="1548" spans="1:10" x14ac:dyDescent="0.25">
      <c r="A1548">
        <v>27825174</v>
      </c>
      <c r="B1548" t="s">
        <v>17</v>
      </c>
      <c r="C1548" s="4">
        <v>44771.468300428241</v>
      </c>
      <c r="D1548" t="s">
        <v>1476</v>
      </c>
      <c r="E1548" t="s">
        <v>27</v>
      </c>
      <c r="F1548" t="s">
        <v>18</v>
      </c>
      <c r="G1548" t="s">
        <v>226</v>
      </c>
      <c r="H1548" t="s">
        <v>54</v>
      </c>
      <c r="I1548" t="s">
        <v>21</v>
      </c>
      <c r="J1548" t="s">
        <v>356</v>
      </c>
    </row>
    <row r="1549" spans="1:10" x14ac:dyDescent="0.25">
      <c r="A1549">
        <v>27825185</v>
      </c>
      <c r="B1549" t="s">
        <v>17</v>
      </c>
      <c r="C1549" s="4">
        <v>44771.468421504629</v>
      </c>
      <c r="D1549" t="s">
        <v>1477</v>
      </c>
      <c r="E1549" t="s">
        <v>27</v>
      </c>
      <c r="F1549" t="s">
        <v>18</v>
      </c>
      <c r="G1549" t="s">
        <v>285</v>
      </c>
      <c r="H1549" t="s">
        <v>42</v>
      </c>
      <c r="I1549" t="s">
        <v>21</v>
      </c>
      <c r="J1549" t="s">
        <v>332</v>
      </c>
    </row>
    <row r="1550" spans="1:10" x14ac:dyDescent="0.25">
      <c r="A1550">
        <v>27825188</v>
      </c>
      <c r="B1550" t="s">
        <v>17</v>
      </c>
      <c r="C1550" s="4">
        <v>44771.468484861107</v>
      </c>
      <c r="D1550" t="s">
        <v>1477</v>
      </c>
      <c r="E1550" t="s">
        <v>27</v>
      </c>
      <c r="F1550" t="s">
        <v>18</v>
      </c>
      <c r="G1550" t="s">
        <v>285</v>
      </c>
      <c r="H1550" t="s">
        <v>54</v>
      </c>
      <c r="I1550" t="s">
        <v>21</v>
      </c>
      <c r="J1550" t="s">
        <v>332</v>
      </c>
    </row>
    <row r="1551" spans="1:10" x14ac:dyDescent="0.25">
      <c r="A1551">
        <v>27825199</v>
      </c>
      <c r="B1551" t="s">
        <v>17</v>
      </c>
      <c r="C1551" s="4">
        <v>44771.468545729163</v>
      </c>
      <c r="D1551" t="s">
        <v>1477</v>
      </c>
      <c r="E1551" t="s">
        <v>27</v>
      </c>
      <c r="F1551" t="s">
        <v>18</v>
      </c>
      <c r="G1551" t="s">
        <v>285</v>
      </c>
      <c r="H1551" t="s">
        <v>118</v>
      </c>
      <c r="I1551" t="s">
        <v>36</v>
      </c>
      <c r="J1551" t="s">
        <v>332</v>
      </c>
    </row>
    <row r="1552" spans="1:10" x14ac:dyDescent="0.25">
      <c r="A1552">
        <v>27825229</v>
      </c>
      <c r="B1552" t="s">
        <v>17</v>
      </c>
      <c r="C1552" s="4">
        <v>44771.468930925927</v>
      </c>
      <c r="D1552" t="s">
        <v>1477</v>
      </c>
      <c r="E1552" t="s">
        <v>27</v>
      </c>
      <c r="F1552" t="s">
        <v>18</v>
      </c>
      <c r="G1552" t="s">
        <v>285</v>
      </c>
      <c r="H1552" t="s">
        <v>35</v>
      </c>
      <c r="I1552" t="s">
        <v>36</v>
      </c>
      <c r="J1552" t="s">
        <v>332</v>
      </c>
    </row>
    <row r="1553" spans="1:10" x14ac:dyDescent="0.25">
      <c r="A1553">
        <v>27825241</v>
      </c>
      <c r="B1553" t="s">
        <v>17</v>
      </c>
      <c r="C1553" s="4">
        <v>44771.469665625002</v>
      </c>
      <c r="D1553" t="s">
        <v>1117</v>
      </c>
      <c r="E1553" t="s">
        <v>22</v>
      </c>
      <c r="F1553" t="s">
        <v>52</v>
      </c>
      <c r="G1553" t="s">
        <v>328</v>
      </c>
      <c r="H1553" t="s">
        <v>29</v>
      </c>
      <c r="I1553" t="s">
        <v>21</v>
      </c>
      <c r="J1553" t="s">
        <v>347</v>
      </c>
    </row>
    <row r="1554" spans="1:10" x14ac:dyDescent="0.25">
      <c r="A1554">
        <v>27825269</v>
      </c>
      <c r="B1554" t="s">
        <v>17</v>
      </c>
      <c r="C1554" s="4">
        <v>44771.470041747692</v>
      </c>
      <c r="D1554" t="s">
        <v>1478</v>
      </c>
      <c r="E1554" t="s">
        <v>22</v>
      </c>
      <c r="F1554" t="s">
        <v>33</v>
      </c>
      <c r="G1554" t="s">
        <v>425</v>
      </c>
      <c r="H1554" t="s">
        <v>42</v>
      </c>
      <c r="I1554" t="s">
        <v>21</v>
      </c>
      <c r="J1554" t="s">
        <v>556</v>
      </c>
    </row>
    <row r="1555" spans="1:10" x14ac:dyDescent="0.25">
      <c r="A1555">
        <v>27825275</v>
      </c>
      <c r="B1555" t="s">
        <v>17</v>
      </c>
      <c r="C1555" s="4">
        <v>44771.470343020832</v>
      </c>
      <c r="D1555" t="s">
        <v>1229</v>
      </c>
      <c r="E1555" t="s">
        <v>38</v>
      </c>
      <c r="F1555" t="s">
        <v>52</v>
      </c>
      <c r="G1555" t="s">
        <v>145</v>
      </c>
      <c r="H1555" t="s">
        <v>29</v>
      </c>
      <c r="I1555" t="s">
        <v>21</v>
      </c>
      <c r="J1555" t="s">
        <v>1230</v>
      </c>
    </row>
    <row r="1556" spans="1:10" x14ac:dyDescent="0.25">
      <c r="A1556">
        <v>27825293</v>
      </c>
      <c r="B1556" t="s">
        <v>17</v>
      </c>
      <c r="C1556" s="4">
        <v>44771.470858738423</v>
      </c>
      <c r="D1556" t="s">
        <v>1473</v>
      </c>
      <c r="E1556" t="s">
        <v>27</v>
      </c>
      <c r="F1556" t="s">
        <v>18</v>
      </c>
      <c r="G1556" t="s">
        <v>183</v>
      </c>
      <c r="H1556" t="s">
        <v>40</v>
      </c>
      <c r="I1556" t="s">
        <v>21</v>
      </c>
      <c r="J1556" t="s">
        <v>287</v>
      </c>
    </row>
    <row r="1557" spans="1:10" x14ac:dyDescent="0.25">
      <c r="A1557">
        <v>27825302</v>
      </c>
      <c r="B1557" t="s">
        <v>17</v>
      </c>
      <c r="C1557" s="4">
        <v>44771.47125652778</v>
      </c>
      <c r="D1557" t="s">
        <v>1473</v>
      </c>
      <c r="E1557" t="s">
        <v>27</v>
      </c>
      <c r="F1557" t="s">
        <v>18</v>
      </c>
      <c r="G1557" t="s">
        <v>183</v>
      </c>
      <c r="H1557" t="s">
        <v>25</v>
      </c>
      <c r="I1557" t="s">
        <v>21</v>
      </c>
      <c r="J1557" t="s">
        <v>287</v>
      </c>
    </row>
    <row r="1558" spans="1:10" x14ac:dyDescent="0.25">
      <c r="A1558">
        <v>27825320</v>
      </c>
      <c r="B1558" t="s">
        <v>17</v>
      </c>
      <c r="C1558" s="4">
        <v>44771.471392650463</v>
      </c>
      <c r="D1558" t="s">
        <v>1479</v>
      </c>
      <c r="E1558" t="s">
        <v>38</v>
      </c>
      <c r="F1558" t="s">
        <v>23</v>
      </c>
      <c r="G1558" t="s">
        <v>224</v>
      </c>
      <c r="H1558" t="s">
        <v>40</v>
      </c>
      <c r="I1558" t="s">
        <v>21</v>
      </c>
      <c r="J1558" t="s">
        <v>406</v>
      </c>
    </row>
    <row r="1559" spans="1:10" x14ac:dyDescent="0.25">
      <c r="A1559">
        <v>27825326</v>
      </c>
      <c r="B1559" t="s">
        <v>17</v>
      </c>
      <c r="C1559" s="4">
        <v>44771.471612013891</v>
      </c>
      <c r="F1559" t="s">
        <v>52</v>
      </c>
      <c r="G1559" t="s">
        <v>145</v>
      </c>
      <c r="H1559" t="s">
        <v>195</v>
      </c>
      <c r="I1559" t="s">
        <v>21</v>
      </c>
    </row>
    <row r="1560" spans="1:10" x14ac:dyDescent="0.25">
      <c r="A1560">
        <v>27825338</v>
      </c>
      <c r="B1560" t="s">
        <v>17</v>
      </c>
      <c r="C1560" s="4">
        <v>44771.471893587957</v>
      </c>
      <c r="D1560" t="s">
        <v>1480</v>
      </c>
      <c r="E1560" t="s">
        <v>184</v>
      </c>
      <c r="F1560" t="s">
        <v>57</v>
      </c>
      <c r="G1560" t="s">
        <v>230</v>
      </c>
      <c r="H1560" t="s">
        <v>42</v>
      </c>
      <c r="I1560" t="s">
        <v>21</v>
      </c>
      <c r="J1560" t="s">
        <v>346</v>
      </c>
    </row>
    <row r="1561" spans="1:10" x14ac:dyDescent="0.25">
      <c r="A1561">
        <v>27825345</v>
      </c>
      <c r="B1561" t="s">
        <v>17</v>
      </c>
      <c r="C1561" s="4">
        <v>44771.472095648147</v>
      </c>
      <c r="F1561" t="s">
        <v>18</v>
      </c>
      <c r="G1561" t="s">
        <v>228</v>
      </c>
      <c r="H1561" t="s">
        <v>81</v>
      </c>
      <c r="I1561" t="s">
        <v>21</v>
      </c>
    </row>
    <row r="1562" spans="1:10" x14ac:dyDescent="0.25">
      <c r="A1562">
        <v>27825347</v>
      </c>
      <c r="B1562" t="s">
        <v>17</v>
      </c>
      <c r="C1562" s="4">
        <v>44771.472095960649</v>
      </c>
      <c r="F1562" t="s">
        <v>18</v>
      </c>
      <c r="G1562" t="s">
        <v>228</v>
      </c>
      <c r="H1562" t="s">
        <v>93</v>
      </c>
      <c r="I1562" t="s">
        <v>21</v>
      </c>
    </row>
    <row r="1563" spans="1:10" x14ac:dyDescent="0.25">
      <c r="A1563">
        <v>27825376</v>
      </c>
      <c r="B1563" t="s">
        <v>17</v>
      </c>
      <c r="C1563" s="4">
        <v>44771.472728877307</v>
      </c>
      <c r="D1563" t="s">
        <v>1479</v>
      </c>
      <c r="E1563" t="s">
        <v>38</v>
      </c>
      <c r="F1563" t="s">
        <v>23</v>
      </c>
      <c r="G1563" t="s">
        <v>224</v>
      </c>
      <c r="H1563" t="s">
        <v>25</v>
      </c>
      <c r="I1563" t="s">
        <v>21</v>
      </c>
      <c r="J1563" t="s">
        <v>406</v>
      </c>
    </row>
    <row r="1564" spans="1:10" x14ac:dyDescent="0.25">
      <c r="A1564">
        <v>27825389</v>
      </c>
      <c r="B1564" t="s">
        <v>17</v>
      </c>
      <c r="C1564" s="4">
        <v>44771.472932291668</v>
      </c>
      <c r="F1564" t="s">
        <v>52</v>
      </c>
      <c r="G1564" t="s">
        <v>220</v>
      </c>
      <c r="H1564" t="s">
        <v>20</v>
      </c>
      <c r="I1564" t="s">
        <v>21</v>
      </c>
    </row>
    <row r="1565" spans="1:10" x14ac:dyDescent="0.25">
      <c r="A1565">
        <v>27825396</v>
      </c>
      <c r="B1565" t="s">
        <v>17</v>
      </c>
      <c r="C1565" s="4">
        <v>44771.473028368047</v>
      </c>
      <c r="D1565" t="s">
        <v>1481</v>
      </c>
      <c r="E1565" t="s">
        <v>38</v>
      </c>
      <c r="F1565" t="s">
        <v>52</v>
      </c>
      <c r="G1565" t="s">
        <v>220</v>
      </c>
      <c r="H1565" t="s">
        <v>40</v>
      </c>
      <c r="I1565" t="s">
        <v>21</v>
      </c>
    </row>
    <row r="1566" spans="1:10" x14ac:dyDescent="0.25">
      <c r="A1566">
        <v>27825398</v>
      </c>
      <c r="B1566" t="s">
        <v>17</v>
      </c>
      <c r="C1566" s="4">
        <v>44771.473053287038</v>
      </c>
      <c r="D1566" t="s">
        <v>1476</v>
      </c>
      <c r="E1566" t="s">
        <v>27</v>
      </c>
      <c r="F1566" t="s">
        <v>18</v>
      </c>
      <c r="G1566" t="s">
        <v>226</v>
      </c>
      <c r="H1566" t="s">
        <v>40</v>
      </c>
      <c r="I1566" t="s">
        <v>21</v>
      </c>
      <c r="J1566" t="s">
        <v>356</v>
      </c>
    </row>
    <row r="1567" spans="1:10" x14ac:dyDescent="0.25">
      <c r="A1567">
        <v>27825400</v>
      </c>
      <c r="B1567" t="s">
        <v>17</v>
      </c>
      <c r="C1567" s="4">
        <v>44771.473092048611</v>
      </c>
      <c r="D1567" t="s">
        <v>1480</v>
      </c>
      <c r="E1567" t="s">
        <v>184</v>
      </c>
      <c r="F1567" t="s">
        <v>57</v>
      </c>
      <c r="G1567" t="s">
        <v>230</v>
      </c>
      <c r="H1567" t="s">
        <v>54</v>
      </c>
      <c r="I1567" t="s">
        <v>21</v>
      </c>
      <c r="J1567" t="s">
        <v>346</v>
      </c>
    </row>
    <row r="1568" spans="1:10" x14ac:dyDescent="0.25">
      <c r="A1568">
        <v>27825427</v>
      </c>
      <c r="B1568" t="s">
        <v>17</v>
      </c>
      <c r="C1568" s="4">
        <v>44771.47365</v>
      </c>
      <c r="E1568" t="s">
        <v>38</v>
      </c>
      <c r="F1568" t="s">
        <v>52</v>
      </c>
      <c r="G1568" t="s">
        <v>220</v>
      </c>
      <c r="H1568" t="s">
        <v>25</v>
      </c>
      <c r="I1568" t="s">
        <v>21</v>
      </c>
    </row>
    <row r="1569" spans="1:10" x14ac:dyDescent="0.25">
      <c r="A1569">
        <v>27825436</v>
      </c>
      <c r="B1569" t="s">
        <v>17</v>
      </c>
      <c r="C1569" s="4">
        <v>44771.473767372678</v>
      </c>
      <c r="D1569" t="s">
        <v>1476</v>
      </c>
      <c r="E1569" t="s">
        <v>27</v>
      </c>
      <c r="F1569" t="s">
        <v>18</v>
      </c>
      <c r="G1569" t="s">
        <v>226</v>
      </c>
      <c r="H1569" t="s">
        <v>25</v>
      </c>
      <c r="I1569" t="s">
        <v>21</v>
      </c>
      <c r="J1569" t="s">
        <v>356</v>
      </c>
    </row>
    <row r="1570" spans="1:10" x14ac:dyDescent="0.25">
      <c r="A1570">
        <v>27825448</v>
      </c>
      <c r="B1570" t="s">
        <v>17</v>
      </c>
      <c r="C1570" s="4">
        <v>44771.473920231481</v>
      </c>
      <c r="D1570" t="s">
        <v>1482</v>
      </c>
      <c r="E1570" t="s">
        <v>27</v>
      </c>
      <c r="F1570" t="s">
        <v>18</v>
      </c>
      <c r="G1570" t="s">
        <v>375</v>
      </c>
      <c r="H1570" t="s">
        <v>29</v>
      </c>
      <c r="I1570" t="s">
        <v>21</v>
      </c>
      <c r="J1570" t="s">
        <v>1483</v>
      </c>
    </row>
    <row r="1571" spans="1:10" x14ac:dyDescent="0.25">
      <c r="A1571">
        <v>27825468</v>
      </c>
      <c r="B1571" t="s">
        <v>17</v>
      </c>
      <c r="C1571" s="4">
        <v>44771.474429756941</v>
      </c>
      <c r="D1571" t="s">
        <v>826</v>
      </c>
      <c r="E1571" t="s">
        <v>38</v>
      </c>
      <c r="F1571" t="s">
        <v>52</v>
      </c>
      <c r="G1571" t="s">
        <v>165</v>
      </c>
      <c r="H1571" t="s">
        <v>29</v>
      </c>
      <c r="I1571" t="s">
        <v>21</v>
      </c>
      <c r="J1571" t="s">
        <v>217</v>
      </c>
    </row>
    <row r="1572" spans="1:10" x14ac:dyDescent="0.25">
      <c r="A1572">
        <v>27825491</v>
      </c>
      <c r="B1572" t="s">
        <v>17</v>
      </c>
      <c r="C1572" s="4">
        <v>44771.474900057867</v>
      </c>
      <c r="D1572" t="s">
        <v>1477</v>
      </c>
      <c r="E1572" t="s">
        <v>27</v>
      </c>
      <c r="F1572" t="s">
        <v>18</v>
      </c>
      <c r="G1572" t="s">
        <v>285</v>
      </c>
      <c r="H1572" t="s">
        <v>40</v>
      </c>
      <c r="I1572" t="s">
        <v>21</v>
      </c>
      <c r="J1572" t="s">
        <v>332</v>
      </c>
    </row>
    <row r="1573" spans="1:10" x14ac:dyDescent="0.25">
      <c r="A1573">
        <v>27825492</v>
      </c>
      <c r="B1573" t="s">
        <v>17</v>
      </c>
      <c r="C1573" s="4">
        <v>44771.474903113427</v>
      </c>
      <c r="D1573" t="s">
        <v>1484</v>
      </c>
      <c r="E1573" t="s">
        <v>27</v>
      </c>
      <c r="F1573" t="s">
        <v>49</v>
      </c>
      <c r="G1573" t="s">
        <v>128</v>
      </c>
      <c r="H1573" t="s">
        <v>42</v>
      </c>
      <c r="I1573" t="s">
        <v>21</v>
      </c>
      <c r="J1573" t="s">
        <v>1485</v>
      </c>
    </row>
    <row r="1574" spans="1:10" x14ac:dyDescent="0.25">
      <c r="A1574">
        <v>27825499</v>
      </c>
      <c r="B1574" t="s">
        <v>17</v>
      </c>
      <c r="C1574" s="4">
        <v>44771.474961134263</v>
      </c>
      <c r="D1574" t="s">
        <v>1486</v>
      </c>
      <c r="E1574" t="s">
        <v>38</v>
      </c>
      <c r="F1574" t="s">
        <v>49</v>
      </c>
      <c r="G1574" t="s">
        <v>192</v>
      </c>
      <c r="H1574" t="s">
        <v>42</v>
      </c>
      <c r="I1574" t="s">
        <v>21</v>
      </c>
      <c r="J1574" t="s">
        <v>567</v>
      </c>
    </row>
    <row r="1575" spans="1:10" x14ac:dyDescent="0.25">
      <c r="A1575">
        <v>27825508</v>
      </c>
      <c r="B1575" t="s">
        <v>17</v>
      </c>
      <c r="C1575" s="4">
        <v>44771.475119363429</v>
      </c>
      <c r="D1575" t="s">
        <v>1487</v>
      </c>
      <c r="E1575" t="s">
        <v>38</v>
      </c>
      <c r="F1575" t="s">
        <v>52</v>
      </c>
      <c r="G1575" t="s">
        <v>410</v>
      </c>
      <c r="H1575" t="s">
        <v>29</v>
      </c>
      <c r="I1575" t="s">
        <v>21</v>
      </c>
      <c r="J1575" t="s">
        <v>1488</v>
      </c>
    </row>
    <row r="1576" spans="1:10" x14ac:dyDescent="0.25">
      <c r="A1576">
        <v>27825520</v>
      </c>
      <c r="B1576" t="s">
        <v>17</v>
      </c>
      <c r="C1576" s="4">
        <v>44771.475144652781</v>
      </c>
      <c r="F1576" t="s">
        <v>18</v>
      </c>
      <c r="G1576" t="s">
        <v>228</v>
      </c>
      <c r="H1576" t="s">
        <v>81</v>
      </c>
      <c r="I1576" t="s">
        <v>21</v>
      </c>
    </row>
    <row r="1577" spans="1:10" x14ac:dyDescent="0.25">
      <c r="A1577">
        <v>27825522</v>
      </c>
      <c r="B1577" t="s">
        <v>17</v>
      </c>
      <c r="C1577" s="4">
        <v>44771.475144861113</v>
      </c>
      <c r="F1577" t="s">
        <v>18</v>
      </c>
      <c r="G1577" t="s">
        <v>228</v>
      </c>
      <c r="H1577" t="s">
        <v>93</v>
      </c>
      <c r="I1577" t="s">
        <v>21</v>
      </c>
    </row>
    <row r="1578" spans="1:10" x14ac:dyDescent="0.25">
      <c r="A1578">
        <v>27825528</v>
      </c>
      <c r="B1578" t="s">
        <v>17</v>
      </c>
      <c r="C1578" s="4">
        <v>44771.47548296296</v>
      </c>
      <c r="D1578" t="s">
        <v>1484</v>
      </c>
      <c r="E1578" t="s">
        <v>27</v>
      </c>
      <c r="F1578" t="s">
        <v>49</v>
      </c>
      <c r="G1578" t="s">
        <v>128</v>
      </c>
      <c r="H1578" t="s">
        <v>54</v>
      </c>
      <c r="I1578" t="s">
        <v>21</v>
      </c>
      <c r="J1578" t="s">
        <v>1485</v>
      </c>
    </row>
    <row r="1579" spans="1:10" x14ac:dyDescent="0.25">
      <c r="A1579">
        <v>27825531</v>
      </c>
      <c r="B1579" t="s">
        <v>17</v>
      </c>
      <c r="C1579" s="4">
        <v>44771.475515520833</v>
      </c>
      <c r="D1579" t="s">
        <v>1477</v>
      </c>
      <c r="E1579" t="s">
        <v>27</v>
      </c>
      <c r="F1579" t="s">
        <v>18</v>
      </c>
      <c r="G1579" t="s">
        <v>285</v>
      </c>
      <c r="H1579" t="s">
        <v>25</v>
      </c>
      <c r="I1579" t="s">
        <v>21</v>
      </c>
      <c r="J1579" t="s">
        <v>332</v>
      </c>
    </row>
    <row r="1580" spans="1:10" x14ac:dyDescent="0.25">
      <c r="A1580">
        <v>27825546</v>
      </c>
      <c r="B1580" t="s">
        <v>17</v>
      </c>
      <c r="C1580" s="4">
        <v>44771.475706956022</v>
      </c>
      <c r="F1580" t="s">
        <v>49</v>
      </c>
      <c r="G1580" t="s">
        <v>218</v>
      </c>
      <c r="H1580" t="s">
        <v>196</v>
      </c>
      <c r="I1580" t="s">
        <v>21</v>
      </c>
    </row>
    <row r="1581" spans="1:10" x14ac:dyDescent="0.25">
      <c r="A1581">
        <v>27825626</v>
      </c>
      <c r="B1581" t="s">
        <v>17</v>
      </c>
      <c r="C1581" s="4">
        <v>44771.477978310177</v>
      </c>
      <c r="F1581" t="s">
        <v>57</v>
      </c>
      <c r="G1581" t="s">
        <v>335</v>
      </c>
      <c r="H1581" t="s">
        <v>20</v>
      </c>
      <c r="I1581" t="s">
        <v>21</v>
      </c>
    </row>
    <row r="1582" spans="1:10" x14ac:dyDescent="0.25">
      <c r="A1582">
        <v>27825649</v>
      </c>
      <c r="B1582" t="s">
        <v>17</v>
      </c>
      <c r="C1582" s="4">
        <v>44771.478506562496</v>
      </c>
      <c r="D1582" t="s">
        <v>1489</v>
      </c>
      <c r="E1582" t="s">
        <v>38</v>
      </c>
      <c r="F1582" t="s">
        <v>52</v>
      </c>
      <c r="G1582" t="s">
        <v>134</v>
      </c>
      <c r="H1582" t="s">
        <v>29</v>
      </c>
      <c r="I1582" t="s">
        <v>21</v>
      </c>
      <c r="J1582" t="s">
        <v>1490</v>
      </c>
    </row>
    <row r="1583" spans="1:10" x14ac:dyDescent="0.25">
      <c r="A1583">
        <v>27825658</v>
      </c>
      <c r="B1583" t="s">
        <v>17</v>
      </c>
      <c r="C1583" s="4">
        <v>44771.478626782409</v>
      </c>
      <c r="F1583" t="s">
        <v>49</v>
      </c>
      <c r="G1583" t="s">
        <v>201</v>
      </c>
      <c r="H1583" t="s">
        <v>195</v>
      </c>
      <c r="I1583" t="s">
        <v>21</v>
      </c>
    </row>
    <row r="1584" spans="1:10" x14ac:dyDescent="0.25">
      <c r="A1584">
        <v>27825680</v>
      </c>
      <c r="B1584" t="s">
        <v>17</v>
      </c>
      <c r="C1584" s="4">
        <v>44771.479201134258</v>
      </c>
      <c r="F1584" t="s">
        <v>18</v>
      </c>
      <c r="G1584" t="s">
        <v>228</v>
      </c>
      <c r="H1584" t="s">
        <v>81</v>
      </c>
      <c r="I1584" t="s">
        <v>21</v>
      </c>
    </row>
    <row r="1585" spans="1:10" x14ac:dyDescent="0.25">
      <c r="A1585">
        <v>27825682</v>
      </c>
      <c r="B1585" t="s">
        <v>17</v>
      </c>
      <c r="C1585" s="4">
        <v>44771.479201354166</v>
      </c>
      <c r="F1585" t="s">
        <v>18</v>
      </c>
      <c r="G1585" t="s">
        <v>228</v>
      </c>
      <c r="H1585" t="s">
        <v>93</v>
      </c>
      <c r="I1585" t="s">
        <v>21</v>
      </c>
    </row>
    <row r="1586" spans="1:10" x14ac:dyDescent="0.25">
      <c r="A1586">
        <v>27825702</v>
      </c>
      <c r="B1586" t="s">
        <v>17</v>
      </c>
      <c r="C1586" s="4">
        <v>44771.479419861113</v>
      </c>
      <c r="D1586" t="s">
        <v>1480</v>
      </c>
      <c r="E1586" t="s">
        <v>184</v>
      </c>
      <c r="F1586" t="s">
        <v>57</v>
      </c>
      <c r="G1586" t="s">
        <v>230</v>
      </c>
      <c r="H1586" t="s">
        <v>40</v>
      </c>
      <c r="I1586" t="s">
        <v>21</v>
      </c>
      <c r="J1586" t="s">
        <v>346</v>
      </c>
    </row>
    <row r="1587" spans="1:10" x14ac:dyDescent="0.25">
      <c r="A1587">
        <v>27825703</v>
      </c>
      <c r="B1587" t="s">
        <v>17</v>
      </c>
      <c r="C1587" s="4">
        <v>44771.479466446763</v>
      </c>
      <c r="D1587" t="s">
        <v>1491</v>
      </c>
      <c r="E1587" t="s">
        <v>48</v>
      </c>
      <c r="F1587" t="s">
        <v>49</v>
      </c>
      <c r="G1587" t="s">
        <v>73</v>
      </c>
      <c r="H1587" t="s">
        <v>29</v>
      </c>
      <c r="I1587" t="s">
        <v>21</v>
      </c>
      <c r="J1587" t="s">
        <v>1492</v>
      </c>
    </row>
    <row r="1588" spans="1:10" x14ac:dyDescent="0.25">
      <c r="A1588">
        <v>27825718</v>
      </c>
      <c r="B1588" t="s">
        <v>17</v>
      </c>
      <c r="C1588" s="4">
        <v>44771.479732094907</v>
      </c>
      <c r="D1588" t="s">
        <v>1480</v>
      </c>
      <c r="E1588" t="s">
        <v>184</v>
      </c>
      <c r="F1588" t="s">
        <v>57</v>
      </c>
      <c r="G1588" t="s">
        <v>230</v>
      </c>
      <c r="H1588" t="s">
        <v>25</v>
      </c>
      <c r="I1588" t="s">
        <v>21</v>
      </c>
      <c r="J1588" t="s">
        <v>346</v>
      </c>
    </row>
    <row r="1589" spans="1:10" x14ac:dyDescent="0.25">
      <c r="A1589">
        <v>27825737</v>
      </c>
      <c r="B1589" t="s">
        <v>17</v>
      </c>
      <c r="C1589" s="4">
        <v>44771.480111608798</v>
      </c>
      <c r="D1589" t="s">
        <v>1493</v>
      </c>
      <c r="E1589" t="s">
        <v>72</v>
      </c>
      <c r="F1589" t="s">
        <v>49</v>
      </c>
      <c r="G1589" t="s">
        <v>50</v>
      </c>
      <c r="H1589" t="s">
        <v>42</v>
      </c>
      <c r="I1589" t="s">
        <v>21</v>
      </c>
      <c r="J1589" t="s">
        <v>361</v>
      </c>
    </row>
    <row r="1590" spans="1:10" x14ac:dyDescent="0.25">
      <c r="A1590">
        <v>27825750</v>
      </c>
      <c r="B1590" t="s">
        <v>17</v>
      </c>
      <c r="C1590" s="4">
        <v>44771.480439895837</v>
      </c>
      <c r="F1590" t="s">
        <v>18</v>
      </c>
      <c r="G1590" t="s">
        <v>228</v>
      </c>
      <c r="H1590" t="s">
        <v>81</v>
      </c>
      <c r="I1590" t="s">
        <v>21</v>
      </c>
    </row>
    <row r="1591" spans="1:10" x14ac:dyDescent="0.25">
      <c r="A1591">
        <v>27825752</v>
      </c>
      <c r="B1591" t="s">
        <v>17</v>
      </c>
      <c r="C1591" s="4">
        <v>44771.480440104169</v>
      </c>
      <c r="F1591" t="s">
        <v>18</v>
      </c>
      <c r="G1591" t="s">
        <v>228</v>
      </c>
      <c r="H1591" t="s">
        <v>93</v>
      </c>
      <c r="I1591" t="s">
        <v>21</v>
      </c>
    </row>
    <row r="1592" spans="1:10" x14ac:dyDescent="0.25">
      <c r="A1592">
        <v>27825777</v>
      </c>
      <c r="B1592" t="s">
        <v>17</v>
      </c>
      <c r="C1592" s="4">
        <v>44771.48124158565</v>
      </c>
      <c r="D1592" t="s">
        <v>1486</v>
      </c>
      <c r="E1592" t="s">
        <v>38</v>
      </c>
      <c r="F1592" t="s">
        <v>49</v>
      </c>
      <c r="G1592" t="s">
        <v>192</v>
      </c>
      <c r="H1592" t="s">
        <v>54</v>
      </c>
      <c r="I1592" t="s">
        <v>21</v>
      </c>
      <c r="J1592" t="s">
        <v>567</v>
      </c>
    </row>
    <row r="1593" spans="1:10" x14ac:dyDescent="0.25">
      <c r="A1593">
        <v>27825790</v>
      </c>
      <c r="B1593" t="s">
        <v>17</v>
      </c>
      <c r="C1593" s="4">
        <v>44771.481541851848</v>
      </c>
      <c r="D1593" t="s">
        <v>1486</v>
      </c>
      <c r="E1593" t="s">
        <v>38</v>
      </c>
      <c r="F1593" t="s">
        <v>49</v>
      </c>
      <c r="G1593" t="s">
        <v>192</v>
      </c>
      <c r="H1593" t="s">
        <v>222</v>
      </c>
      <c r="I1593" t="s">
        <v>21</v>
      </c>
      <c r="J1593" t="s">
        <v>567</v>
      </c>
    </row>
    <row r="1594" spans="1:10" x14ac:dyDescent="0.25">
      <c r="A1594">
        <v>27825795</v>
      </c>
      <c r="B1594" t="s">
        <v>17</v>
      </c>
      <c r="C1594" s="4">
        <v>44771.481676284733</v>
      </c>
      <c r="D1594" t="s">
        <v>1484</v>
      </c>
      <c r="E1594" t="s">
        <v>27</v>
      </c>
      <c r="F1594" t="s">
        <v>49</v>
      </c>
      <c r="G1594" t="s">
        <v>128</v>
      </c>
      <c r="H1594" t="s">
        <v>40</v>
      </c>
      <c r="I1594" t="s">
        <v>21</v>
      </c>
      <c r="J1594" t="s">
        <v>1485</v>
      </c>
    </row>
    <row r="1595" spans="1:10" x14ac:dyDescent="0.25">
      <c r="A1595">
        <v>27825802</v>
      </c>
      <c r="B1595" t="s">
        <v>17</v>
      </c>
      <c r="C1595" s="4">
        <v>44771.481789699072</v>
      </c>
      <c r="D1595" t="s">
        <v>1494</v>
      </c>
      <c r="E1595" t="s">
        <v>48</v>
      </c>
      <c r="F1595" t="s">
        <v>49</v>
      </c>
      <c r="G1595" t="s">
        <v>359</v>
      </c>
      <c r="H1595" t="s">
        <v>42</v>
      </c>
      <c r="I1595" t="s">
        <v>21</v>
      </c>
      <c r="J1595" t="s">
        <v>1495</v>
      </c>
    </row>
    <row r="1596" spans="1:10" x14ac:dyDescent="0.25">
      <c r="A1596">
        <v>27825808</v>
      </c>
      <c r="B1596" t="s">
        <v>17</v>
      </c>
      <c r="C1596" s="4">
        <v>44771.481879560182</v>
      </c>
      <c r="D1596" t="s">
        <v>1486</v>
      </c>
      <c r="E1596" t="s">
        <v>38</v>
      </c>
      <c r="F1596" t="s">
        <v>49</v>
      </c>
      <c r="G1596" t="s">
        <v>192</v>
      </c>
      <c r="H1596" t="s">
        <v>93</v>
      </c>
      <c r="I1596" t="s">
        <v>21</v>
      </c>
      <c r="J1596" t="s">
        <v>567</v>
      </c>
    </row>
    <row r="1597" spans="1:10" x14ac:dyDescent="0.25">
      <c r="A1597">
        <v>27825815</v>
      </c>
      <c r="B1597" t="s">
        <v>17</v>
      </c>
      <c r="C1597" s="4">
        <v>44771.481904664353</v>
      </c>
      <c r="D1597" t="s">
        <v>1486</v>
      </c>
      <c r="E1597" t="s">
        <v>38</v>
      </c>
      <c r="F1597" t="s">
        <v>49</v>
      </c>
      <c r="G1597" t="s">
        <v>192</v>
      </c>
      <c r="H1597" t="s">
        <v>42</v>
      </c>
      <c r="I1597" t="s">
        <v>21</v>
      </c>
      <c r="J1597" t="s">
        <v>567</v>
      </c>
    </row>
    <row r="1598" spans="1:10" x14ac:dyDescent="0.25">
      <c r="A1598">
        <v>27825829</v>
      </c>
      <c r="B1598" t="s">
        <v>17</v>
      </c>
      <c r="C1598" s="4">
        <v>44771.482119016197</v>
      </c>
      <c r="F1598" t="s">
        <v>18</v>
      </c>
      <c r="G1598" t="s">
        <v>228</v>
      </c>
      <c r="H1598" t="s">
        <v>81</v>
      </c>
      <c r="I1598" t="s">
        <v>21</v>
      </c>
    </row>
    <row r="1599" spans="1:10" x14ac:dyDescent="0.25">
      <c r="A1599">
        <v>27825833</v>
      </c>
      <c r="B1599" t="s">
        <v>17</v>
      </c>
      <c r="C1599" s="4">
        <v>44771.48218634259</v>
      </c>
      <c r="D1599" t="s">
        <v>1486</v>
      </c>
      <c r="E1599" t="s">
        <v>38</v>
      </c>
      <c r="F1599" t="s">
        <v>49</v>
      </c>
      <c r="G1599" t="s">
        <v>192</v>
      </c>
      <c r="H1599" t="s">
        <v>54</v>
      </c>
      <c r="I1599" t="s">
        <v>21</v>
      </c>
      <c r="J1599" t="s">
        <v>567</v>
      </c>
    </row>
    <row r="1600" spans="1:10" x14ac:dyDescent="0.25">
      <c r="A1600">
        <v>27825835</v>
      </c>
      <c r="B1600" t="s">
        <v>17</v>
      </c>
      <c r="C1600" s="4">
        <v>44771.482197673613</v>
      </c>
      <c r="F1600" t="s">
        <v>18</v>
      </c>
      <c r="G1600" t="s">
        <v>228</v>
      </c>
      <c r="H1600" t="s">
        <v>93</v>
      </c>
      <c r="I1600" t="s">
        <v>21</v>
      </c>
    </row>
    <row r="1601" spans="1:10" x14ac:dyDescent="0.25">
      <c r="A1601">
        <v>27825841</v>
      </c>
      <c r="B1601" t="s">
        <v>17</v>
      </c>
      <c r="C1601" s="4">
        <v>44771.482307361111</v>
      </c>
      <c r="D1601" t="s">
        <v>1484</v>
      </c>
      <c r="E1601" t="s">
        <v>27</v>
      </c>
      <c r="F1601" t="s">
        <v>49</v>
      </c>
      <c r="G1601" t="s">
        <v>128</v>
      </c>
      <c r="H1601" t="s">
        <v>25</v>
      </c>
      <c r="I1601" t="s">
        <v>21</v>
      </c>
      <c r="J1601" t="s">
        <v>1485</v>
      </c>
    </row>
    <row r="1602" spans="1:10" x14ac:dyDescent="0.25">
      <c r="A1602">
        <v>27825888</v>
      </c>
      <c r="B1602" t="s">
        <v>17</v>
      </c>
      <c r="C1602" s="4">
        <v>44771.483344942128</v>
      </c>
      <c r="D1602" t="s">
        <v>1486</v>
      </c>
      <c r="E1602" t="s">
        <v>38</v>
      </c>
      <c r="F1602" t="s">
        <v>49</v>
      </c>
      <c r="G1602" t="s">
        <v>192</v>
      </c>
      <c r="H1602" t="s">
        <v>40</v>
      </c>
      <c r="I1602" t="s">
        <v>21</v>
      </c>
      <c r="J1602" t="s">
        <v>567</v>
      </c>
    </row>
    <row r="1603" spans="1:10" x14ac:dyDescent="0.25">
      <c r="A1603">
        <v>27825895</v>
      </c>
      <c r="B1603" t="s">
        <v>17</v>
      </c>
      <c r="C1603" s="4">
        <v>44771.484036238428</v>
      </c>
      <c r="D1603" t="s">
        <v>1486</v>
      </c>
      <c r="E1603" t="s">
        <v>38</v>
      </c>
      <c r="F1603" t="s">
        <v>49</v>
      </c>
      <c r="G1603" t="s">
        <v>192</v>
      </c>
      <c r="H1603" t="s">
        <v>25</v>
      </c>
      <c r="I1603" t="s">
        <v>21</v>
      </c>
      <c r="J1603" t="s">
        <v>567</v>
      </c>
    </row>
    <row r="1604" spans="1:10" x14ac:dyDescent="0.25">
      <c r="A1604">
        <v>27825910</v>
      </c>
      <c r="B1604" t="s">
        <v>17</v>
      </c>
      <c r="C1604" s="4">
        <v>44771.484158009262</v>
      </c>
      <c r="D1604" t="s">
        <v>1496</v>
      </c>
      <c r="E1604" t="s">
        <v>38</v>
      </c>
      <c r="F1604" t="s">
        <v>52</v>
      </c>
      <c r="G1604" t="s">
        <v>229</v>
      </c>
      <c r="H1604" t="s">
        <v>29</v>
      </c>
      <c r="I1604" t="s">
        <v>21</v>
      </c>
      <c r="J1604" t="s">
        <v>1497</v>
      </c>
    </row>
    <row r="1605" spans="1:10" x14ac:dyDescent="0.25">
      <c r="A1605">
        <v>27825920</v>
      </c>
      <c r="B1605" t="s">
        <v>17</v>
      </c>
      <c r="C1605" s="4">
        <v>44771.484314641202</v>
      </c>
      <c r="D1605" t="s">
        <v>1328</v>
      </c>
      <c r="E1605" t="s">
        <v>38</v>
      </c>
      <c r="F1605" t="s">
        <v>52</v>
      </c>
      <c r="G1605" t="s">
        <v>53</v>
      </c>
      <c r="H1605" t="s">
        <v>29</v>
      </c>
      <c r="I1605" t="s">
        <v>21</v>
      </c>
      <c r="J1605" t="s">
        <v>813</v>
      </c>
    </row>
    <row r="1606" spans="1:10" x14ac:dyDescent="0.25">
      <c r="A1606">
        <v>27825944</v>
      </c>
      <c r="B1606" t="s">
        <v>17</v>
      </c>
      <c r="C1606" s="4">
        <v>44771.484856782408</v>
      </c>
      <c r="D1606" t="s">
        <v>1498</v>
      </c>
      <c r="E1606" t="s">
        <v>62</v>
      </c>
      <c r="F1606" t="s">
        <v>49</v>
      </c>
      <c r="G1606" t="s">
        <v>359</v>
      </c>
      <c r="H1606" t="s">
        <v>42</v>
      </c>
      <c r="I1606" t="s">
        <v>21</v>
      </c>
      <c r="J1606" t="s">
        <v>345</v>
      </c>
    </row>
    <row r="1607" spans="1:10" x14ac:dyDescent="0.25">
      <c r="A1607">
        <v>27825955</v>
      </c>
      <c r="B1607" t="s">
        <v>17</v>
      </c>
      <c r="C1607" s="4">
        <v>44771.485146122694</v>
      </c>
      <c r="D1607" t="s">
        <v>1499</v>
      </c>
      <c r="E1607" t="s">
        <v>129</v>
      </c>
      <c r="F1607" t="s">
        <v>49</v>
      </c>
      <c r="G1607" t="s">
        <v>74</v>
      </c>
      <c r="H1607" t="s">
        <v>42</v>
      </c>
      <c r="I1607" t="s">
        <v>21</v>
      </c>
      <c r="J1607" t="s">
        <v>360</v>
      </c>
    </row>
    <row r="1608" spans="1:10" x14ac:dyDescent="0.25">
      <c r="A1608">
        <v>27825961</v>
      </c>
      <c r="B1608" t="s">
        <v>17</v>
      </c>
      <c r="C1608" s="4">
        <v>44771.485324398149</v>
      </c>
      <c r="D1608" t="s">
        <v>1499</v>
      </c>
      <c r="E1608" t="s">
        <v>129</v>
      </c>
      <c r="F1608" t="s">
        <v>49</v>
      </c>
      <c r="G1608" t="s">
        <v>74</v>
      </c>
      <c r="H1608" t="s">
        <v>239</v>
      </c>
      <c r="I1608" t="s">
        <v>21</v>
      </c>
      <c r="J1608" t="s">
        <v>360</v>
      </c>
    </row>
    <row r="1609" spans="1:10" x14ac:dyDescent="0.25">
      <c r="A1609">
        <v>27825962</v>
      </c>
      <c r="B1609" t="s">
        <v>17</v>
      </c>
      <c r="C1609" s="4">
        <v>44771.485332164353</v>
      </c>
      <c r="D1609" t="s">
        <v>1499</v>
      </c>
      <c r="E1609" t="s">
        <v>129</v>
      </c>
      <c r="F1609" t="s">
        <v>49</v>
      </c>
      <c r="G1609" t="s">
        <v>74</v>
      </c>
      <c r="H1609" t="s">
        <v>240</v>
      </c>
      <c r="I1609" t="s">
        <v>21</v>
      </c>
      <c r="J1609" t="s">
        <v>360</v>
      </c>
    </row>
    <row r="1610" spans="1:10" x14ac:dyDescent="0.25">
      <c r="A1610">
        <v>27825966</v>
      </c>
      <c r="B1610" t="s">
        <v>17</v>
      </c>
      <c r="C1610" s="4">
        <v>44771.485414259259</v>
      </c>
      <c r="D1610" t="s">
        <v>1494</v>
      </c>
      <c r="E1610" t="s">
        <v>48</v>
      </c>
      <c r="F1610" t="s">
        <v>49</v>
      </c>
      <c r="G1610" t="s">
        <v>359</v>
      </c>
      <c r="H1610" t="s">
        <v>239</v>
      </c>
      <c r="I1610" t="s">
        <v>21</v>
      </c>
      <c r="J1610" t="s">
        <v>1495</v>
      </c>
    </row>
    <row r="1611" spans="1:10" x14ac:dyDescent="0.25">
      <c r="A1611">
        <v>27825967</v>
      </c>
      <c r="B1611" t="s">
        <v>17</v>
      </c>
      <c r="C1611" s="4">
        <v>44771.485423252307</v>
      </c>
      <c r="D1611" t="s">
        <v>1494</v>
      </c>
      <c r="E1611" t="s">
        <v>48</v>
      </c>
      <c r="F1611" t="s">
        <v>49</v>
      </c>
      <c r="G1611" t="s">
        <v>359</v>
      </c>
      <c r="H1611" t="s">
        <v>240</v>
      </c>
      <c r="I1611" t="s">
        <v>21</v>
      </c>
      <c r="J1611" t="s">
        <v>1495</v>
      </c>
    </row>
    <row r="1612" spans="1:10" x14ac:dyDescent="0.25">
      <c r="A1612">
        <v>27826027</v>
      </c>
      <c r="B1612" t="s">
        <v>17</v>
      </c>
      <c r="C1612" s="4">
        <v>44771.486362407413</v>
      </c>
      <c r="D1612" t="s">
        <v>1500</v>
      </c>
      <c r="E1612" t="s">
        <v>62</v>
      </c>
      <c r="F1612" t="s">
        <v>57</v>
      </c>
      <c r="G1612" t="s">
        <v>335</v>
      </c>
      <c r="H1612" t="s">
        <v>40</v>
      </c>
      <c r="I1612" t="s">
        <v>21</v>
      </c>
    </row>
    <row r="1613" spans="1:10" x14ac:dyDescent="0.25">
      <c r="A1613">
        <v>27826040</v>
      </c>
      <c r="B1613" t="s">
        <v>17</v>
      </c>
      <c r="C1613" s="4">
        <v>44771.486655231478</v>
      </c>
      <c r="D1613" t="s">
        <v>1501</v>
      </c>
      <c r="E1613" t="s">
        <v>38</v>
      </c>
      <c r="F1613" t="s">
        <v>31</v>
      </c>
      <c r="G1613" t="s">
        <v>39</v>
      </c>
      <c r="H1613" t="s">
        <v>29</v>
      </c>
      <c r="I1613" t="s">
        <v>21</v>
      </c>
      <c r="J1613" t="s">
        <v>352</v>
      </c>
    </row>
    <row r="1614" spans="1:10" x14ac:dyDescent="0.25">
      <c r="A1614">
        <v>27826055</v>
      </c>
      <c r="B1614" t="s">
        <v>17</v>
      </c>
      <c r="C1614" s="4">
        <v>44771.486751712961</v>
      </c>
      <c r="D1614" t="s">
        <v>1493</v>
      </c>
      <c r="E1614" t="s">
        <v>72</v>
      </c>
      <c r="F1614" t="s">
        <v>49</v>
      </c>
      <c r="G1614" t="s">
        <v>50</v>
      </c>
      <c r="H1614" t="s">
        <v>239</v>
      </c>
      <c r="I1614" t="s">
        <v>21</v>
      </c>
      <c r="J1614" t="s">
        <v>361</v>
      </c>
    </row>
    <row r="1615" spans="1:10" x14ac:dyDescent="0.25">
      <c r="A1615">
        <v>27826057</v>
      </c>
      <c r="B1615" t="s">
        <v>17</v>
      </c>
      <c r="C1615" s="4">
        <v>44771.486758425926</v>
      </c>
      <c r="D1615" t="s">
        <v>1493</v>
      </c>
      <c r="E1615" t="s">
        <v>72</v>
      </c>
      <c r="F1615" t="s">
        <v>49</v>
      </c>
      <c r="G1615" t="s">
        <v>50</v>
      </c>
      <c r="H1615" t="s">
        <v>240</v>
      </c>
      <c r="I1615" t="s">
        <v>21</v>
      </c>
      <c r="J1615" t="s">
        <v>361</v>
      </c>
    </row>
    <row r="1616" spans="1:10" x14ac:dyDescent="0.25">
      <c r="A1616">
        <v>27826070</v>
      </c>
      <c r="B1616" t="s">
        <v>17</v>
      </c>
      <c r="C1616" s="4">
        <v>44771.486898009258</v>
      </c>
      <c r="D1616" t="s">
        <v>1500</v>
      </c>
      <c r="E1616" t="s">
        <v>62</v>
      </c>
      <c r="F1616" t="s">
        <v>57</v>
      </c>
      <c r="G1616" t="s">
        <v>335</v>
      </c>
      <c r="H1616" t="s">
        <v>25</v>
      </c>
      <c r="I1616" t="s">
        <v>21</v>
      </c>
    </row>
    <row r="1617" spans="1:10" x14ac:dyDescent="0.25">
      <c r="A1617">
        <v>27826077</v>
      </c>
      <c r="B1617" t="s">
        <v>17</v>
      </c>
      <c r="C1617" s="4">
        <v>44771.486917048613</v>
      </c>
      <c r="D1617" t="s">
        <v>1502</v>
      </c>
      <c r="E1617" t="s">
        <v>62</v>
      </c>
      <c r="F1617" t="s">
        <v>57</v>
      </c>
      <c r="G1617" t="s">
        <v>76</v>
      </c>
      <c r="H1617" t="s">
        <v>29</v>
      </c>
      <c r="I1617" t="s">
        <v>21</v>
      </c>
      <c r="J1617" t="s">
        <v>1503</v>
      </c>
    </row>
    <row r="1618" spans="1:10" x14ac:dyDescent="0.25">
      <c r="A1618">
        <v>27826100</v>
      </c>
      <c r="B1618" t="s">
        <v>17</v>
      </c>
      <c r="C1618" s="4">
        <v>44771.487532303239</v>
      </c>
      <c r="F1618" t="s">
        <v>18</v>
      </c>
      <c r="G1618" t="s">
        <v>228</v>
      </c>
      <c r="H1618" t="s">
        <v>81</v>
      </c>
      <c r="I1618" t="s">
        <v>21</v>
      </c>
    </row>
    <row r="1619" spans="1:10" x14ac:dyDescent="0.25">
      <c r="A1619">
        <v>27826102</v>
      </c>
      <c r="B1619" t="s">
        <v>17</v>
      </c>
      <c r="C1619" s="4">
        <v>44771.487532488427</v>
      </c>
      <c r="F1619" t="s">
        <v>18</v>
      </c>
      <c r="G1619" t="s">
        <v>228</v>
      </c>
      <c r="H1619" t="s">
        <v>93</v>
      </c>
      <c r="I1619" t="s">
        <v>21</v>
      </c>
    </row>
    <row r="1620" spans="1:10" x14ac:dyDescent="0.25">
      <c r="A1620">
        <v>27826111</v>
      </c>
      <c r="B1620" t="s">
        <v>17</v>
      </c>
      <c r="C1620" s="4">
        <v>44771.488055914349</v>
      </c>
      <c r="D1620" t="s">
        <v>1493</v>
      </c>
      <c r="E1620" t="s">
        <v>72</v>
      </c>
      <c r="F1620" t="s">
        <v>49</v>
      </c>
      <c r="G1620" t="s">
        <v>50</v>
      </c>
      <c r="H1620" t="s">
        <v>40</v>
      </c>
      <c r="I1620" t="s">
        <v>21</v>
      </c>
      <c r="J1620" t="s">
        <v>361</v>
      </c>
    </row>
    <row r="1621" spans="1:10" x14ac:dyDescent="0.25">
      <c r="A1621">
        <v>27826123</v>
      </c>
      <c r="B1621" t="s">
        <v>17</v>
      </c>
      <c r="C1621" s="4">
        <v>44771.488387048608</v>
      </c>
      <c r="D1621" t="s">
        <v>1504</v>
      </c>
      <c r="E1621" t="s">
        <v>38</v>
      </c>
      <c r="F1621" t="s">
        <v>49</v>
      </c>
      <c r="G1621" t="s">
        <v>250</v>
      </c>
      <c r="H1621" t="s">
        <v>42</v>
      </c>
      <c r="I1621" t="s">
        <v>21</v>
      </c>
      <c r="J1621" t="s">
        <v>350</v>
      </c>
    </row>
    <row r="1622" spans="1:10" x14ac:dyDescent="0.25">
      <c r="A1622">
        <v>27826129</v>
      </c>
      <c r="B1622" t="s">
        <v>17</v>
      </c>
      <c r="C1622" s="4">
        <v>44771.488517013888</v>
      </c>
      <c r="F1622" t="s">
        <v>18</v>
      </c>
      <c r="G1622" t="s">
        <v>228</v>
      </c>
      <c r="H1622" t="s">
        <v>81</v>
      </c>
      <c r="I1622" t="s">
        <v>21</v>
      </c>
    </row>
    <row r="1623" spans="1:10" x14ac:dyDescent="0.25">
      <c r="A1623">
        <v>27826131</v>
      </c>
      <c r="B1623" t="s">
        <v>17</v>
      </c>
      <c r="C1623" s="4">
        <v>44771.488517210651</v>
      </c>
      <c r="F1623" t="s">
        <v>18</v>
      </c>
      <c r="G1623" t="s">
        <v>228</v>
      </c>
      <c r="H1623" t="s">
        <v>93</v>
      </c>
      <c r="I1623" t="s">
        <v>21</v>
      </c>
    </row>
    <row r="1624" spans="1:10" x14ac:dyDescent="0.25">
      <c r="A1624">
        <v>27826134</v>
      </c>
      <c r="B1624" t="s">
        <v>17</v>
      </c>
      <c r="C1624" s="4">
        <v>44771.488607025472</v>
      </c>
      <c r="D1624" t="s">
        <v>1493</v>
      </c>
      <c r="E1624" t="s">
        <v>72</v>
      </c>
      <c r="F1624" t="s">
        <v>49</v>
      </c>
      <c r="G1624" t="s">
        <v>50</v>
      </c>
      <c r="H1624" t="s">
        <v>25</v>
      </c>
      <c r="I1624" t="s">
        <v>21</v>
      </c>
      <c r="J1624" t="s">
        <v>361</v>
      </c>
    </row>
    <row r="1625" spans="1:10" x14ac:dyDescent="0.25">
      <c r="A1625">
        <v>27826168</v>
      </c>
      <c r="B1625" t="s">
        <v>17</v>
      </c>
      <c r="C1625" s="4">
        <v>44771.489491400462</v>
      </c>
      <c r="D1625" t="s">
        <v>1494</v>
      </c>
      <c r="E1625" t="s">
        <v>48</v>
      </c>
      <c r="F1625" t="s">
        <v>49</v>
      </c>
      <c r="G1625" t="s">
        <v>359</v>
      </c>
      <c r="H1625" t="s">
        <v>40</v>
      </c>
      <c r="I1625" t="s">
        <v>21</v>
      </c>
      <c r="J1625" t="s">
        <v>1495</v>
      </c>
    </row>
    <row r="1626" spans="1:10" x14ac:dyDescent="0.25">
      <c r="A1626">
        <v>27826180</v>
      </c>
      <c r="B1626" t="s">
        <v>17</v>
      </c>
      <c r="C1626" s="4">
        <v>44771.489620046297</v>
      </c>
      <c r="D1626" t="s">
        <v>1505</v>
      </c>
      <c r="E1626" t="s">
        <v>387</v>
      </c>
      <c r="F1626" t="s">
        <v>18</v>
      </c>
      <c r="G1626" t="s">
        <v>262</v>
      </c>
      <c r="H1626" t="s">
        <v>29</v>
      </c>
      <c r="I1626" t="s">
        <v>21</v>
      </c>
      <c r="J1626" t="s">
        <v>1408</v>
      </c>
    </row>
    <row r="1627" spans="1:10" x14ac:dyDescent="0.25">
      <c r="A1627">
        <v>27826208</v>
      </c>
      <c r="B1627" t="s">
        <v>17</v>
      </c>
      <c r="C1627" s="4">
        <v>44771.489920358799</v>
      </c>
      <c r="D1627" t="s">
        <v>1504</v>
      </c>
      <c r="E1627" t="s">
        <v>38</v>
      </c>
      <c r="F1627" t="s">
        <v>49</v>
      </c>
      <c r="G1627" t="s">
        <v>250</v>
      </c>
      <c r="H1627" t="s">
        <v>54</v>
      </c>
      <c r="I1627" t="s">
        <v>21</v>
      </c>
      <c r="J1627" t="s">
        <v>350</v>
      </c>
    </row>
    <row r="1628" spans="1:10" x14ac:dyDescent="0.25">
      <c r="A1628">
        <v>27826213</v>
      </c>
      <c r="B1628" t="s">
        <v>17</v>
      </c>
      <c r="C1628" s="4">
        <v>44771.490013483803</v>
      </c>
      <c r="F1628" t="s">
        <v>18</v>
      </c>
      <c r="G1628" t="s">
        <v>228</v>
      </c>
      <c r="H1628" t="s">
        <v>81</v>
      </c>
      <c r="I1628" t="s">
        <v>21</v>
      </c>
    </row>
    <row r="1629" spans="1:10" x14ac:dyDescent="0.25">
      <c r="A1629">
        <v>27826216</v>
      </c>
      <c r="B1629" t="s">
        <v>17</v>
      </c>
      <c r="C1629" s="4">
        <v>44771.490091331019</v>
      </c>
      <c r="F1629" t="s">
        <v>18</v>
      </c>
      <c r="G1629" t="s">
        <v>228</v>
      </c>
      <c r="H1629" t="s">
        <v>93</v>
      </c>
      <c r="I1629" t="s">
        <v>21</v>
      </c>
    </row>
    <row r="1630" spans="1:10" x14ac:dyDescent="0.25">
      <c r="A1630">
        <v>27826219</v>
      </c>
      <c r="B1630" t="s">
        <v>17</v>
      </c>
      <c r="C1630" s="4">
        <v>44771.490189085649</v>
      </c>
      <c r="D1630" t="s">
        <v>1494</v>
      </c>
      <c r="E1630" t="s">
        <v>48</v>
      </c>
      <c r="F1630" t="s">
        <v>49</v>
      </c>
      <c r="G1630" t="s">
        <v>359</v>
      </c>
      <c r="H1630" t="s">
        <v>25</v>
      </c>
      <c r="I1630" t="s">
        <v>21</v>
      </c>
      <c r="J1630" t="s">
        <v>1495</v>
      </c>
    </row>
    <row r="1631" spans="1:10" x14ac:dyDescent="0.25">
      <c r="A1631">
        <v>27826238</v>
      </c>
      <c r="B1631" t="s">
        <v>17</v>
      </c>
      <c r="C1631" s="4">
        <v>44771.490329780092</v>
      </c>
      <c r="D1631" t="s">
        <v>1498</v>
      </c>
      <c r="E1631" t="s">
        <v>62</v>
      </c>
      <c r="F1631" t="s">
        <v>49</v>
      </c>
      <c r="G1631" t="s">
        <v>359</v>
      </c>
      <c r="H1631" t="s">
        <v>239</v>
      </c>
      <c r="I1631" t="s">
        <v>21</v>
      </c>
      <c r="J1631" t="s">
        <v>345</v>
      </c>
    </row>
    <row r="1632" spans="1:10" x14ac:dyDescent="0.25">
      <c r="A1632">
        <v>27826239</v>
      </c>
      <c r="B1632" t="s">
        <v>17</v>
      </c>
      <c r="C1632" s="4">
        <v>44771.490339062497</v>
      </c>
      <c r="D1632" t="s">
        <v>1498</v>
      </c>
      <c r="E1632" t="s">
        <v>62</v>
      </c>
      <c r="F1632" t="s">
        <v>49</v>
      </c>
      <c r="G1632" t="s">
        <v>359</v>
      </c>
      <c r="H1632" t="s">
        <v>240</v>
      </c>
      <c r="I1632" t="s">
        <v>21</v>
      </c>
      <c r="J1632" t="s">
        <v>345</v>
      </c>
    </row>
    <row r="1633" spans="1:10" x14ac:dyDescent="0.25">
      <c r="A1633">
        <v>27826254</v>
      </c>
      <c r="B1633" t="s">
        <v>17</v>
      </c>
      <c r="C1633" s="4">
        <v>44771.490829247683</v>
      </c>
      <c r="D1633" t="s">
        <v>1506</v>
      </c>
      <c r="E1633" t="s">
        <v>27</v>
      </c>
      <c r="F1633" t="s">
        <v>18</v>
      </c>
      <c r="G1633" t="s">
        <v>28</v>
      </c>
      <c r="H1633" t="s">
        <v>29</v>
      </c>
      <c r="I1633" t="s">
        <v>21</v>
      </c>
      <c r="J1633" t="s">
        <v>1507</v>
      </c>
    </row>
    <row r="1634" spans="1:10" x14ac:dyDescent="0.25">
      <c r="A1634">
        <v>27826256</v>
      </c>
      <c r="B1634" t="s">
        <v>17</v>
      </c>
      <c r="C1634" s="4">
        <v>44771.490832488424</v>
      </c>
      <c r="D1634" t="s">
        <v>1504</v>
      </c>
      <c r="E1634" t="s">
        <v>38</v>
      </c>
      <c r="F1634" t="s">
        <v>49</v>
      </c>
      <c r="G1634" t="s">
        <v>250</v>
      </c>
      <c r="H1634" t="s">
        <v>267</v>
      </c>
      <c r="I1634" t="s">
        <v>21</v>
      </c>
      <c r="J1634" t="s">
        <v>350</v>
      </c>
    </row>
    <row r="1635" spans="1:10" x14ac:dyDescent="0.25">
      <c r="A1635">
        <v>27826263</v>
      </c>
      <c r="B1635" t="s">
        <v>17</v>
      </c>
      <c r="C1635" s="4">
        <v>44771.490842291663</v>
      </c>
      <c r="D1635" t="s">
        <v>1504</v>
      </c>
      <c r="E1635" t="s">
        <v>38</v>
      </c>
      <c r="F1635" t="s">
        <v>49</v>
      </c>
      <c r="G1635" t="s">
        <v>250</v>
      </c>
      <c r="H1635" t="s">
        <v>196</v>
      </c>
      <c r="I1635" t="s">
        <v>21</v>
      </c>
      <c r="J1635" t="s">
        <v>350</v>
      </c>
    </row>
    <row r="1636" spans="1:10" x14ac:dyDescent="0.25">
      <c r="A1636">
        <v>27826269</v>
      </c>
      <c r="B1636" t="s">
        <v>17</v>
      </c>
      <c r="C1636" s="4">
        <v>44771.490875011572</v>
      </c>
      <c r="D1636" t="s">
        <v>1504</v>
      </c>
      <c r="E1636" t="s">
        <v>38</v>
      </c>
      <c r="F1636" t="s">
        <v>49</v>
      </c>
      <c r="G1636" t="s">
        <v>250</v>
      </c>
      <c r="H1636" t="s">
        <v>42</v>
      </c>
      <c r="I1636" t="s">
        <v>21</v>
      </c>
      <c r="J1636" t="s">
        <v>350</v>
      </c>
    </row>
    <row r="1637" spans="1:10" x14ac:dyDescent="0.25">
      <c r="A1637">
        <v>27826277</v>
      </c>
      <c r="B1637" t="s">
        <v>17</v>
      </c>
      <c r="C1637" s="4">
        <v>44771.490953657412</v>
      </c>
      <c r="D1637" t="s">
        <v>1504</v>
      </c>
      <c r="E1637" t="s">
        <v>38</v>
      </c>
      <c r="F1637" t="s">
        <v>49</v>
      </c>
      <c r="G1637" t="s">
        <v>250</v>
      </c>
      <c r="H1637" t="s">
        <v>232</v>
      </c>
      <c r="I1637" t="s">
        <v>21</v>
      </c>
      <c r="J1637" t="s">
        <v>350</v>
      </c>
    </row>
    <row r="1638" spans="1:10" x14ac:dyDescent="0.25">
      <c r="A1638">
        <v>27826311</v>
      </c>
      <c r="B1638" t="s">
        <v>17</v>
      </c>
      <c r="C1638" s="4">
        <v>44771.491692754629</v>
      </c>
      <c r="D1638" t="s">
        <v>1504</v>
      </c>
      <c r="E1638" t="s">
        <v>38</v>
      </c>
      <c r="F1638" t="s">
        <v>49</v>
      </c>
      <c r="G1638" t="s">
        <v>250</v>
      </c>
      <c r="H1638" t="s">
        <v>42</v>
      </c>
      <c r="I1638" t="s">
        <v>21</v>
      </c>
      <c r="J1638" t="s">
        <v>350</v>
      </c>
    </row>
    <row r="1639" spans="1:10" x14ac:dyDescent="0.25">
      <c r="A1639">
        <v>27826316</v>
      </c>
      <c r="B1639" t="s">
        <v>17</v>
      </c>
      <c r="C1639" s="4">
        <v>44771.491748761568</v>
      </c>
      <c r="F1639" t="s">
        <v>18</v>
      </c>
      <c r="G1639" t="s">
        <v>228</v>
      </c>
      <c r="H1639" t="s">
        <v>81</v>
      </c>
      <c r="I1639" t="s">
        <v>21</v>
      </c>
    </row>
    <row r="1640" spans="1:10" x14ac:dyDescent="0.25">
      <c r="A1640">
        <v>27826318</v>
      </c>
      <c r="B1640" t="s">
        <v>17</v>
      </c>
      <c r="C1640" s="4">
        <v>44771.491748969907</v>
      </c>
      <c r="F1640" t="s">
        <v>18</v>
      </c>
      <c r="G1640" t="s">
        <v>228</v>
      </c>
      <c r="H1640" t="s">
        <v>93</v>
      </c>
      <c r="I1640" t="s">
        <v>21</v>
      </c>
    </row>
    <row r="1641" spans="1:10" x14ac:dyDescent="0.25">
      <c r="A1641">
        <v>27826328</v>
      </c>
      <c r="B1641" t="s">
        <v>17</v>
      </c>
      <c r="C1641" s="4">
        <v>44771.491844097232</v>
      </c>
      <c r="D1641" t="s">
        <v>1508</v>
      </c>
      <c r="E1641" t="s">
        <v>22</v>
      </c>
      <c r="F1641" t="s">
        <v>52</v>
      </c>
      <c r="G1641" t="s">
        <v>160</v>
      </c>
      <c r="H1641" t="s">
        <v>29</v>
      </c>
      <c r="I1641" t="s">
        <v>21</v>
      </c>
      <c r="J1641" t="s">
        <v>617</v>
      </c>
    </row>
    <row r="1642" spans="1:10" x14ac:dyDescent="0.25">
      <c r="A1642">
        <v>27826340</v>
      </c>
      <c r="B1642" t="s">
        <v>17</v>
      </c>
      <c r="C1642" s="4">
        <v>44771.491945289352</v>
      </c>
      <c r="D1642" t="s">
        <v>1498</v>
      </c>
      <c r="E1642" t="s">
        <v>62</v>
      </c>
      <c r="F1642" t="s">
        <v>49</v>
      </c>
      <c r="G1642" t="s">
        <v>359</v>
      </c>
      <c r="H1642" t="s">
        <v>40</v>
      </c>
      <c r="I1642" t="s">
        <v>21</v>
      </c>
      <c r="J1642" t="s">
        <v>345</v>
      </c>
    </row>
    <row r="1643" spans="1:10" x14ac:dyDescent="0.25">
      <c r="A1643">
        <v>27826352</v>
      </c>
      <c r="B1643" t="s">
        <v>17</v>
      </c>
      <c r="C1643" s="4">
        <v>44771.49218666667</v>
      </c>
      <c r="F1643" t="s">
        <v>49</v>
      </c>
      <c r="G1643" t="s">
        <v>201</v>
      </c>
      <c r="H1643" t="s">
        <v>464</v>
      </c>
      <c r="I1643" t="s">
        <v>21</v>
      </c>
      <c r="J1643" t="s">
        <v>1509</v>
      </c>
    </row>
    <row r="1644" spans="1:10" x14ac:dyDescent="0.25">
      <c r="A1644">
        <v>27826358</v>
      </c>
      <c r="B1644" t="s">
        <v>17</v>
      </c>
      <c r="C1644" s="4">
        <v>44771.49225383102</v>
      </c>
      <c r="D1644" t="s">
        <v>1504</v>
      </c>
      <c r="E1644" t="s">
        <v>38</v>
      </c>
      <c r="F1644" t="s">
        <v>49</v>
      </c>
      <c r="G1644" t="s">
        <v>250</v>
      </c>
      <c r="H1644" t="s">
        <v>232</v>
      </c>
      <c r="I1644" t="s">
        <v>21</v>
      </c>
      <c r="J1644" t="s">
        <v>350</v>
      </c>
    </row>
    <row r="1645" spans="1:10" x14ac:dyDescent="0.25">
      <c r="A1645">
        <v>27826368</v>
      </c>
      <c r="B1645" t="s">
        <v>17</v>
      </c>
      <c r="C1645" s="4">
        <v>44771.492700983799</v>
      </c>
      <c r="D1645" t="s">
        <v>1498</v>
      </c>
      <c r="E1645" t="s">
        <v>62</v>
      </c>
      <c r="F1645" t="s">
        <v>49</v>
      </c>
      <c r="G1645" t="s">
        <v>359</v>
      </c>
      <c r="H1645" t="s">
        <v>25</v>
      </c>
      <c r="I1645" t="s">
        <v>21</v>
      </c>
      <c r="J1645" t="s">
        <v>345</v>
      </c>
    </row>
    <row r="1646" spans="1:10" x14ac:dyDescent="0.25">
      <c r="A1646">
        <v>27826388</v>
      </c>
      <c r="B1646" t="s">
        <v>17</v>
      </c>
      <c r="C1646" s="4">
        <v>44771.492957962961</v>
      </c>
      <c r="D1646" t="s">
        <v>1504</v>
      </c>
      <c r="E1646" t="s">
        <v>38</v>
      </c>
      <c r="F1646" t="s">
        <v>49</v>
      </c>
      <c r="G1646" t="s">
        <v>250</v>
      </c>
      <c r="H1646" t="s">
        <v>42</v>
      </c>
      <c r="I1646" t="s">
        <v>21</v>
      </c>
      <c r="J1646" t="s">
        <v>350</v>
      </c>
    </row>
    <row r="1647" spans="1:10" x14ac:dyDescent="0.25">
      <c r="A1647">
        <v>27826403</v>
      </c>
      <c r="B1647" t="s">
        <v>17</v>
      </c>
      <c r="C1647" s="4">
        <v>44771.49338122685</v>
      </c>
      <c r="D1647" t="s">
        <v>1499</v>
      </c>
      <c r="E1647" t="s">
        <v>129</v>
      </c>
      <c r="F1647" t="s">
        <v>49</v>
      </c>
      <c r="G1647" t="s">
        <v>74</v>
      </c>
      <c r="H1647" t="s">
        <v>40</v>
      </c>
      <c r="I1647" t="s">
        <v>21</v>
      </c>
      <c r="J1647" t="s">
        <v>360</v>
      </c>
    </row>
    <row r="1648" spans="1:10" x14ac:dyDescent="0.25">
      <c r="A1648">
        <v>27826407</v>
      </c>
      <c r="B1648" t="s">
        <v>17</v>
      </c>
      <c r="C1648" s="4">
        <v>44771.493433645832</v>
      </c>
      <c r="F1648" t="s">
        <v>49</v>
      </c>
      <c r="G1648" t="s">
        <v>201</v>
      </c>
      <c r="H1648" t="s">
        <v>397</v>
      </c>
      <c r="I1648" t="s">
        <v>21</v>
      </c>
    </row>
    <row r="1649" spans="1:10" x14ac:dyDescent="0.25">
      <c r="A1649">
        <v>27826432</v>
      </c>
      <c r="B1649" t="s">
        <v>17</v>
      </c>
      <c r="C1649" s="4">
        <v>44771.493951979173</v>
      </c>
      <c r="D1649" t="s">
        <v>1499</v>
      </c>
      <c r="E1649" t="s">
        <v>129</v>
      </c>
      <c r="F1649" t="s">
        <v>49</v>
      </c>
      <c r="G1649" t="s">
        <v>74</v>
      </c>
      <c r="H1649" t="s">
        <v>25</v>
      </c>
      <c r="I1649" t="s">
        <v>21</v>
      </c>
      <c r="J1649" t="s">
        <v>360</v>
      </c>
    </row>
    <row r="1650" spans="1:10" x14ac:dyDescent="0.25">
      <c r="A1650">
        <v>27826459</v>
      </c>
      <c r="B1650" t="s">
        <v>17</v>
      </c>
      <c r="C1650" s="4">
        <v>44771.49460784722</v>
      </c>
      <c r="D1650" t="s">
        <v>1504</v>
      </c>
      <c r="E1650" t="s">
        <v>38</v>
      </c>
      <c r="F1650" t="s">
        <v>49</v>
      </c>
      <c r="G1650" t="s">
        <v>250</v>
      </c>
      <c r="H1650" t="s">
        <v>54</v>
      </c>
      <c r="I1650" t="s">
        <v>21</v>
      </c>
      <c r="J1650" t="s">
        <v>350</v>
      </c>
    </row>
    <row r="1651" spans="1:10" x14ac:dyDescent="0.25">
      <c r="A1651">
        <v>27826492</v>
      </c>
      <c r="B1651" t="s">
        <v>17</v>
      </c>
      <c r="C1651" s="4">
        <v>44771.495804444443</v>
      </c>
      <c r="D1651" t="s">
        <v>1510</v>
      </c>
      <c r="E1651" t="s">
        <v>842</v>
      </c>
      <c r="F1651" t="s">
        <v>18</v>
      </c>
      <c r="G1651" t="s">
        <v>413</v>
      </c>
      <c r="H1651" t="s">
        <v>29</v>
      </c>
      <c r="I1651" t="s">
        <v>21</v>
      </c>
      <c r="J1651" t="s">
        <v>1511</v>
      </c>
    </row>
    <row r="1652" spans="1:10" x14ac:dyDescent="0.25">
      <c r="A1652">
        <v>27826495</v>
      </c>
      <c r="B1652" t="s">
        <v>17</v>
      </c>
      <c r="C1652" s="4">
        <v>44771.495812245368</v>
      </c>
      <c r="F1652" t="s">
        <v>18</v>
      </c>
      <c r="G1652" t="s">
        <v>228</v>
      </c>
      <c r="H1652" t="s">
        <v>81</v>
      </c>
      <c r="I1652" t="s">
        <v>21</v>
      </c>
    </row>
    <row r="1653" spans="1:10" x14ac:dyDescent="0.25">
      <c r="A1653">
        <v>27826507</v>
      </c>
      <c r="B1653" t="s">
        <v>17</v>
      </c>
      <c r="C1653" s="4">
        <v>44771.49588790509</v>
      </c>
      <c r="F1653" t="s">
        <v>18</v>
      </c>
      <c r="G1653" t="s">
        <v>228</v>
      </c>
      <c r="H1653" t="s">
        <v>93</v>
      </c>
      <c r="I1653" t="s">
        <v>21</v>
      </c>
    </row>
    <row r="1654" spans="1:10" x14ac:dyDescent="0.25">
      <c r="A1654">
        <v>27826515</v>
      </c>
      <c r="B1654" t="s">
        <v>17</v>
      </c>
      <c r="C1654" s="4">
        <v>44771.496178472233</v>
      </c>
      <c r="F1654" t="s">
        <v>18</v>
      </c>
      <c r="G1654" t="s">
        <v>228</v>
      </c>
      <c r="H1654" t="s">
        <v>81</v>
      </c>
      <c r="I1654" t="s">
        <v>21</v>
      </c>
    </row>
    <row r="1655" spans="1:10" x14ac:dyDescent="0.25">
      <c r="A1655">
        <v>27826517</v>
      </c>
      <c r="B1655" t="s">
        <v>17</v>
      </c>
      <c r="C1655" s="4">
        <v>44771.496178680558</v>
      </c>
      <c r="F1655" t="s">
        <v>18</v>
      </c>
      <c r="G1655" t="s">
        <v>228</v>
      </c>
      <c r="H1655" t="s">
        <v>93</v>
      </c>
      <c r="I1655" t="s">
        <v>21</v>
      </c>
    </row>
    <row r="1656" spans="1:10" x14ac:dyDescent="0.25">
      <c r="A1656">
        <v>27826523</v>
      </c>
      <c r="B1656" t="s">
        <v>17</v>
      </c>
      <c r="C1656" s="4">
        <v>44771.496199606481</v>
      </c>
      <c r="D1656" t="s">
        <v>1512</v>
      </c>
      <c r="E1656" t="s">
        <v>27</v>
      </c>
      <c r="F1656" t="s">
        <v>18</v>
      </c>
      <c r="G1656" t="s">
        <v>154</v>
      </c>
      <c r="H1656" t="s">
        <v>42</v>
      </c>
      <c r="I1656" t="s">
        <v>21</v>
      </c>
      <c r="J1656" t="s">
        <v>1513</v>
      </c>
    </row>
    <row r="1657" spans="1:10" x14ac:dyDescent="0.25">
      <c r="A1657">
        <v>27826540</v>
      </c>
      <c r="B1657" t="s">
        <v>17</v>
      </c>
      <c r="C1657" s="4">
        <v>44771.496691967594</v>
      </c>
      <c r="F1657" t="s">
        <v>52</v>
      </c>
      <c r="G1657" t="s">
        <v>408</v>
      </c>
      <c r="H1657" t="s">
        <v>20</v>
      </c>
      <c r="I1657" t="s">
        <v>21</v>
      </c>
    </row>
    <row r="1658" spans="1:10" x14ac:dyDescent="0.25">
      <c r="A1658">
        <v>27826542</v>
      </c>
      <c r="B1658" t="s">
        <v>17</v>
      </c>
      <c r="C1658" s="4">
        <v>44771.496697754628</v>
      </c>
      <c r="D1658" t="s">
        <v>1514</v>
      </c>
      <c r="E1658" t="s">
        <v>38</v>
      </c>
      <c r="F1658" t="s">
        <v>52</v>
      </c>
      <c r="G1658" t="s">
        <v>408</v>
      </c>
      <c r="H1658" t="s">
        <v>118</v>
      </c>
      <c r="I1658" t="s">
        <v>36</v>
      </c>
    </row>
    <row r="1659" spans="1:10" x14ac:dyDescent="0.25">
      <c r="A1659">
        <v>27826547</v>
      </c>
      <c r="B1659" t="s">
        <v>17</v>
      </c>
      <c r="C1659" s="4">
        <v>44771.496726435187</v>
      </c>
      <c r="F1659" t="s">
        <v>18</v>
      </c>
      <c r="G1659" t="s">
        <v>228</v>
      </c>
      <c r="H1659" t="s">
        <v>81</v>
      </c>
      <c r="I1659" t="s">
        <v>21</v>
      </c>
    </row>
    <row r="1660" spans="1:10" x14ac:dyDescent="0.25">
      <c r="A1660">
        <v>27826551</v>
      </c>
      <c r="B1660" t="s">
        <v>17</v>
      </c>
      <c r="C1660" s="4">
        <v>44771.49674289352</v>
      </c>
      <c r="D1660" t="s">
        <v>1504</v>
      </c>
      <c r="E1660" t="s">
        <v>38</v>
      </c>
      <c r="F1660" t="s">
        <v>49</v>
      </c>
      <c r="G1660" t="s">
        <v>250</v>
      </c>
      <c r="H1660" t="s">
        <v>79</v>
      </c>
      <c r="I1660" t="s">
        <v>21</v>
      </c>
      <c r="J1660" t="s">
        <v>350</v>
      </c>
    </row>
    <row r="1661" spans="1:10" x14ac:dyDescent="0.25">
      <c r="A1661">
        <v>27826558</v>
      </c>
      <c r="B1661" t="s">
        <v>17</v>
      </c>
      <c r="C1661" s="4">
        <v>44771.496777696761</v>
      </c>
      <c r="D1661" t="s">
        <v>1504</v>
      </c>
      <c r="E1661" t="s">
        <v>38</v>
      </c>
      <c r="F1661" t="s">
        <v>49</v>
      </c>
      <c r="G1661" t="s">
        <v>250</v>
      </c>
      <c r="H1661" t="s">
        <v>42</v>
      </c>
      <c r="I1661" t="s">
        <v>21</v>
      </c>
      <c r="J1661" t="s">
        <v>350</v>
      </c>
    </row>
    <row r="1662" spans="1:10" x14ac:dyDescent="0.25">
      <c r="A1662">
        <v>27826562</v>
      </c>
      <c r="B1662" t="s">
        <v>17</v>
      </c>
      <c r="C1662" s="4">
        <v>44771.496799722219</v>
      </c>
      <c r="F1662" t="s">
        <v>18</v>
      </c>
      <c r="G1662" t="s">
        <v>228</v>
      </c>
      <c r="H1662" t="s">
        <v>93</v>
      </c>
      <c r="I1662" t="s">
        <v>21</v>
      </c>
    </row>
    <row r="1663" spans="1:10" x14ac:dyDescent="0.25">
      <c r="A1663">
        <v>27826563</v>
      </c>
      <c r="B1663" t="s">
        <v>17</v>
      </c>
      <c r="C1663" s="4">
        <v>44771.496854594909</v>
      </c>
      <c r="D1663" t="s">
        <v>1514</v>
      </c>
      <c r="E1663" t="s">
        <v>38</v>
      </c>
      <c r="F1663" t="s">
        <v>52</v>
      </c>
      <c r="G1663" t="s">
        <v>408</v>
      </c>
      <c r="H1663" t="s">
        <v>122</v>
      </c>
      <c r="I1663" t="s">
        <v>36</v>
      </c>
    </row>
    <row r="1664" spans="1:10" x14ac:dyDescent="0.25">
      <c r="A1664">
        <v>27826566</v>
      </c>
      <c r="B1664" t="s">
        <v>17</v>
      </c>
      <c r="C1664" s="4">
        <v>44771.496888935188</v>
      </c>
      <c r="D1664" t="s">
        <v>1504</v>
      </c>
      <c r="E1664" t="s">
        <v>38</v>
      </c>
      <c r="F1664" t="s">
        <v>49</v>
      </c>
      <c r="G1664" t="s">
        <v>250</v>
      </c>
      <c r="H1664" t="s">
        <v>232</v>
      </c>
      <c r="I1664" t="s">
        <v>21</v>
      </c>
      <c r="J1664" t="s">
        <v>350</v>
      </c>
    </row>
    <row r="1665" spans="1:10" x14ac:dyDescent="0.25">
      <c r="A1665">
        <v>27826568</v>
      </c>
      <c r="B1665" t="s">
        <v>17</v>
      </c>
      <c r="C1665" s="4">
        <v>44771.496958113428</v>
      </c>
      <c r="F1665" t="s">
        <v>49</v>
      </c>
      <c r="G1665" t="s">
        <v>250</v>
      </c>
      <c r="H1665" t="s">
        <v>195</v>
      </c>
      <c r="I1665" t="s">
        <v>21</v>
      </c>
    </row>
    <row r="1666" spans="1:10" x14ac:dyDescent="0.25">
      <c r="A1666">
        <v>27826572</v>
      </c>
      <c r="B1666" t="s">
        <v>17</v>
      </c>
      <c r="C1666" s="4">
        <v>44771.49696895833</v>
      </c>
      <c r="F1666" t="s">
        <v>49</v>
      </c>
      <c r="G1666" t="s">
        <v>250</v>
      </c>
      <c r="H1666" t="s">
        <v>196</v>
      </c>
      <c r="I1666" t="s">
        <v>21</v>
      </c>
    </row>
    <row r="1667" spans="1:10" x14ac:dyDescent="0.25">
      <c r="A1667">
        <v>27826613</v>
      </c>
      <c r="B1667" t="s">
        <v>17</v>
      </c>
      <c r="C1667" s="4">
        <v>44771.497645868047</v>
      </c>
      <c r="D1667" t="s">
        <v>1504</v>
      </c>
      <c r="E1667" t="s">
        <v>38</v>
      </c>
      <c r="F1667" t="s">
        <v>49</v>
      </c>
      <c r="G1667" t="s">
        <v>250</v>
      </c>
      <c r="H1667" t="s">
        <v>42</v>
      </c>
      <c r="I1667" t="s">
        <v>21</v>
      </c>
      <c r="J1667" t="s">
        <v>350</v>
      </c>
    </row>
    <row r="1668" spans="1:10" x14ac:dyDescent="0.25">
      <c r="A1668">
        <v>27826618</v>
      </c>
      <c r="B1668" t="s">
        <v>17</v>
      </c>
      <c r="C1668" s="4">
        <v>44771.497722650463</v>
      </c>
      <c r="D1668" t="s">
        <v>1515</v>
      </c>
      <c r="E1668" t="s">
        <v>22</v>
      </c>
      <c r="F1668" t="s">
        <v>52</v>
      </c>
      <c r="G1668" t="s">
        <v>65</v>
      </c>
      <c r="H1668" t="s">
        <v>29</v>
      </c>
      <c r="I1668" t="s">
        <v>21</v>
      </c>
      <c r="J1668" t="s">
        <v>258</v>
      </c>
    </row>
    <row r="1669" spans="1:10" x14ac:dyDescent="0.25">
      <c r="A1669">
        <v>27826624</v>
      </c>
      <c r="B1669" t="s">
        <v>17</v>
      </c>
      <c r="C1669" s="4">
        <v>44771.497767384259</v>
      </c>
      <c r="D1669" t="s">
        <v>1504</v>
      </c>
      <c r="E1669" t="s">
        <v>38</v>
      </c>
      <c r="F1669" t="s">
        <v>49</v>
      </c>
      <c r="G1669" t="s">
        <v>250</v>
      </c>
      <c r="H1669" t="s">
        <v>232</v>
      </c>
      <c r="I1669" t="s">
        <v>21</v>
      </c>
      <c r="J1669" t="s">
        <v>350</v>
      </c>
    </row>
    <row r="1670" spans="1:10" x14ac:dyDescent="0.25">
      <c r="A1670">
        <v>27826638</v>
      </c>
      <c r="B1670" t="s">
        <v>17</v>
      </c>
      <c r="C1670" s="4">
        <v>44771.497965601848</v>
      </c>
      <c r="F1670" t="s">
        <v>49</v>
      </c>
      <c r="G1670" t="s">
        <v>250</v>
      </c>
      <c r="H1670" t="s">
        <v>195</v>
      </c>
      <c r="I1670" t="s">
        <v>21</v>
      </c>
    </row>
    <row r="1671" spans="1:10" x14ac:dyDescent="0.25">
      <c r="A1671">
        <v>27826641</v>
      </c>
      <c r="B1671" t="s">
        <v>17</v>
      </c>
      <c r="C1671" s="4">
        <v>44771.49798605324</v>
      </c>
      <c r="F1671" t="s">
        <v>49</v>
      </c>
      <c r="G1671" t="s">
        <v>250</v>
      </c>
      <c r="H1671" t="s">
        <v>196</v>
      </c>
      <c r="I1671" t="s">
        <v>21</v>
      </c>
    </row>
    <row r="1672" spans="1:10" x14ac:dyDescent="0.25">
      <c r="A1672">
        <v>27826649</v>
      </c>
      <c r="B1672" t="s">
        <v>17</v>
      </c>
      <c r="C1672" s="4">
        <v>44771.498225393523</v>
      </c>
      <c r="D1672" t="s">
        <v>1516</v>
      </c>
      <c r="E1672" t="s">
        <v>72</v>
      </c>
      <c r="F1672" t="s">
        <v>49</v>
      </c>
      <c r="G1672" t="s">
        <v>73</v>
      </c>
      <c r="H1672" t="s">
        <v>42</v>
      </c>
      <c r="I1672" t="s">
        <v>21</v>
      </c>
      <c r="J1672" t="s">
        <v>365</v>
      </c>
    </row>
    <row r="1673" spans="1:10" x14ac:dyDescent="0.25">
      <c r="A1673">
        <v>27826656</v>
      </c>
      <c r="B1673" t="s">
        <v>17</v>
      </c>
      <c r="C1673" s="4">
        <v>44771.498409305546</v>
      </c>
      <c r="F1673" t="s">
        <v>49</v>
      </c>
      <c r="G1673" t="s">
        <v>250</v>
      </c>
      <c r="H1673" t="s">
        <v>20</v>
      </c>
      <c r="I1673" t="s">
        <v>21</v>
      </c>
    </row>
    <row r="1674" spans="1:10" x14ac:dyDescent="0.25">
      <c r="A1674">
        <v>27826664</v>
      </c>
      <c r="B1674" t="s">
        <v>17</v>
      </c>
      <c r="C1674" s="4">
        <v>44771.498442141201</v>
      </c>
      <c r="D1674" t="s">
        <v>1504</v>
      </c>
      <c r="E1674" t="s">
        <v>105</v>
      </c>
      <c r="F1674" t="s">
        <v>49</v>
      </c>
      <c r="G1674" t="s">
        <v>250</v>
      </c>
      <c r="H1674" t="s">
        <v>267</v>
      </c>
      <c r="I1674" t="s">
        <v>21</v>
      </c>
    </row>
    <row r="1675" spans="1:10" x14ac:dyDescent="0.25">
      <c r="A1675">
        <v>27826667</v>
      </c>
      <c r="B1675" t="s">
        <v>17</v>
      </c>
      <c r="C1675" s="4">
        <v>44771.498462685187</v>
      </c>
      <c r="D1675" t="s">
        <v>1504</v>
      </c>
      <c r="E1675" t="s">
        <v>105</v>
      </c>
      <c r="F1675" t="s">
        <v>49</v>
      </c>
      <c r="G1675" t="s">
        <v>250</v>
      </c>
      <c r="H1675" t="s">
        <v>196</v>
      </c>
      <c r="I1675" t="s">
        <v>21</v>
      </c>
    </row>
    <row r="1676" spans="1:10" x14ac:dyDescent="0.25">
      <c r="A1676">
        <v>27826672</v>
      </c>
      <c r="B1676" t="s">
        <v>17</v>
      </c>
      <c r="C1676" s="4">
        <v>44771.498513680563</v>
      </c>
      <c r="D1676" t="s">
        <v>1504</v>
      </c>
      <c r="E1676" t="s">
        <v>38</v>
      </c>
      <c r="F1676" t="s">
        <v>49</v>
      </c>
      <c r="G1676" t="s">
        <v>250</v>
      </c>
      <c r="H1676" t="s">
        <v>42</v>
      </c>
      <c r="I1676" t="s">
        <v>21</v>
      </c>
      <c r="J1676" t="s">
        <v>350</v>
      </c>
    </row>
    <row r="1677" spans="1:10" x14ac:dyDescent="0.25">
      <c r="A1677">
        <v>27826678</v>
      </c>
      <c r="B1677" t="s">
        <v>17</v>
      </c>
      <c r="C1677" s="4">
        <v>44771.498807442127</v>
      </c>
      <c r="D1677" t="s">
        <v>1517</v>
      </c>
      <c r="E1677" t="s">
        <v>371</v>
      </c>
      <c r="F1677" t="s">
        <v>49</v>
      </c>
      <c r="G1677" t="s">
        <v>146</v>
      </c>
      <c r="H1677" t="s">
        <v>29</v>
      </c>
      <c r="I1677" t="s">
        <v>21</v>
      </c>
      <c r="J1677" t="s">
        <v>1518</v>
      </c>
    </row>
    <row r="1678" spans="1:10" x14ac:dyDescent="0.25">
      <c r="A1678">
        <v>27826701</v>
      </c>
      <c r="B1678" t="s">
        <v>17</v>
      </c>
      <c r="C1678" s="4">
        <v>44771.499100034722</v>
      </c>
      <c r="F1678" t="s">
        <v>18</v>
      </c>
      <c r="G1678" t="s">
        <v>228</v>
      </c>
      <c r="H1678" t="s">
        <v>81</v>
      </c>
      <c r="I1678" t="s">
        <v>21</v>
      </c>
    </row>
    <row r="1679" spans="1:10" x14ac:dyDescent="0.25">
      <c r="A1679">
        <v>27826703</v>
      </c>
      <c r="B1679" t="s">
        <v>17</v>
      </c>
      <c r="C1679" s="4">
        <v>44771.499100243047</v>
      </c>
      <c r="F1679" t="s">
        <v>18</v>
      </c>
      <c r="G1679" t="s">
        <v>228</v>
      </c>
      <c r="H1679" t="s">
        <v>93</v>
      </c>
      <c r="I1679" t="s">
        <v>21</v>
      </c>
    </row>
    <row r="1680" spans="1:10" x14ac:dyDescent="0.25">
      <c r="A1680">
        <v>27826713</v>
      </c>
      <c r="B1680" t="s">
        <v>17</v>
      </c>
      <c r="C1680" s="4">
        <v>44771.499382604168</v>
      </c>
      <c r="D1680" t="s">
        <v>1519</v>
      </c>
      <c r="E1680" t="s">
        <v>72</v>
      </c>
      <c r="F1680" t="s">
        <v>18</v>
      </c>
      <c r="G1680" t="s">
        <v>236</v>
      </c>
      <c r="H1680" t="s">
        <v>42</v>
      </c>
      <c r="I1680" t="s">
        <v>21</v>
      </c>
      <c r="J1680" t="s">
        <v>1520</v>
      </c>
    </row>
    <row r="1681" spans="1:10" x14ac:dyDescent="0.25">
      <c r="A1681">
        <v>27826719</v>
      </c>
      <c r="B1681" t="s">
        <v>17</v>
      </c>
      <c r="C1681" s="4">
        <v>44771.499495613432</v>
      </c>
      <c r="D1681" t="s">
        <v>1519</v>
      </c>
      <c r="E1681" t="s">
        <v>72</v>
      </c>
      <c r="F1681" t="s">
        <v>18</v>
      </c>
      <c r="G1681" t="s">
        <v>236</v>
      </c>
      <c r="H1681" t="s">
        <v>54</v>
      </c>
      <c r="I1681" t="s">
        <v>21</v>
      </c>
      <c r="J1681" t="s">
        <v>1520</v>
      </c>
    </row>
    <row r="1682" spans="1:10" x14ac:dyDescent="0.25">
      <c r="A1682">
        <v>27826724</v>
      </c>
      <c r="B1682" t="s">
        <v>17</v>
      </c>
      <c r="C1682" s="4">
        <v>44771.499603229167</v>
      </c>
      <c r="D1682" t="s">
        <v>1504</v>
      </c>
      <c r="E1682" t="s">
        <v>38</v>
      </c>
      <c r="F1682" t="s">
        <v>49</v>
      </c>
      <c r="G1682" t="s">
        <v>250</v>
      </c>
      <c r="H1682" t="s">
        <v>64</v>
      </c>
      <c r="I1682" t="s">
        <v>21</v>
      </c>
      <c r="J1682" t="s">
        <v>350</v>
      </c>
    </row>
    <row r="1683" spans="1:10" x14ac:dyDescent="0.25">
      <c r="A1683">
        <v>27826748</v>
      </c>
      <c r="B1683" t="s">
        <v>17</v>
      </c>
      <c r="C1683" s="4">
        <v>44771.500093402778</v>
      </c>
      <c r="D1683" t="s">
        <v>1307</v>
      </c>
      <c r="E1683" t="s">
        <v>38</v>
      </c>
      <c r="F1683" t="s">
        <v>52</v>
      </c>
      <c r="G1683" t="s">
        <v>100</v>
      </c>
      <c r="H1683" t="s">
        <v>29</v>
      </c>
      <c r="I1683" t="s">
        <v>21</v>
      </c>
      <c r="J1683" t="s">
        <v>1308</v>
      </c>
    </row>
    <row r="1684" spans="1:10" x14ac:dyDescent="0.25">
      <c r="A1684">
        <v>27826774</v>
      </c>
      <c r="B1684" t="s">
        <v>17</v>
      </c>
      <c r="C1684" s="4">
        <v>44771.500699548611</v>
      </c>
      <c r="D1684" t="s">
        <v>1281</v>
      </c>
      <c r="E1684" t="s">
        <v>22</v>
      </c>
      <c r="F1684" t="s">
        <v>23</v>
      </c>
      <c r="G1684" t="s">
        <v>178</v>
      </c>
      <c r="H1684" t="s">
        <v>29</v>
      </c>
      <c r="I1684" t="s">
        <v>21</v>
      </c>
      <c r="J1684" t="s">
        <v>282</v>
      </c>
    </row>
    <row r="1685" spans="1:10" x14ac:dyDescent="0.25">
      <c r="A1685">
        <v>27826785</v>
      </c>
      <c r="B1685" t="s">
        <v>17</v>
      </c>
      <c r="C1685" s="4">
        <v>44771.500916851852</v>
      </c>
      <c r="D1685" t="s">
        <v>1512</v>
      </c>
      <c r="E1685" t="s">
        <v>27</v>
      </c>
      <c r="F1685" t="s">
        <v>18</v>
      </c>
      <c r="G1685" t="s">
        <v>154</v>
      </c>
      <c r="H1685" t="s">
        <v>54</v>
      </c>
      <c r="I1685" t="s">
        <v>21</v>
      </c>
      <c r="J1685" t="s">
        <v>1513</v>
      </c>
    </row>
    <row r="1686" spans="1:10" x14ac:dyDescent="0.25">
      <c r="A1686">
        <v>27826803</v>
      </c>
      <c r="B1686" t="s">
        <v>17</v>
      </c>
      <c r="C1686" s="4">
        <v>44771.501291655091</v>
      </c>
      <c r="D1686" t="s">
        <v>1512</v>
      </c>
      <c r="E1686" t="s">
        <v>27</v>
      </c>
      <c r="F1686" t="s">
        <v>18</v>
      </c>
      <c r="G1686" t="s">
        <v>154</v>
      </c>
      <c r="H1686" t="s">
        <v>40</v>
      </c>
      <c r="I1686" t="s">
        <v>21</v>
      </c>
      <c r="J1686" t="s">
        <v>1513</v>
      </c>
    </row>
    <row r="1687" spans="1:10" x14ac:dyDescent="0.25">
      <c r="A1687">
        <v>27826811</v>
      </c>
      <c r="B1687" t="s">
        <v>17</v>
      </c>
      <c r="C1687" s="4">
        <v>44771.501632060194</v>
      </c>
      <c r="D1687" t="s">
        <v>1521</v>
      </c>
      <c r="E1687" t="s">
        <v>62</v>
      </c>
      <c r="F1687" t="s">
        <v>45</v>
      </c>
      <c r="G1687" t="s">
        <v>327</v>
      </c>
      <c r="H1687" t="s">
        <v>29</v>
      </c>
      <c r="I1687" t="s">
        <v>21</v>
      </c>
      <c r="J1687" t="s">
        <v>1522</v>
      </c>
    </row>
    <row r="1688" spans="1:10" x14ac:dyDescent="0.25">
      <c r="A1688">
        <v>27826817</v>
      </c>
      <c r="B1688" t="s">
        <v>17</v>
      </c>
      <c r="C1688" s="4">
        <v>44771.501658229157</v>
      </c>
      <c r="D1688" t="s">
        <v>1512</v>
      </c>
      <c r="E1688" t="s">
        <v>27</v>
      </c>
      <c r="F1688" t="s">
        <v>18</v>
      </c>
      <c r="G1688" t="s">
        <v>154</v>
      </c>
      <c r="H1688" t="s">
        <v>25</v>
      </c>
      <c r="I1688" t="s">
        <v>21</v>
      </c>
      <c r="J1688" t="s">
        <v>1513</v>
      </c>
    </row>
    <row r="1689" spans="1:10" x14ac:dyDescent="0.25">
      <c r="A1689">
        <v>27826844</v>
      </c>
      <c r="B1689" t="s">
        <v>17</v>
      </c>
      <c r="C1689" s="4">
        <v>44771.502322418979</v>
      </c>
      <c r="F1689" t="s">
        <v>52</v>
      </c>
      <c r="G1689" t="s">
        <v>408</v>
      </c>
      <c r="H1689" t="s">
        <v>195</v>
      </c>
      <c r="I1689" t="s">
        <v>21</v>
      </c>
    </row>
    <row r="1690" spans="1:10" x14ac:dyDescent="0.25">
      <c r="A1690">
        <v>27826865</v>
      </c>
      <c r="B1690" t="s">
        <v>17</v>
      </c>
      <c r="C1690" s="4">
        <v>44771.503108576391</v>
      </c>
      <c r="D1690" t="s">
        <v>1516</v>
      </c>
      <c r="E1690" t="s">
        <v>72</v>
      </c>
      <c r="F1690" t="s">
        <v>49</v>
      </c>
      <c r="G1690" t="s">
        <v>73</v>
      </c>
      <c r="H1690" t="s">
        <v>54</v>
      </c>
      <c r="I1690" t="s">
        <v>21</v>
      </c>
      <c r="J1690" t="s">
        <v>365</v>
      </c>
    </row>
    <row r="1691" spans="1:10" x14ac:dyDescent="0.25">
      <c r="A1691">
        <v>27826876</v>
      </c>
      <c r="B1691" t="s">
        <v>17</v>
      </c>
      <c r="C1691" s="4">
        <v>44771.503201967593</v>
      </c>
      <c r="D1691" t="s">
        <v>1523</v>
      </c>
      <c r="E1691" t="s">
        <v>371</v>
      </c>
      <c r="F1691" t="s">
        <v>49</v>
      </c>
      <c r="G1691" t="s">
        <v>130</v>
      </c>
      <c r="H1691" t="s">
        <v>42</v>
      </c>
      <c r="I1691" t="s">
        <v>21</v>
      </c>
      <c r="J1691" t="s">
        <v>362</v>
      </c>
    </row>
    <row r="1692" spans="1:10" x14ac:dyDescent="0.25">
      <c r="A1692">
        <v>27826889</v>
      </c>
      <c r="B1692" t="s">
        <v>17</v>
      </c>
      <c r="C1692" s="4">
        <v>44771.503540439808</v>
      </c>
      <c r="F1692" t="s">
        <v>18</v>
      </c>
      <c r="G1692" t="s">
        <v>228</v>
      </c>
      <c r="H1692" t="s">
        <v>81</v>
      </c>
      <c r="I1692" t="s">
        <v>21</v>
      </c>
    </row>
    <row r="1693" spans="1:10" x14ac:dyDescent="0.25">
      <c r="A1693">
        <v>27826891</v>
      </c>
      <c r="B1693" t="s">
        <v>17</v>
      </c>
      <c r="C1693" s="4">
        <v>44771.503540729173</v>
      </c>
      <c r="F1693" t="s">
        <v>18</v>
      </c>
      <c r="G1693" t="s">
        <v>228</v>
      </c>
      <c r="H1693" t="s">
        <v>93</v>
      </c>
      <c r="I1693" t="s">
        <v>21</v>
      </c>
    </row>
    <row r="1694" spans="1:10" x14ac:dyDescent="0.25">
      <c r="A1694">
        <v>27826911</v>
      </c>
      <c r="B1694" t="s">
        <v>17</v>
      </c>
      <c r="C1694" s="4">
        <v>44771.503967997684</v>
      </c>
      <c r="D1694" t="s">
        <v>1523</v>
      </c>
      <c r="E1694" t="s">
        <v>371</v>
      </c>
      <c r="F1694" t="s">
        <v>49</v>
      </c>
      <c r="G1694" t="s">
        <v>130</v>
      </c>
      <c r="H1694" t="s">
        <v>54</v>
      </c>
      <c r="I1694" t="s">
        <v>21</v>
      </c>
      <c r="J1694" t="s">
        <v>362</v>
      </c>
    </row>
    <row r="1695" spans="1:10" x14ac:dyDescent="0.25">
      <c r="A1695">
        <v>27826920</v>
      </c>
      <c r="B1695" t="s">
        <v>17</v>
      </c>
      <c r="C1695" s="4">
        <v>44771.504047395843</v>
      </c>
      <c r="F1695" t="s">
        <v>18</v>
      </c>
      <c r="G1695" t="s">
        <v>228</v>
      </c>
      <c r="H1695" t="s">
        <v>81</v>
      </c>
      <c r="I1695" t="s">
        <v>21</v>
      </c>
    </row>
    <row r="1696" spans="1:10" x14ac:dyDescent="0.25">
      <c r="A1696">
        <v>27826922</v>
      </c>
      <c r="B1696" t="s">
        <v>17</v>
      </c>
      <c r="C1696" s="4">
        <v>44771.504047592593</v>
      </c>
      <c r="F1696" t="s">
        <v>18</v>
      </c>
      <c r="G1696" t="s">
        <v>228</v>
      </c>
      <c r="H1696" t="s">
        <v>93</v>
      </c>
      <c r="I1696" t="s">
        <v>21</v>
      </c>
    </row>
    <row r="1697" spans="1:10" x14ac:dyDescent="0.25">
      <c r="A1697">
        <v>27826938</v>
      </c>
      <c r="B1697" t="s">
        <v>17</v>
      </c>
      <c r="C1697" s="4">
        <v>44771.504471921296</v>
      </c>
      <c r="D1697" t="s">
        <v>1524</v>
      </c>
      <c r="E1697" t="s">
        <v>62</v>
      </c>
      <c r="F1697" t="s">
        <v>57</v>
      </c>
      <c r="G1697" t="s">
        <v>401</v>
      </c>
      <c r="H1697" t="s">
        <v>42</v>
      </c>
      <c r="I1697" t="s">
        <v>21</v>
      </c>
      <c r="J1697" t="s">
        <v>1525</v>
      </c>
    </row>
    <row r="1698" spans="1:10" x14ac:dyDescent="0.25">
      <c r="A1698">
        <v>27826940</v>
      </c>
      <c r="B1698" t="s">
        <v>17</v>
      </c>
      <c r="C1698" s="4">
        <v>44771.504527291669</v>
      </c>
      <c r="D1698" t="s">
        <v>1526</v>
      </c>
      <c r="E1698" t="s">
        <v>38</v>
      </c>
      <c r="F1698" t="s">
        <v>23</v>
      </c>
      <c r="G1698" t="s">
        <v>274</v>
      </c>
      <c r="H1698" t="s">
        <v>29</v>
      </c>
      <c r="I1698" t="s">
        <v>21</v>
      </c>
      <c r="J1698" t="s">
        <v>1527</v>
      </c>
    </row>
    <row r="1699" spans="1:10" x14ac:dyDescent="0.25">
      <c r="A1699">
        <v>27826959</v>
      </c>
      <c r="B1699" t="s">
        <v>17</v>
      </c>
      <c r="C1699" s="4">
        <v>44771.50482454861</v>
      </c>
      <c r="F1699" t="s">
        <v>52</v>
      </c>
      <c r="G1699" t="s">
        <v>145</v>
      </c>
      <c r="H1699" t="s">
        <v>196</v>
      </c>
      <c r="I1699" t="s">
        <v>21</v>
      </c>
    </row>
    <row r="1700" spans="1:10" x14ac:dyDescent="0.25">
      <c r="A1700">
        <v>27826965</v>
      </c>
      <c r="B1700" t="s">
        <v>17</v>
      </c>
      <c r="C1700" s="4">
        <v>44771.504899548607</v>
      </c>
      <c r="F1700" t="s">
        <v>52</v>
      </c>
      <c r="G1700" t="s">
        <v>145</v>
      </c>
      <c r="H1700" t="s">
        <v>20</v>
      </c>
      <c r="I1700" t="s">
        <v>21</v>
      </c>
    </row>
    <row r="1701" spans="1:10" x14ac:dyDescent="0.25">
      <c r="A1701">
        <v>27826972</v>
      </c>
      <c r="B1701" t="s">
        <v>17</v>
      </c>
      <c r="C1701" s="4">
        <v>44771.505138831017</v>
      </c>
      <c r="D1701" t="s">
        <v>1528</v>
      </c>
      <c r="E1701" t="s">
        <v>30</v>
      </c>
      <c r="F1701" t="s">
        <v>52</v>
      </c>
      <c r="G1701" t="s">
        <v>145</v>
      </c>
      <c r="H1701" t="s">
        <v>79</v>
      </c>
      <c r="I1701" t="s">
        <v>21</v>
      </c>
    </row>
    <row r="1702" spans="1:10" x14ac:dyDescent="0.25">
      <c r="A1702">
        <v>27826986</v>
      </c>
      <c r="B1702" t="s">
        <v>17</v>
      </c>
      <c r="C1702" s="4">
        <v>44771.505582361111</v>
      </c>
      <c r="D1702" t="s">
        <v>1478</v>
      </c>
      <c r="E1702" t="s">
        <v>22</v>
      </c>
      <c r="F1702" t="s">
        <v>33</v>
      </c>
      <c r="G1702" t="s">
        <v>425</v>
      </c>
      <c r="H1702" t="s">
        <v>232</v>
      </c>
      <c r="I1702" t="s">
        <v>21</v>
      </c>
      <c r="J1702" t="s">
        <v>556</v>
      </c>
    </row>
    <row r="1703" spans="1:10" x14ac:dyDescent="0.25">
      <c r="A1703">
        <v>27827007</v>
      </c>
      <c r="B1703" t="s">
        <v>17</v>
      </c>
      <c r="C1703" s="4">
        <v>44771.506887997682</v>
      </c>
      <c r="D1703" t="s">
        <v>1529</v>
      </c>
      <c r="E1703" t="s">
        <v>27</v>
      </c>
      <c r="F1703" t="s">
        <v>57</v>
      </c>
      <c r="G1703" t="s">
        <v>182</v>
      </c>
      <c r="H1703" t="s">
        <v>29</v>
      </c>
      <c r="I1703" t="s">
        <v>21</v>
      </c>
      <c r="J1703" t="s">
        <v>1530</v>
      </c>
    </row>
    <row r="1704" spans="1:10" x14ac:dyDescent="0.25">
      <c r="A1704">
        <v>27827016</v>
      </c>
      <c r="B1704" t="s">
        <v>17</v>
      </c>
      <c r="C1704" s="4">
        <v>44771.506949525457</v>
      </c>
      <c r="D1704" t="s">
        <v>1516</v>
      </c>
      <c r="E1704" t="s">
        <v>72</v>
      </c>
      <c r="F1704" t="s">
        <v>49</v>
      </c>
      <c r="G1704" t="s">
        <v>73</v>
      </c>
      <c r="H1704" t="s">
        <v>40</v>
      </c>
      <c r="I1704" t="s">
        <v>21</v>
      </c>
      <c r="J1704" t="s">
        <v>365</v>
      </c>
    </row>
    <row r="1705" spans="1:10" x14ac:dyDescent="0.25">
      <c r="A1705">
        <v>27827028</v>
      </c>
      <c r="B1705" t="s">
        <v>17</v>
      </c>
      <c r="C1705" s="4">
        <v>44771.507115416673</v>
      </c>
      <c r="F1705" t="s">
        <v>18</v>
      </c>
      <c r="G1705" t="s">
        <v>228</v>
      </c>
      <c r="H1705" t="s">
        <v>81</v>
      </c>
      <c r="I1705" t="s">
        <v>21</v>
      </c>
    </row>
    <row r="1706" spans="1:10" x14ac:dyDescent="0.25">
      <c r="A1706">
        <v>27827030</v>
      </c>
      <c r="B1706" t="s">
        <v>17</v>
      </c>
      <c r="C1706" s="4">
        <v>44771.507115659719</v>
      </c>
      <c r="F1706" t="s">
        <v>18</v>
      </c>
      <c r="G1706" t="s">
        <v>228</v>
      </c>
      <c r="H1706" t="s">
        <v>93</v>
      </c>
      <c r="I1706" t="s">
        <v>21</v>
      </c>
    </row>
    <row r="1707" spans="1:10" x14ac:dyDescent="0.25">
      <c r="A1707">
        <v>27827033</v>
      </c>
      <c r="B1707" t="s">
        <v>17</v>
      </c>
      <c r="C1707" s="4">
        <v>44771.507139687499</v>
      </c>
      <c r="D1707" t="s">
        <v>1519</v>
      </c>
      <c r="E1707" t="s">
        <v>72</v>
      </c>
      <c r="F1707" t="s">
        <v>18</v>
      </c>
      <c r="G1707" t="s">
        <v>236</v>
      </c>
      <c r="H1707" t="s">
        <v>40</v>
      </c>
      <c r="I1707" t="s">
        <v>21</v>
      </c>
      <c r="J1707" t="s">
        <v>1520</v>
      </c>
    </row>
    <row r="1708" spans="1:10" x14ac:dyDescent="0.25">
      <c r="A1708">
        <v>27827046</v>
      </c>
      <c r="B1708" t="s">
        <v>17</v>
      </c>
      <c r="C1708" s="4">
        <v>44771.507422256953</v>
      </c>
      <c r="D1708" t="s">
        <v>1516</v>
      </c>
      <c r="E1708" t="s">
        <v>72</v>
      </c>
      <c r="F1708" t="s">
        <v>49</v>
      </c>
      <c r="G1708" t="s">
        <v>73</v>
      </c>
      <c r="H1708" t="s">
        <v>25</v>
      </c>
      <c r="I1708" t="s">
        <v>21</v>
      </c>
      <c r="J1708" t="s">
        <v>365</v>
      </c>
    </row>
    <row r="1709" spans="1:10" x14ac:dyDescent="0.25">
      <c r="A1709">
        <v>27827059</v>
      </c>
      <c r="B1709" t="s">
        <v>17</v>
      </c>
      <c r="C1709" s="4">
        <v>44771.507532997683</v>
      </c>
      <c r="D1709" t="s">
        <v>1531</v>
      </c>
      <c r="E1709" t="s">
        <v>38</v>
      </c>
      <c r="F1709" t="s">
        <v>31</v>
      </c>
      <c r="G1709" t="s">
        <v>159</v>
      </c>
      <c r="H1709" t="s">
        <v>29</v>
      </c>
      <c r="I1709" t="s">
        <v>21</v>
      </c>
      <c r="J1709" t="s">
        <v>364</v>
      </c>
    </row>
    <row r="1710" spans="1:10" x14ac:dyDescent="0.25">
      <c r="A1710">
        <v>27827076</v>
      </c>
      <c r="B1710" t="s">
        <v>17</v>
      </c>
      <c r="C1710" s="4">
        <v>44771.507649212966</v>
      </c>
      <c r="D1710" t="s">
        <v>1519</v>
      </c>
      <c r="E1710" t="s">
        <v>72</v>
      </c>
      <c r="F1710" t="s">
        <v>18</v>
      </c>
      <c r="G1710" t="s">
        <v>236</v>
      </c>
      <c r="H1710" t="s">
        <v>25</v>
      </c>
      <c r="I1710" t="s">
        <v>21</v>
      </c>
      <c r="J1710" t="s">
        <v>1520</v>
      </c>
    </row>
    <row r="1711" spans="1:10" x14ac:dyDescent="0.25">
      <c r="A1711">
        <v>27827089</v>
      </c>
      <c r="B1711" t="s">
        <v>17</v>
      </c>
      <c r="C1711" s="4">
        <v>44771.507716307868</v>
      </c>
      <c r="D1711" t="s">
        <v>1532</v>
      </c>
      <c r="E1711" t="s">
        <v>27</v>
      </c>
      <c r="F1711" t="s">
        <v>18</v>
      </c>
      <c r="G1711" t="s">
        <v>375</v>
      </c>
      <c r="H1711" t="s">
        <v>42</v>
      </c>
      <c r="I1711" t="s">
        <v>21</v>
      </c>
      <c r="J1711" t="s">
        <v>367</v>
      </c>
    </row>
    <row r="1712" spans="1:10" x14ac:dyDescent="0.25">
      <c r="A1712">
        <v>27827097</v>
      </c>
      <c r="B1712" t="s">
        <v>17</v>
      </c>
      <c r="C1712" s="4">
        <v>44771.50778403935</v>
      </c>
      <c r="D1712" t="s">
        <v>1532</v>
      </c>
      <c r="E1712" t="s">
        <v>27</v>
      </c>
      <c r="F1712" t="s">
        <v>18</v>
      </c>
      <c r="G1712" t="s">
        <v>375</v>
      </c>
      <c r="H1712" t="s">
        <v>54</v>
      </c>
      <c r="I1712" t="s">
        <v>21</v>
      </c>
      <c r="J1712" t="s">
        <v>367</v>
      </c>
    </row>
    <row r="1713" spans="1:10" x14ac:dyDescent="0.25">
      <c r="A1713">
        <v>27827105</v>
      </c>
      <c r="B1713" t="s">
        <v>17</v>
      </c>
      <c r="C1713" s="4">
        <v>44771.507922002318</v>
      </c>
      <c r="D1713" t="s">
        <v>1532</v>
      </c>
      <c r="E1713" t="s">
        <v>27</v>
      </c>
      <c r="F1713" t="s">
        <v>18</v>
      </c>
      <c r="G1713" t="s">
        <v>375</v>
      </c>
      <c r="H1713" t="s">
        <v>118</v>
      </c>
      <c r="I1713" t="s">
        <v>36</v>
      </c>
      <c r="J1713" t="s">
        <v>367</v>
      </c>
    </row>
    <row r="1714" spans="1:10" x14ac:dyDescent="0.25">
      <c r="A1714">
        <v>27827111</v>
      </c>
      <c r="B1714" t="s">
        <v>17</v>
      </c>
      <c r="C1714" s="4">
        <v>44771.50797017361</v>
      </c>
      <c r="D1714" t="s">
        <v>1532</v>
      </c>
      <c r="E1714" t="s">
        <v>27</v>
      </c>
      <c r="F1714" t="s">
        <v>18</v>
      </c>
      <c r="G1714" t="s">
        <v>375</v>
      </c>
      <c r="H1714" t="s">
        <v>35</v>
      </c>
      <c r="I1714" t="s">
        <v>36</v>
      </c>
      <c r="J1714" t="s">
        <v>367</v>
      </c>
    </row>
    <row r="1715" spans="1:10" x14ac:dyDescent="0.25">
      <c r="A1715">
        <v>27827121</v>
      </c>
      <c r="B1715" t="s">
        <v>17</v>
      </c>
      <c r="C1715" s="4">
        <v>44771.508185162027</v>
      </c>
      <c r="F1715" t="s">
        <v>18</v>
      </c>
      <c r="G1715" t="s">
        <v>228</v>
      </c>
      <c r="H1715" t="s">
        <v>81</v>
      </c>
      <c r="I1715" t="s">
        <v>21</v>
      </c>
    </row>
    <row r="1716" spans="1:10" x14ac:dyDescent="0.25">
      <c r="A1716">
        <v>27827124</v>
      </c>
      <c r="B1716" t="s">
        <v>17</v>
      </c>
      <c r="C1716" s="4">
        <v>44771.508256956018</v>
      </c>
      <c r="F1716" t="s">
        <v>18</v>
      </c>
      <c r="G1716" t="s">
        <v>228</v>
      </c>
      <c r="H1716" t="s">
        <v>93</v>
      </c>
      <c r="I1716" t="s">
        <v>21</v>
      </c>
    </row>
    <row r="1717" spans="1:10" x14ac:dyDescent="0.25">
      <c r="A1717">
        <v>27827130</v>
      </c>
      <c r="B1717" t="s">
        <v>17</v>
      </c>
      <c r="C1717" s="4">
        <v>44771.50876290509</v>
      </c>
      <c r="D1717" t="s">
        <v>1533</v>
      </c>
      <c r="E1717" t="s">
        <v>27</v>
      </c>
      <c r="F1717" t="s">
        <v>49</v>
      </c>
      <c r="G1717" t="s">
        <v>132</v>
      </c>
      <c r="H1717" t="s">
        <v>29</v>
      </c>
      <c r="I1717" t="s">
        <v>21</v>
      </c>
      <c r="J1717" t="s">
        <v>1534</v>
      </c>
    </row>
    <row r="1718" spans="1:10" x14ac:dyDescent="0.25">
      <c r="A1718">
        <v>27827148</v>
      </c>
      <c r="B1718" t="s">
        <v>17</v>
      </c>
      <c r="C1718" s="4">
        <v>44771.509143298608</v>
      </c>
      <c r="E1718" t="s">
        <v>38</v>
      </c>
      <c r="F1718" t="s">
        <v>52</v>
      </c>
      <c r="G1718" t="s">
        <v>220</v>
      </c>
      <c r="H1718" t="s">
        <v>29</v>
      </c>
      <c r="I1718" t="s">
        <v>21</v>
      </c>
    </row>
    <row r="1719" spans="1:10" x14ac:dyDescent="0.25">
      <c r="A1719">
        <v>27827153</v>
      </c>
      <c r="B1719" t="s">
        <v>17</v>
      </c>
      <c r="C1719" s="4">
        <v>44771.509458159722</v>
      </c>
      <c r="F1719" t="s">
        <v>18</v>
      </c>
      <c r="G1719" t="s">
        <v>228</v>
      </c>
      <c r="H1719" t="s">
        <v>81</v>
      </c>
      <c r="I1719" t="s">
        <v>21</v>
      </c>
    </row>
    <row r="1720" spans="1:10" x14ac:dyDescent="0.25">
      <c r="A1720">
        <v>27827155</v>
      </c>
      <c r="B1720" t="s">
        <v>17</v>
      </c>
      <c r="C1720" s="4">
        <v>44771.509458356479</v>
      </c>
      <c r="F1720" t="s">
        <v>18</v>
      </c>
      <c r="G1720" t="s">
        <v>228</v>
      </c>
      <c r="H1720" t="s">
        <v>93</v>
      </c>
      <c r="I1720" t="s">
        <v>21</v>
      </c>
    </row>
    <row r="1721" spans="1:10" x14ac:dyDescent="0.25">
      <c r="A1721">
        <v>27827182</v>
      </c>
      <c r="B1721" t="s">
        <v>17</v>
      </c>
      <c r="C1721" s="4">
        <v>44771.510459305558</v>
      </c>
      <c r="F1721" t="s">
        <v>18</v>
      </c>
      <c r="G1721" t="s">
        <v>228</v>
      </c>
      <c r="H1721" t="s">
        <v>81</v>
      </c>
      <c r="I1721" t="s">
        <v>21</v>
      </c>
    </row>
    <row r="1722" spans="1:10" x14ac:dyDescent="0.25">
      <c r="A1722">
        <v>27827184</v>
      </c>
      <c r="B1722" t="s">
        <v>17</v>
      </c>
      <c r="C1722" s="4">
        <v>44771.510459490739</v>
      </c>
      <c r="F1722" t="s">
        <v>18</v>
      </c>
      <c r="G1722" t="s">
        <v>228</v>
      </c>
      <c r="H1722" t="s">
        <v>93</v>
      </c>
      <c r="I1722" t="s">
        <v>21</v>
      </c>
    </row>
    <row r="1723" spans="1:10" x14ac:dyDescent="0.25">
      <c r="A1723">
        <v>27827205</v>
      </c>
      <c r="B1723" t="s">
        <v>17</v>
      </c>
      <c r="C1723" s="4">
        <v>44771.510749351852</v>
      </c>
      <c r="F1723" t="s">
        <v>18</v>
      </c>
      <c r="G1723" t="s">
        <v>228</v>
      </c>
      <c r="H1723" t="s">
        <v>81</v>
      </c>
      <c r="I1723" t="s">
        <v>21</v>
      </c>
    </row>
    <row r="1724" spans="1:10" x14ac:dyDescent="0.25">
      <c r="A1724">
        <v>27827210</v>
      </c>
      <c r="B1724" t="s">
        <v>17</v>
      </c>
      <c r="C1724" s="4">
        <v>44771.510852141197</v>
      </c>
      <c r="D1724" t="s">
        <v>1523</v>
      </c>
      <c r="E1724" t="s">
        <v>371</v>
      </c>
      <c r="F1724" t="s">
        <v>49</v>
      </c>
      <c r="G1724" t="s">
        <v>130</v>
      </c>
      <c r="H1724" t="s">
        <v>40</v>
      </c>
      <c r="I1724" t="s">
        <v>21</v>
      </c>
      <c r="J1724" t="s">
        <v>362</v>
      </c>
    </row>
    <row r="1725" spans="1:10" x14ac:dyDescent="0.25">
      <c r="A1725">
        <v>27827213</v>
      </c>
      <c r="B1725" t="s">
        <v>17</v>
      </c>
      <c r="C1725" s="4">
        <v>44771.510965428242</v>
      </c>
      <c r="F1725" t="s">
        <v>18</v>
      </c>
      <c r="G1725" t="s">
        <v>228</v>
      </c>
      <c r="H1725" t="s">
        <v>93</v>
      </c>
      <c r="I1725" t="s">
        <v>21</v>
      </c>
    </row>
    <row r="1726" spans="1:10" x14ac:dyDescent="0.25">
      <c r="A1726">
        <v>27827239</v>
      </c>
      <c r="B1726" t="s">
        <v>17</v>
      </c>
      <c r="C1726" s="4">
        <v>44771.511766550917</v>
      </c>
      <c r="D1726" t="s">
        <v>1535</v>
      </c>
      <c r="E1726" t="s">
        <v>27</v>
      </c>
      <c r="F1726" t="s">
        <v>57</v>
      </c>
      <c r="G1726" t="s">
        <v>291</v>
      </c>
      <c r="H1726" t="s">
        <v>42</v>
      </c>
      <c r="I1726" t="s">
        <v>21</v>
      </c>
      <c r="J1726" t="s">
        <v>1536</v>
      </c>
    </row>
    <row r="1727" spans="1:10" x14ac:dyDescent="0.25">
      <c r="A1727">
        <v>27827244</v>
      </c>
      <c r="B1727" t="s">
        <v>17</v>
      </c>
      <c r="C1727" s="4">
        <v>44771.511812048608</v>
      </c>
      <c r="F1727" t="s">
        <v>49</v>
      </c>
      <c r="G1727" t="s">
        <v>201</v>
      </c>
      <c r="H1727" t="s">
        <v>196</v>
      </c>
      <c r="I1727" t="s">
        <v>21</v>
      </c>
    </row>
    <row r="1728" spans="1:10" x14ac:dyDescent="0.25">
      <c r="A1728">
        <v>27827246</v>
      </c>
      <c r="B1728" t="s">
        <v>17</v>
      </c>
      <c r="C1728" s="4">
        <v>44771.511815868063</v>
      </c>
      <c r="D1728" t="s">
        <v>1523</v>
      </c>
      <c r="E1728" t="s">
        <v>371</v>
      </c>
      <c r="F1728" t="s">
        <v>49</v>
      </c>
      <c r="G1728" t="s">
        <v>130</v>
      </c>
      <c r="H1728" t="s">
        <v>25</v>
      </c>
      <c r="I1728" t="s">
        <v>21</v>
      </c>
      <c r="J1728" t="s">
        <v>362</v>
      </c>
    </row>
    <row r="1729" spans="1:10" x14ac:dyDescent="0.25">
      <c r="A1729">
        <v>27827306</v>
      </c>
      <c r="B1729" t="s">
        <v>17</v>
      </c>
      <c r="C1729" s="4">
        <v>44771.513274780089</v>
      </c>
      <c r="D1729" t="s">
        <v>1537</v>
      </c>
      <c r="E1729" t="s">
        <v>129</v>
      </c>
      <c r="F1729" t="s">
        <v>49</v>
      </c>
      <c r="G1729" t="s">
        <v>247</v>
      </c>
      <c r="H1729" t="s">
        <v>29</v>
      </c>
      <c r="I1729" t="s">
        <v>21</v>
      </c>
      <c r="J1729" t="s">
        <v>1538</v>
      </c>
    </row>
    <row r="1730" spans="1:10" x14ac:dyDescent="0.25">
      <c r="A1730">
        <v>27827322</v>
      </c>
      <c r="B1730" t="s">
        <v>17</v>
      </c>
      <c r="C1730" s="4">
        <v>44771.513717881942</v>
      </c>
      <c r="D1730" t="s">
        <v>1535</v>
      </c>
      <c r="E1730" t="s">
        <v>27</v>
      </c>
      <c r="F1730" t="s">
        <v>57</v>
      </c>
      <c r="G1730" t="s">
        <v>291</v>
      </c>
      <c r="H1730" t="s">
        <v>54</v>
      </c>
      <c r="I1730" t="s">
        <v>21</v>
      </c>
      <c r="J1730" t="s">
        <v>1536</v>
      </c>
    </row>
    <row r="1731" spans="1:10" x14ac:dyDescent="0.25">
      <c r="A1731">
        <v>27827328</v>
      </c>
      <c r="B1731" t="s">
        <v>17</v>
      </c>
      <c r="C1731" s="4">
        <v>44771.513780231478</v>
      </c>
      <c r="D1731" t="s">
        <v>1289</v>
      </c>
      <c r="E1731" t="s">
        <v>22</v>
      </c>
      <c r="F1731" t="s">
        <v>52</v>
      </c>
      <c r="G1731" t="s">
        <v>89</v>
      </c>
      <c r="H1731" t="s">
        <v>29</v>
      </c>
      <c r="I1731" t="s">
        <v>21</v>
      </c>
      <c r="J1731" t="s">
        <v>378</v>
      </c>
    </row>
    <row r="1732" spans="1:10" x14ac:dyDescent="0.25">
      <c r="A1732">
        <v>27827358</v>
      </c>
      <c r="B1732" t="s">
        <v>17</v>
      </c>
      <c r="C1732" s="4">
        <v>44771.514511828696</v>
      </c>
      <c r="F1732" t="s">
        <v>18</v>
      </c>
      <c r="G1732" t="s">
        <v>228</v>
      </c>
      <c r="H1732" t="s">
        <v>81</v>
      </c>
      <c r="I1732" t="s">
        <v>21</v>
      </c>
    </row>
    <row r="1733" spans="1:10" x14ac:dyDescent="0.25">
      <c r="A1733">
        <v>27827361</v>
      </c>
      <c r="B1733" t="s">
        <v>17</v>
      </c>
      <c r="C1733" s="4">
        <v>44771.514550462962</v>
      </c>
      <c r="D1733" t="s">
        <v>1532</v>
      </c>
      <c r="E1733" t="s">
        <v>27</v>
      </c>
      <c r="F1733" t="s">
        <v>18</v>
      </c>
      <c r="G1733" t="s">
        <v>375</v>
      </c>
      <c r="H1733" t="s">
        <v>40</v>
      </c>
      <c r="I1733" t="s">
        <v>21</v>
      </c>
      <c r="J1733" t="s">
        <v>367</v>
      </c>
    </row>
    <row r="1734" spans="1:10" x14ac:dyDescent="0.25">
      <c r="A1734">
        <v>27827365</v>
      </c>
      <c r="B1734" t="s">
        <v>17</v>
      </c>
      <c r="C1734" s="4">
        <v>44771.514586435187</v>
      </c>
      <c r="F1734" t="s">
        <v>18</v>
      </c>
      <c r="G1734" t="s">
        <v>228</v>
      </c>
      <c r="H1734" t="s">
        <v>93</v>
      </c>
      <c r="I1734" t="s">
        <v>21</v>
      </c>
    </row>
    <row r="1735" spans="1:10" x14ac:dyDescent="0.25">
      <c r="A1735">
        <v>27827378</v>
      </c>
      <c r="B1735" t="s">
        <v>17</v>
      </c>
      <c r="C1735" s="4">
        <v>44771.514881759264</v>
      </c>
      <c r="D1735" t="s">
        <v>1524</v>
      </c>
      <c r="E1735" t="s">
        <v>62</v>
      </c>
      <c r="F1735" t="s">
        <v>57</v>
      </c>
      <c r="G1735" t="s">
        <v>401</v>
      </c>
      <c r="H1735" t="s">
        <v>54</v>
      </c>
      <c r="I1735" t="s">
        <v>21</v>
      </c>
      <c r="J1735" t="s">
        <v>1525</v>
      </c>
    </row>
    <row r="1736" spans="1:10" x14ac:dyDescent="0.25">
      <c r="A1736">
        <v>27827385</v>
      </c>
      <c r="B1736" t="s">
        <v>17</v>
      </c>
      <c r="C1736" s="4">
        <v>44771.514990347219</v>
      </c>
      <c r="D1736" t="s">
        <v>1524</v>
      </c>
      <c r="E1736" t="s">
        <v>62</v>
      </c>
      <c r="F1736" t="s">
        <v>57</v>
      </c>
      <c r="G1736" t="s">
        <v>401</v>
      </c>
      <c r="H1736" t="s">
        <v>40</v>
      </c>
      <c r="I1736" t="s">
        <v>21</v>
      </c>
      <c r="J1736" t="s">
        <v>1525</v>
      </c>
    </row>
    <row r="1737" spans="1:10" x14ac:dyDescent="0.25">
      <c r="A1737">
        <v>27827386</v>
      </c>
      <c r="B1737" t="s">
        <v>17</v>
      </c>
      <c r="C1737" s="4">
        <v>44771.515045046297</v>
      </c>
      <c r="D1737" t="s">
        <v>1532</v>
      </c>
      <c r="E1737" t="s">
        <v>27</v>
      </c>
      <c r="F1737" t="s">
        <v>18</v>
      </c>
      <c r="G1737" t="s">
        <v>375</v>
      </c>
      <c r="H1737" t="s">
        <v>25</v>
      </c>
      <c r="I1737" t="s">
        <v>21</v>
      </c>
      <c r="J1737" t="s">
        <v>367</v>
      </c>
    </row>
    <row r="1738" spans="1:10" x14ac:dyDescent="0.25">
      <c r="A1738">
        <v>27827401</v>
      </c>
      <c r="B1738" t="s">
        <v>17</v>
      </c>
      <c r="C1738" s="4">
        <v>44771.515113252317</v>
      </c>
      <c r="D1738" t="s">
        <v>1539</v>
      </c>
      <c r="E1738" t="s">
        <v>38</v>
      </c>
      <c r="F1738" t="s">
        <v>52</v>
      </c>
      <c r="G1738" t="s">
        <v>77</v>
      </c>
      <c r="H1738" t="s">
        <v>29</v>
      </c>
      <c r="I1738" t="s">
        <v>21</v>
      </c>
      <c r="J1738" t="s">
        <v>1540</v>
      </c>
    </row>
    <row r="1739" spans="1:10" x14ac:dyDescent="0.25">
      <c r="A1739">
        <v>27827419</v>
      </c>
      <c r="B1739" t="s">
        <v>17</v>
      </c>
      <c r="C1739" s="4">
        <v>44771.515615046294</v>
      </c>
      <c r="D1739" t="s">
        <v>1524</v>
      </c>
      <c r="E1739" t="s">
        <v>62</v>
      </c>
      <c r="F1739" t="s">
        <v>57</v>
      </c>
      <c r="G1739" t="s">
        <v>401</v>
      </c>
      <c r="H1739" t="s">
        <v>25</v>
      </c>
      <c r="I1739" t="s">
        <v>21</v>
      </c>
      <c r="J1739" t="s">
        <v>1525</v>
      </c>
    </row>
    <row r="1740" spans="1:10" x14ac:dyDescent="0.25">
      <c r="A1740">
        <v>27827453</v>
      </c>
      <c r="B1740" t="s">
        <v>17</v>
      </c>
      <c r="C1740" s="4">
        <v>44771.516885509263</v>
      </c>
      <c r="F1740" t="s">
        <v>18</v>
      </c>
      <c r="G1740" t="s">
        <v>228</v>
      </c>
      <c r="H1740" t="s">
        <v>81</v>
      </c>
      <c r="I1740" t="s">
        <v>21</v>
      </c>
    </row>
    <row r="1741" spans="1:10" x14ac:dyDescent="0.25">
      <c r="A1741">
        <v>27827455</v>
      </c>
      <c r="B1741" t="s">
        <v>17</v>
      </c>
      <c r="C1741" s="4">
        <v>44771.516885694436</v>
      </c>
      <c r="F1741" t="s">
        <v>18</v>
      </c>
      <c r="G1741" t="s">
        <v>228</v>
      </c>
      <c r="H1741" t="s">
        <v>93</v>
      </c>
      <c r="I1741" t="s">
        <v>21</v>
      </c>
    </row>
    <row r="1742" spans="1:10" x14ac:dyDescent="0.25">
      <c r="A1742">
        <v>27827497</v>
      </c>
      <c r="B1742" t="s">
        <v>17</v>
      </c>
      <c r="C1742" s="4">
        <v>44771.518420995373</v>
      </c>
      <c r="D1742" t="s">
        <v>1541</v>
      </c>
      <c r="E1742" t="s">
        <v>27</v>
      </c>
      <c r="F1742" t="s">
        <v>18</v>
      </c>
      <c r="G1742" t="s">
        <v>183</v>
      </c>
      <c r="H1742" t="s">
        <v>29</v>
      </c>
      <c r="I1742" t="s">
        <v>21</v>
      </c>
      <c r="J1742" t="s">
        <v>622</v>
      </c>
    </row>
    <row r="1743" spans="1:10" x14ac:dyDescent="0.25">
      <c r="A1743">
        <v>27827514</v>
      </c>
      <c r="B1743" t="s">
        <v>17</v>
      </c>
      <c r="C1743" s="4">
        <v>44771.518796249999</v>
      </c>
      <c r="F1743" t="s">
        <v>18</v>
      </c>
      <c r="G1743" t="s">
        <v>228</v>
      </c>
      <c r="H1743" t="s">
        <v>81</v>
      </c>
      <c r="I1743" t="s">
        <v>21</v>
      </c>
    </row>
    <row r="1744" spans="1:10" x14ac:dyDescent="0.25">
      <c r="A1744">
        <v>27827516</v>
      </c>
      <c r="B1744" t="s">
        <v>17</v>
      </c>
      <c r="C1744" s="4">
        <v>44771.518796469907</v>
      </c>
      <c r="F1744" t="s">
        <v>18</v>
      </c>
      <c r="G1744" t="s">
        <v>228</v>
      </c>
      <c r="H1744" t="s">
        <v>93</v>
      </c>
      <c r="I1744" t="s">
        <v>21</v>
      </c>
    </row>
    <row r="1745" spans="1:10" x14ac:dyDescent="0.25">
      <c r="A1745">
        <v>27827527</v>
      </c>
      <c r="B1745" t="s">
        <v>17</v>
      </c>
      <c r="C1745" s="4">
        <v>44771.519186574071</v>
      </c>
      <c r="D1745" t="s">
        <v>1535</v>
      </c>
      <c r="E1745" t="s">
        <v>27</v>
      </c>
      <c r="F1745" t="s">
        <v>57</v>
      </c>
      <c r="G1745" t="s">
        <v>291</v>
      </c>
      <c r="H1745" t="s">
        <v>40</v>
      </c>
      <c r="I1745" t="s">
        <v>21</v>
      </c>
      <c r="J1745" t="s">
        <v>1536</v>
      </c>
    </row>
    <row r="1746" spans="1:10" x14ac:dyDescent="0.25">
      <c r="A1746">
        <v>27827537</v>
      </c>
      <c r="B1746" t="s">
        <v>17</v>
      </c>
      <c r="C1746" s="4">
        <v>44771.519622650463</v>
      </c>
      <c r="D1746" t="s">
        <v>1535</v>
      </c>
      <c r="E1746" t="s">
        <v>27</v>
      </c>
      <c r="F1746" t="s">
        <v>57</v>
      </c>
      <c r="G1746" t="s">
        <v>291</v>
      </c>
      <c r="H1746" t="s">
        <v>25</v>
      </c>
      <c r="I1746" t="s">
        <v>21</v>
      </c>
      <c r="J1746" t="s">
        <v>1536</v>
      </c>
    </row>
    <row r="1747" spans="1:10" x14ac:dyDescent="0.25">
      <c r="A1747">
        <v>27827592</v>
      </c>
      <c r="B1747" t="s">
        <v>17</v>
      </c>
      <c r="C1747" s="4">
        <v>44771.521263773153</v>
      </c>
      <c r="F1747" t="s">
        <v>18</v>
      </c>
      <c r="G1747" t="s">
        <v>228</v>
      </c>
      <c r="H1747" t="s">
        <v>81</v>
      </c>
      <c r="I1747" t="s">
        <v>21</v>
      </c>
    </row>
    <row r="1748" spans="1:10" x14ac:dyDescent="0.25">
      <c r="A1748">
        <v>27827594</v>
      </c>
      <c r="B1748" t="s">
        <v>17</v>
      </c>
      <c r="C1748" s="4">
        <v>44771.521263958333</v>
      </c>
      <c r="F1748" t="s">
        <v>18</v>
      </c>
      <c r="G1748" t="s">
        <v>228</v>
      </c>
      <c r="H1748" t="s">
        <v>93</v>
      </c>
      <c r="I1748" t="s">
        <v>21</v>
      </c>
    </row>
    <row r="1749" spans="1:10" x14ac:dyDescent="0.25">
      <c r="A1749">
        <v>27827609</v>
      </c>
      <c r="B1749" t="s">
        <v>17</v>
      </c>
      <c r="C1749" s="4">
        <v>44771.521604942129</v>
      </c>
      <c r="D1749" t="s">
        <v>1542</v>
      </c>
      <c r="E1749" t="s">
        <v>44</v>
      </c>
      <c r="F1749" t="s">
        <v>49</v>
      </c>
      <c r="G1749" t="s">
        <v>50</v>
      </c>
      <c r="H1749" t="s">
        <v>42</v>
      </c>
      <c r="I1749" t="s">
        <v>21</v>
      </c>
      <c r="J1749" t="s">
        <v>1543</v>
      </c>
    </row>
    <row r="1750" spans="1:10" x14ac:dyDescent="0.25">
      <c r="A1750">
        <v>27827616</v>
      </c>
      <c r="B1750" t="s">
        <v>17</v>
      </c>
      <c r="C1750" s="4">
        <v>44771.52171760417</v>
      </c>
      <c r="D1750" t="s">
        <v>1544</v>
      </c>
      <c r="E1750" t="s">
        <v>495</v>
      </c>
      <c r="F1750" t="s">
        <v>18</v>
      </c>
      <c r="G1750" t="s">
        <v>102</v>
      </c>
      <c r="H1750" t="s">
        <v>42</v>
      </c>
      <c r="I1750" t="s">
        <v>21</v>
      </c>
      <c r="J1750" t="s">
        <v>1545</v>
      </c>
    </row>
    <row r="1751" spans="1:10" x14ac:dyDescent="0.25">
      <c r="A1751">
        <v>27827622</v>
      </c>
      <c r="B1751" t="s">
        <v>17</v>
      </c>
      <c r="C1751" s="4">
        <v>44771.521785439807</v>
      </c>
      <c r="F1751" t="s">
        <v>18</v>
      </c>
      <c r="G1751" t="s">
        <v>228</v>
      </c>
      <c r="H1751" t="s">
        <v>81</v>
      </c>
      <c r="I1751" t="s">
        <v>21</v>
      </c>
    </row>
    <row r="1752" spans="1:10" x14ac:dyDescent="0.25">
      <c r="A1752">
        <v>27827624</v>
      </c>
      <c r="B1752" t="s">
        <v>17</v>
      </c>
      <c r="C1752" s="4">
        <v>44771.521785740741</v>
      </c>
      <c r="F1752" t="s">
        <v>18</v>
      </c>
      <c r="G1752" t="s">
        <v>228</v>
      </c>
      <c r="H1752" t="s">
        <v>93</v>
      </c>
      <c r="I1752" t="s">
        <v>21</v>
      </c>
    </row>
    <row r="1753" spans="1:10" x14ac:dyDescent="0.25">
      <c r="A1753">
        <v>27827641</v>
      </c>
      <c r="B1753" t="s">
        <v>17</v>
      </c>
      <c r="C1753" s="4">
        <v>44771.522144780087</v>
      </c>
      <c r="D1753" t="s">
        <v>1544</v>
      </c>
      <c r="E1753" t="s">
        <v>495</v>
      </c>
      <c r="F1753" t="s">
        <v>18</v>
      </c>
      <c r="G1753" t="s">
        <v>102</v>
      </c>
      <c r="H1753" t="s">
        <v>54</v>
      </c>
      <c r="I1753" t="s">
        <v>21</v>
      </c>
      <c r="J1753" t="s">
        <v>1545</v>
      </c>
    </row>
    <row r="1754" spans="1:10" x14ac:dyDescent="0.25">
      <c r="A1754">
        <v>27827649</v>
      </c>
      <c r="B1754" t="s">
        <v>17</v>
      </c>
      <c r="C1754" s="4">
        <v>44771.522183923611</v>
      </c>
      <c r="D1754" t="s">
        <v>1546</v>
      </c>
      <c r="E1754" t="s">
        <v>349</v>
      </c>
      <c r="F1754" t="s">
        <v>49</v>
      </c>
      <c r="G1754" t="s">
        <v>84</v>
      </c>
      <c r="H1754" t="s">
        <v>42</v>
      </c>
      <c r="I1754" t="s">
        <v>21</v>
      </c>
      <c r="J1754" t="s">
        <v>372</v>
      </c>
    </row>
    <row r="1755" spans="1:10" x14ac:dyDescent="0.25">
      <c r="A1755">
        <v>27827674</v>
      </c>
      <c r="B1755" t="s">
        <v>17</v>
      </c>
      <c r="C1755" s="4">
        <v>44771.523170393521</v>
      </c>
      <c r="D1755" t="s">
        <v>1151</v>
      </c>
      <c r="E1755" t="s">
        <v>387</v>
      </c>
      <c r="F1755" t="s">
        <v>18</v>
      </c>
      <c r="G1755" t="s">
        <v>333</v>
      </c>
      <c r="H1755" t="s">
        <v>29</v>
      </c>
      <c r="I1755" t="s">
        <v>21</v>
      </c>
      <c r="J1755" t="s">
        <v>1363</v>
      </c>
    </row>
    <row r="1756" spans="1:10" x14ac:dyDescent="0.25">
      <c r="A1756">
        <v>27827680</v>
      </c>
      <c r="B1756" t="s">
        <v>17</v>
      </c>
      <c r="C1756" s="4">
        <v>44771.523289988429</v>
      </c>
      <c r="D1756" t="s">
        <v>1271</v>
      </c>
      <c r="E1756" t="s">
        <v>38</v>
      </c>
      <c r="F1756" t="s">
        <v>52</v>
      </c>
      <c r="G1756" t="s">
        <v>69</v>
      </c>
      <c r="H1756" t="s">
        <v>29</v>
      </c>
      <c r="I1756" t="s">
        <v>21</v>
      </c>
      <c r="J1756" t="s">
        <v>808</v>
      </c>
    </row>
    <row r="1757" spans="1:10" x14ac:dyDescent="0.25">
      <c r="A1757">
        <v>27827703</v>
      </c>
      <c r="B1757" t="s">
        <v>17</v>
      </c>
      <c r="C1757" s="4">
        <v>44771.524133368053</v>
      </c>
      <c r="D1757" t="s">
        <v>1542</v>
      </c>
      <c r="E1757" t="s">
        <v>44</v>
      </c>
      <c r="F1757" t="s">
        <v>49</v>
      </c>
      <c r="G1757" t="s">
        <v>50</v>
      </c>
      <c r="H1757" t="s">
        <v>239</v>
      </c>
      <c r="I1757" t="s">
        <v>21</v>
      </c>
      <c r="J1757" t="s">
        <v>1543</v>
      </c>
    </row>
    <row r="1758" spans="1:10" x14ac:dyDescent="0.25">
      <c r="A1758">
        <v>27827704</v>
      </c>
      <c r="B1758" t="s">
        <v>17</v>
      </c>
      <c r="C1758" s="4">
        <v>44771.524141122682</v>
      </c>
      <c r="D1758" t="s">
        <v>1542</v>
      </c>
      <c r="E1758" t="s">
        <v>44</v>
      </c>
      <c r="F1758" t="s">
        <v>49</v>
      </c>
      <c r="G1758" t="s">
        <v>50</v>
      </c>
      <c r="H1758" t="s">
        <v>240</v>
      </c>
      <c r="I1758" t="s">
        <v>21</v>
      </c>
      <c r="J1758" t="s">
        <v>1543</v>
      </c>
    </row>
    <row r="1759" spans="1:10" x14ac:dyDescent="0.25">
      <c r="A1759">
        <v>27827735</v>
      </c>
      <c r="B1759" t="s">
        <v>17</v>
      </c>
      <c r="C1759" s="4">
        <v>44771.525308773147</v>
      </c>
      <c r="D1759" t="s">
        <v>1547</v>
      </c>
      <c r="E1759" t="s">
        <v>27</v>
      </c>
      <c r="F1759" t="s">
        <v>18</v>
      </c>
      <c r="G1759" t="s">
        <v>265</v>
      </c>
      <c r="H1759" t="s">
        <v>42</v>
      </c>
      <c r="I1759" t="s">
        <v>21</v>
      </c>
      <c r="J1759" t="s">
        <v>1548</v>
      </c>
    </row>
    <row r="1760" spans="1:10" x14ac:dyDescent="0.25">
      <c r="A1760">
        <v>27827739</v>
      </c>
      <c r="B1760" t="s">
        <v>17</v>
      </c>
      <c r="C1760" s="4">
        <v>44771.525406851862</v>
      </c>
      <c r="D1760" t="s">
        <v>1547</v>
      </c>
      <c r="E1760" t="s">
        <v>27</v>
      </c>
      <c r="F1760" t="s">
        <v>18</v>
      </c>
      <c r="G1760" t="s">
        <v>265</v>
      </c>
      <c r="H1760" t="s">
        <v>54</v>
      </c>
      <c r="I1760" t="s">
        <v>21</v>
      </c>
      <c r="J1760" t="s">
        <v>1548</v>
      </c>
    </row>
    <row r="1761" spans="1:10" x14ac:dyDescent="0.25">
      <c r="A1761">
        <v>27827757</v>
      </c>
      <c r="B1761" t="s">
        <v>17</v>
      </c>
      <c r="C1761" s="4">
        <v>44771.525771851862</v>
      </c>
      <c r="D1761" t="s">
        <v>1549</v>
      </c>
      <c r="E1761" t="s">
        <v>38</v>
      </c>
      <c r="F1761" t="s">
        <v>23</v>
      </c>
      <c r="G1761" t="s">
        <v>274</v>
      </c>
      <c r="H1761" t="s">
        <v>42</v>
      </c>
      <c r="I1761" t="s">
        <v>21</v>
      </c>
      <c r="J1761" t="s">
        <v>373</v>
      </c>
    </row>
    <row r="1762" spans="1:10" x14ac:dyDescent="0.25">
      <c r="A1762">
        <v>27827767</v>
      </c>
      <c r="B1762" t="s">
        <v>17</v>
      </c>
      <c r="C1762" s="4">
        <v>44771.526133298612</v>
      </c>
      <c r="F1762" t="s">
        <v>18</v>
      </c>
      <c r="G1762" t="s">
        <v>228</v>
      </c>
      <c r="H1762" t="s">
        <v>81</v>
      </c>
      <c r="I1762" t="s">
        <v>21</v>
      </c>
    </row>
    <row r="1763" spans="1:10" x14ac:dyDescent="0.25">
      <c r="A1763">
        <v>27827769</v>
      </c>
      <c r="B1763" t="s">
        <v>17</v>
      </c>
      <c r="C1763" s="4">
        <v>44771.5261334838</v>
      </c>
      <c r="F1763" t="s">
        <v>18</v>
      </c>
      <c r="G1763" t="s">
        <v>228</v>
      </c>
      <c r="H1763" t="s">
        <v>93</v>
      </c>
      <c r="I1763" t="s">
        <v>21</v>
      </c>
    </row>
    <row r="1764" spans="1:10" x14ac:dyDescent="0.25">
      <c r="A1764">
        <v>27827779</v>
      </c>
      <c r="B1764" t="s">
        <v>17</v>
      </c>
      <c r="C1764" s="4">
        <v>44771.526754224527</v>
      </c>
      <c r="D1764" t="s">
        <v>1546</v>
      </c>
      <c r="E1764" t="s">
        <v>349</v>
      </c>
      <c r="F1764" t="s">
        <v>49</v>
      </c>
      <c r="G1764" t="s">
        <v>84</v>
      </c>
      <c r="H1764" t="s">
        <v>54</v>
      </c>
      <c r="I1764" t="s">
        <v>21</v>
      </c>
      <c r="J1764" t="s">
        <v>372</v>
      </c>
    </row>
    <row r="1765" spans="1:10" x14ac:dyDescent="0.25">
      <c r="A1765">
        <v>27827793</v>
      </c>
      <c r="B1765" t="s">
        <v>17</v>
      </c>
      <c r="C1765" s="4">
        <v>44771.527117129634</v>
      </c>
      <c r="D1765" t="s">
        <v>1549</v>
      </c>
      <c r="E1765" t="s">
        <v>38</v>
      </c>
      <c r="F1765" t="s">
        <v>23</v>
      </c>
      <c r="G1765" t="s">
        <v>274</v>
      </c>
      <c r="H1765" t="s">
        <v>54</v>
      </c>
      <c r="I1765" t="s">
        <v>21</v>
      </c>
      <c r="J1765" t="s">
        <v>373</v>
      </c>
    </row>
    <row r="1766" spans="1:10" x14ac:dyDescent="0.25">
      <c r="A1766">
        <v>27827796</v>
      </c>
      <c r="B1766" t="s">
        <v>17</v>
      </c>
      <c r="C1766" s="4">
        <v>44771.527121273153</v>
      </c>
      <c r="D1766" t="s">
        <v>1542</v>
      </c>
      <c r="E1766" t="s">
        <v>44</v>
      </c>
      <c r="F1766" t="s">
        <v>49</v>
      </c>
      <c r="G1766" t="s">
        <v>50</v>
      </c>
      <c r="H1766" t="s">
        <v>40</v>
      </c>
      <c r="I1766" t="s">
        <v>21</v>
      </c>
      <c r="J1766" t="s">
        <v>1543</v>
      </c>
    </row>
    <row r="1767" spans="1:10" x14ac:dyDescent="0.25">
      <c r="A1767">
        <v>27827802</v>
      </c>
      <c r="B1767" t="s">
        <v>17</v>
      </c>
      <c r="C1767" s="4">
        <v>44771.527614733794</v>
      </c>
      <c r="D1767" t="s">
        <v>1544</v>
      </c>
      <c r="E1767" t="s">
        <v>495</v>
      </c>
      <c r="F1767" t="s">
        <v>18</v>
      </c>
      <c r="G1767" t="s">
        <v>102</v>
      </c>
      <c r="H1767" t="s">
        <v>40</v>
      </c>
      <c r="I1767" t="s">
        <v>21</v>
      </c>
      <c r="J1767" t="s">
        <v>1545</v>
      </c>
    </row>
    <row r="1768" spans="1:10" x14ac:dyDescent="0.25">
      <c r="A1768">
        <v>27827813</v>
      </c>
      <c r="B1768" t="s">
        <v>17</v>
      </c>
      <c r="C1768" s="4">
        <v>44771.527986898152</v>
      </c>
      <c r="D1768" t="s">
        <v>1542</v>
      </c>
      <c r="E1768" t="s">
        <v>44</v>
      </c>
      <c r="F1768" t="s">
        <v>49</v>
      </c>
      <c r="G1768" t="s">
        <v>50</v>
      </c>
      <c r="H1768" t="s">
        <v>25</v>
      </c>
      <c r="I1768" t="s">
        <v>21</v>
      </c>
      <c r="J1768" t="s">
        <v>1543</v>
      </c>
    </row>
    <row r="1769" spans="1:10" x14ac:dyDescent="0.25">
      <c r="A1769">
        <v>27827832</v>
      </c>
      <c r="B1769" t="s">
        <v>17</v>
      </c>
      <c r="C1769" s="4">
        <v>44771.528439803238</v>
      </c>
      <c r="F1769" t="s">
        <v>18</v>
      </c>
      <c r="G1769" t="s">
        <v>228</v>
      </c>
      <c r="H1769" t="s">
        <v>81</v>
      </c>
      <c r="I1769" t="s">
        <v>21</v>
      </c>
    </row>
    <row r="1770" spans="1:10" x14ac:dyDescent="0.25">
      <c r="A1770">
        <v>27827834</v>
      </c>
      <c r="B1770" t="s">
        <v>17</v>
      </c>
      <c r="C1770" s="4">
        <v>44771.528440023147</v>
      </c>
      <c r="F1770" t="s">
        <v>18</v>
      </c>
      <c r="G1770" t="s">
        <v>228</v>
      </c>
      <c r="H1770" t="s">
        <v>93</v>
      </c>
      <c r="I1770" t="s">
        <v>21</v>
      </c>
    </row>
    <row r="1771" spans="1:10" x14ac:dyDescent="0.25">
      <c r="A1771">
        <v>27827840</v>
      </c>
      <c r="B1771" t="s">
        <v>17</v>
      </c>
      <c r="C1771" s="4">
        <v>44771.528456273147</v>
      </c>
      <c r="D1771" t="s">
        <v>1544</v>
      </c>
      <c r="E1771" t="s">
        <v>495</v>
      </c>
      <c r="F1771" t="s">
        <v>18</v>
      </c>
      <c r="G1771" t="s">
        <v>102</v>
      </c>
      <c r="H1771" t="s">
        <v>25</v>
      </c>
      <c r="I1771" t="s">
        <v>21</v>
      </c>
      <c r="J1771" t="s">
        <v>1545</v>
      </c>
    </row>
    <row r="1772" spans="1:10" x14ac:dyDescent="0.25">
      <c r="A1772">
        <v>27827853</v>
      </c>
      <c r="B1772" t="s">
        <v>17</v>
      </c>
      <c r="C1772" s="4">
        <v>44771.528692800923</v>
      </c>
      <c r="E1772" t="s">
        <v>22</v>
      </c>
      <c r="F1772" t="s">
        <v>18</v>
      </c>
      <c r="G1772" t="s">
        <v>405</v>
      </c>
      <c r="H1772" t="s">
        <v>29</v>
      </c>
      <c r="I1772" t="s">
        <v>21</v>
      </c>
    </row>
    <row r="1773" spans="1:10" x14ac:dyDescent="0.25">
      <c r="A1773">
        <v>27827871</v>
      </c>
      <c r="B1773" t="s">
        <v>17</v>
      </c>
      <c r="C1773" s="4">
        <v>44771.529359872693</v>
      </c>
      <c r="D1773" t="s">
        <v>1550</v>
      </c>
      <c r="E1773" t="s">
        <v>27</v>
      </c>
      <c r="F1773" t="s">
        <v>18</v>
      </c>
      <c r="G1773" t="s">
        <v>396</v>
      </c>
      <c r="H1773" t="s">
        <v>42</v>
      </c>
      <c r="I1773" t="s">
        <v>21</v>
      </c>
      <c r="J1773" t="s">
        <v>1551</v>
      </c>
    </row>
    <row r="1774" spans="1:10" x14ac:dyDescent="0.25">
      <c r="A1774">
        <v>27827879</v>
      </c>
      <c r="B1774" t="s">
        <v>17</v>
      </c>
      <c r="C1774" s="4">
        <v>44771.529536956019</v>
      </c>
      <c r="D1774" t="s">
        <v>1552</v>
      </c>
      <c r="E1774" t="s">
        <v>129</v>
      </c>
      <c r="F1774" t="s">
        <v>49</v>
      </c>
      <c r="G1774" t="s">
        <v>74</v>
      </c>
      <c r="H1774" t="s">
        <v>42</v>
      </c>
      <c r="I1774" t="s">
        <v>21</v>
      </c>
      <c r="J1774" t="s">
        <v>368</v>
      </c>
    </row>
    <row r="1775" spans="1:10" x14ac:dyDescent="0.25">
      <c r="A1775">
        <v>27827892</v>
      </c>
      <c r="B1775" t="s">
        <v>17</v>
      </c>
      <c r="C1775" s="4">
        <v>44771.529974293982</v>
      </c>
      <c r="D1775" t="s">
        <v>1550</v>
      </c>
      <c r="E1775" t="s">
        <v>27</v>
      </c>
      <c r="F1775" t="s">
        <v>18</v>
      </c>
      <c r="G1775" t="s">
        <v>396</v>
      </c>
      <c r="H1775" t="s">
        <v>54</v>
      </c>
      <c r="I1775" t="s">
        <v>21</v>
      </c>
      <c r="J1775" t="s">
        <v>1551</v>
      </c>
    </row>
    <row r="1776" spans="1:10" x14ac:dyDescent="0.25">
      <c r="A1776">
        <v>27827908</v>
      </c>
      <c r="B1776" t="s">
        <v>17</v>
      </c>
      <c r="C1776" s="4">
        <v>44771.530548275463</v>
      </c>
      <c r="D1776" t="s">
        <v>1553</v>
      </c>
      <c r="E1776" t="s">
        <v>72</v>
      </c>
      <c r="F1776" t="s">
        <v>49</v>
      </c>
      <c r="G1776" t="s">
        <v>50</v>
      </c>
      <c r="H1776" t="s">
        <v>29</v>
      </c>
      <c r="I1776" t="s">
        <v>21</v>
      </c>
      <c r="J1776" t="s">
        <v>628</v>
      </c>
    </row>
    <row r="1777" spans="1:10" x14ac:dyDescent="0.25">
      <c r="A1777">
        <v>27827926</v>
      </c>
      <c r="B1777" t="s">
        <v>17</v>
      </c>
      <c r="C1777" s="4">
        <v>44771.531020162038</v>
      </c>
      <c r="D1777" t="s">
        <v>1552</v>
      </c>
      <c r="E1777" t="s">
        <v>129</v>
      </c>
      <c r="F1777" t="s">
        <v>49</v>
      </c>
      <c r="G1777" t="s">
        <v>74</v>
      </c>
      <c r="H1777" t="s">
        <v>239</v>
      </c>
      <c r="I1777" t="s">
        <v>21</v>
      </c>
      <c r="J1777" t="s">
        <v>368</v>
      </c>
    </row>
    <row r="1778" spans="1:10" x14ac:dyDescent="0.25">
      <c r="A1778">
        <v>27827927</v>
      </c>
      <c r="B1778" t="s">
        <v>17</v>
      </c>
      <c r="C1778" s="4">
        <v>44771.531029930557</v>
      </c>
      <c r="D1778" t="s">
        <v>1552</v>
      </c>
      <c r="E1778" t="s">
        <v>129</v>
      </c>
      <c r="F1778" t="s">
        <v>49</v>
      </c>
      <c r="G1778" t="s">
        <v>74</v>
      </c>
      <c r="H1778" t="s">
        <v>240</v>
      </c>
      <c r="I1778" t="s">
        <v>21</v>
      </c>
      <c r="J1778" t="s">
        <v>368</v>
      </c>
    </row>
    <row r="1779" spans="1:10" x14ac:dyDescent="0.25">
      <c r="A1779">
        <v>27827941</v>
      </c>
      <c r="B1779" t="s">
        <v>17</v>
      </c>
      <c r="C1779" s="4">
        <v>44771.531301631941</v>
      </c>
      <c r="D1779" t="s">
        <v>1547</v>
      </c>
      <c r="E1779" t="s">
        <v>27</v>
      </c>
      <c r="F1779" t="s">
        <v>18</v>
      </c>
      <c r="G1779" t="s">
        <v>265</v>
      </c>
      <c r="H1779" t="s">
        <v>40</v>
      </c>
      <c r="I1779" t="s">
        <v>21</v>
      </c>
      <c r="J1779" t="s">
        <v>1548</v>
      </c>
    </row>
    <row r="1780" spans="1:10" x14ac:dyDescent="0.25">
      <c r="A1780">
        <v>27827950</v>
      </c>
      <c r="B1780" t="s">
        <v>17</v>
      </c>
      <c r="C1780" s="4">
        <v>44771.531581157411</v>
      </c>
      <c r="D1780" t="s">
        <v>1546</v>
      </c>
      <c r="E1780" t="s">
        <v>349</v>
      </c>
      <c r="F1780" t="s">
        <v>49</v>
      </c>
      <c r="G1780" t="s">
        <v>84</v>
      </c>
      <c r="H1780" t="s">
        <v>40</v>
      </c>
      <c r="I1780" t="s">
        <v>21</v>
      </c>
      <c r="J1780" t="s">
        <v>372</v>
      </c>
    </row>
    <row r="1781" spans="1:10" x14ac:dyDescent="0.25">
      <c r="A1781">
        <v>27827955</v>
      </c>
      <c r="B1781" t="s">
        <v>17</v>
      </c>
      <c r="C1781" s="4">
        <v>44771.532000509258</v>
      </c>
      <c r="D1781" t="s">
        <v>1547</v>
      </c>
      <c r="E1781" t="s">
        <v>27</v>
      </c>
      <c r="F1781" t="s">
        <v>18</v>
      </c>
      <c r="G1781" t="s">
        <v>265</v>
      </c>
      <c r="H1781" t="s">
        <v>25</v>
      </c>
      <c r="I1781" t="s">
        <v>21</v>
      </c>
      <c r="J1781" t="s">
        <v>1548</v>
      </c>
    </row>
    <row r="1782" spans="1:10" x14ac:dyDescent="0.25">
      <c r="A1782">
        <v>27827966</v>
      </c>
      <c r="B1782" t="s">
        <v>17</v>
      </c>
      <c r="C1782" s="4">
        <v>44771.532051469912</v>
      </c>
      <c r="D1782" t="s">
        <v>1546</v>
      </c>
      <c r="E1782" t="s">
        <v>349</v>
      </c>
      <c r="F1782" t="s">
        <v>49</v>
      </c>
      <c r="G1782" t="s">
        <v>84</v>
      </c>
      <c r="H1782" t="s">
        <v>25</v>
      </c>
      <c r="I1782" t="s">
        <v>21</v>
      </c>
      <c r="J1782" t="s">
        <v>372</v>
      </c>
    </row>
    <row r="1783" spans="1:10" x14ac:dyDescent="0.25">
      <c r="A1783">
        <v>27827987</v>
      </c>
      <c r="B1783" t="s">
        <v>17</v>
      </c>
      <c r="C1783" s="4">
        <v>44771.532501226851</v>
      </c>
      <c r="F1783" t="s">
        <v>52</v>
      </c>
      <c r="G1783" t="s">
        <v>408</v>
      </c>
      <c r="H1783" t="s">
        <v>196</v>
      </c>
      <c r="I1783" t="s">
        <v>21</v>
      </c>
    </row>
    <row r="1784" spans="1:10" x14ac:dyDescent="0.25">
      <c r="A1784">
        <v>27827993</v>
      </c>
      <c r="B1784" t="s">
        <v>17</v>
      </c>
      <c r="C1784" s="4">
        <v>44771.532596006953</v>
      </c>
      <c r="F1784" t="s">
        <v>52</v>
      </c>
      <c r="G1784" t="s">
        <v>408</v>
      </c>
      <c r="H1784" t="s">
        <v>20</v>
      </c>
      <c r="I1784" t="s">
        <v>21</v>
      </c>
    </row>
    <row r="1785" spans="1:10" x14ac:dyDescent="0.25">
      <c r="A1785">
        <v>27828004</v>
      </c>
      <c r="B1785" t="s">
        <v>17</v>
      </c>
      <c r="C1785" s="4">
        <v>44771.532849768519</v>
      </c>
      <c r="D1785" t="s">
        <v>1514</v>
      </c>
      <c r="E1785" t="s">
        <v>38</v>
      </c>
      <c r="F1785" t="s">
        <v>52</v>
      </c>
      <c r="G1785" t="s">
        <v>408</v>
      </c>
      <c r="H1785" t="s">
        <v>79</v>
      </c>
      <c r="I1785" t="s">
        <v>21</v>
      </c>
    </row>
    <row r="1786" spans="1:10" x14ac:dyDescent="0.25">
      <c r="A1786">
        <v>27828009</v>
      </c>
      <c r="B1786" t="s">
        <v>17</v>
      </c>
      <c r="C1786" s="4">
        <v>44771.532974641203</v>
      </c>
      <c r="F1786" t="s">
        <v>52</v>
      </c>
      <c r="G1786" t="s">
        <v>408</v>
      </c>
      <c r="H1786" t="s">
        <v>20</v>
      </c>
      <c r="I1786" t="s">
        <v>21</v>
      </c>
    </row>
    <row r="1787" spans="1:10" x14ac:dyDescent="0.25">
      <c r="A1787">
        <v>27828016</v>
      </c>
      <c r="B1787" t="s">
        <v>17</v>
      </c>
      <c r="C1787" s="4">
        <v>44771.533127685187</v>
      </c>
      <c r="D1787" t="s">
        <v>1514</v>
      </c>
      <c r="E1787" t="s">
        <v>30</v>
      </c>
      <c r="F1787" t="s">
        <v>52</v>
      </c>
      <c r="G1787" t="s">
        <v>408</v>
      </c>
      <c r="H1787" t="s">
        <v>79</v>
      </c>
      <c r="I1787" t="s">
        <v>21</v>
      </c>
    </row>
    <row r="1788" spans="1:10" x14ac:dyDescent="0.25">
      <c r="A1788">
        <v>27828028</v>
      </c>
      <c r="B1788" t="s">
        <v>17</v>
      </c>
      <c r="C1788" s="4">
        <v>44771.533421388893</v>
      </c>
      <c r="F1788" t="s">
        <v>18</v>
      </c>
      <c r="G1788" t="s">
        <v>228</v>
      </c>
      <c r="H1788" t="s">
        <v>81</v>
      </c>
      <c r="I1788" t="s">
        <v>21</v>
      </c>
    </row>
    <row r="1789" spans="1:10" x14ac:dyDescent="0.25">
      <c r="A1789">
        <v>27828030</v>
      </c>
      <c r="B1789" t="s">
        <v>17</v>
      </c>
      <c r="C1789" s="4">
        <v>44771.533423842593</v>
      </c>
      <c r="F1789" t="s">
        <v>18</v>
      </c>
      <c r="G1789" t="s">
        <v>228</v>
      </c>
      <c r="H1789" t="s">
        <v>93</v>
      </c>
      <c r="I1789" t="s">
        <v>21</v>
      </c>
    </row>
    <row r="1790" spans="1:10" x14ac:dyDescent="0.25">
      <c r="A1790">
        <v>27828045</v>
      </c>
      <c r="B1790" t="s">
        <v>17</v>
      </c>
      <c r="C1790" s="4">
        <v>44771.533873229157</v>
      </c>
      <c r="F1790" t="s">
        <v>18</v>
      </c>
      <c r="G1790" t="s">
        <v>228</v>
      </c>
      <c r="H1790" t="s">
        <v>81</v>
      </c>
      <c r="I1790" t="s">
        <v>21</v>
      </c>
    </row>
    <row r="1791" spans="1:10" x14ac:dyDescent="0.25">
      <c r="A1791">
        <v>27828047</v>
      </c>
      <c r="B1791" t="s">
        <v>17</v>
      </c>
      <c r="C1791" s="4">
        <v>44771.533873495369</v>
      </c>
      <c r="F1791" t="s">
        <v>18</v>
      </c>
      <c r="G1791" t="s">
        <v>228</v>
      </c>
      <c r="H1791" t="s">
        <v>93</v>
      </c>
      <c r="I1791" t="s">
        <v>21</v>
      </c>
    </row>
    <row r="1792" spans="1:10" x14ac:dyDescent="0.25">
      <c r="A1792">
        <v>27828065</v>
      </c>
      <c r="B1792" t="s">
        <v>17</v>
      </c>
      <c r="C1792" s="4">
        <v>44771.534511736107</v>
      </c>
      <c r="D1792" t="s">
        <v>1549</v>
      </c>
      <c r="E1792" t="s">
        <v>38</v>
      </c>
      <c r="F1792" t="s">
        <v>23</v>
      </c>
      <c r="G1792" t="s">
        <v>274</v>
      </c>
      <c r="H1792" t="s">
        <v>40</v>
      </c>
      <c r="I1792" t="s">
        <v>21</v>
      </c>
      <c r="J1792" t="s">
        <v>373</v>
      </c>
    </row>
    <row r="1793" spans="1:10" x14ac:dyDescent="0.25">
      <c r="A1793">
        <v>27828066</v>
      </c>
      <c r="B1793" t="s">
        <v>17</v>
      </c>
      <c r="C1793" s="4">
        <v>44771.53451928241</v>
      </c>
      <c r="D1793" t="s">
        <v>1554</v>
      </c>
      <c r="E1793" t="s">
        <v>27</v>
      </c>
      <c r="F1793" t="s">
        <v>49</v>
      </c>
      <c r="G1793" t="s">
        <v>128</v>
      </c>
      <c r="H1793" t="s">
        <v>29</v>
      </c>
      <c r="I1793" t="s">
        <v>21</v>
      </c>
      <c r="J1793" t="s">
        <v>1555</v>
      </c>
    </row>
    <row r="1794" spans="1:10" x14ac:dyDescent="0.25">
      <c r="A1794">
        <v>27828101</v>
      </c>
      <c r="B1794" t="s">
        <v>17</v>
      </c>
      <c r="C1794" s="4">
        <v>44771.534891354167</v>
      </c>
      <c r="D1794" t="s">
        <v>1556</v>
      </c>
      <c r="E1794" t="s">
        <v>38</v>
      </c>
      <c r="F1794" t="s">
        <v>52</v>
      </c>
      <c r="G1794" t="s">
        <v>234</v>
      </c>
      <c r="H1794" t="s">
        <v>29</v>
      </c>
      <c r="I1794" t="s">
        <v>21</v>
      </c>
      <c r="J1794" t="s">
        <v>1557</v>
      </c>
    </row>
    <row r="1795" spans="1:10" x14ac:dyDescent="0.25">
      <c r="A1795">
        <v>27828108</v>
      </c>
      <c r="B1795" t="s">
        <v>17</v>
      </c>
      <c r="C1795" s="4">
        <v>44771.535016967588</v>
      </c>
      <c r="D1795" t="s">
        <v>1549</v>
      </c>
      <c r="E1795" t="s">
        <v>38</v>
      </c>
      <c r="F1795" t="s">
        <v>23</v>
      </c>
      <c r="G1795" t="s">
        <v>274</v>
      </c>
      <c r="H1795" t="s">
        <v>25</v>
      </c>
      <c r="I1795" t="s">
        <v>21</v>
      </c>
      <c r="J1795" t="s">
        <v>373</v>
      </c>
    </row>
    <row r="1796" spans="1:10" x14ac:dyDescent="0.25">
      <c r="A1796">
        <v>27828149</v>
      </c>
      <c r="B1796" t="s">
        <v>17</v>
      </c>
      <c r="C1796" s="4">
        <v>44771.535924537027</v>
      </c>
      <c r="D1796" t="s">
        <v>1550</v>
      </c>
      <c r="E1796" t="s">
        <v>27</v>
      </c>
      <c r="F1796" t="s">
        <v>18</v>
      </c>
      <c r="G1796" t="s">
        <v>396</v>
      </c>
      <c r="H1796" t="s">
        <v>40</v>
      </c>
      <c r="I1796" t="s">
        <v>21</v>
      </c>
      <c r="J1796" t="s">
        <v>1551</v>
      </c>
    </row>
    <row r="1797" spans="1:10" x14ac:dyDescent="0.25">
      <c r="A1797">
        <v>27828160</v>
      </c>
      <c r="B1797" t="s">
        <v>17</v>
      </c>
      <c r="C1797" s="4">
        <v>44771.536246481483</v>
      </c>
      <c r="D1797" t="s">
        <v>1558</v>
      </c>
      <c r="E1797" t="s">
        <v>38</v>
      </c>
      <c r="F1797" t="s">
        <v>52</v>
      </c>
      <c r="G1797" t="s">
        <v>410</v>
      </c>
      <c r="H1797" t="s">
        <v>42</v>
      </c>
      <c r="I1797" t="s">
        <v>21</v>
      </c>
      <c r="J1797" t="s">
        <v>303</v>
      </c>
    </row>
    <row r="1798" spans="1:10" x14ac:dyDescent="0.25">
      <c r="A1798">
        <v>27828162</v>
      </c>
      <c r="B1798" t="s">
        <v>17</v>
      </c>
      <c r="C1798" s="4">
        <v>44771.536258437503</v>
      </c>
      <c r="D1798" t="s">
        <v>1550</v>
      </c>
      <c r="E1798" t="s">
        <v>27</v>
      </c>
      <c r="F1798" t="s">
        <v>18</v>
      </c>
      <c r="G1798" t="s">
        <v>396</v>
      </c>
      <c r="H1798" t="s">
        <v>25</v>
      </c>
      <c r="I1798" t="s">
        <v>21</v>
      </c>
      <c r="J1798" t="s">
        <v>1551</v>
      </c>
    </row>
    <row r="1799" spans="1:10" x14ac:dyDescent="0.25">
      <c r="A1799">
        <v>27828184</v>
      </c>
      <c r="B1799" t="s">
        <v>17</v>
      </c>
      <c r="C1799" s="4">
        <v>44771.536814189807</v>
      </c>
      <c r="D1799" t="s">
        <v>1558</v>
      </c>
      <c r="E1799" t="s">
        <v>38</v>
      </c>
      <c r="F1799" t="s">
        <v>52</v>
      </c>
      <c r="G1799" t="s">
        <v>410</v>
      </c>
      <c r="H1799" t="s">
        <v>54</v>
      </c>
      <c r="I1799" t="s">
        <v>21</v>
      </c>
      <c r="J1799" t="s">
        <v>303</v>
      </c>
    </row>
    <row r="1800" spans="1:10" x14ac:dyDescent="0.25">
      <c r="A1800">
        <v>27828199</v>
      </c>
      <c r="B1800" t="s">
        <v>17</v>
      </c>
      <c r="C1800" s="4">
        <v>44771.537403981492</v>
      </c>
      <c r="D1800" t="s">
        <v>1559</v>
      </c>
      <c r="E1800" t="s">
        <v>27</v>
      </c>
      <c r="F1800" t="s">
        <v>18</v>
      </c>
      <c r="G1800" t="s">
        <v>83</v>
      </c>
      <c r="H1800" t="s">
        <v>42</v>
      </c>
      <c r="I1800" t="s">
        <v>21</v>
      </c>
      <c r="J1800" t="s">
        <v>1560</v>
      </c>
    </row>
    <row r="1801" spans="1:10" x14ac:dyDescent="0.25">
      <c r="A1801">
        <v>27828212</v>
      </c>
      <c r="B1801" t="s">
        <v>17</v>
      </c>
      <c r="C1801" s="4">
        <v>44771.537697800923</v>
      </c>
      <c r="D1801" t="s">
        <v>807</v>
      </c>
      <c r="E1801" t="s">
        <v>310</v>
      </c>
      <c r="F1801" t="s">
        <v>18</v>
      </c>
      <c r="G1801" t="s">
        <v>429</v>
      </c>
      <c r="H1801" t="s">
        <v>29</v>
      </c>
      <c r="I1801" t="s">
        <v>21</v>
      </c>
      <c r="J1801" t="s">
        <v>1460</v>
      </c>
    </row>
    <row r="1802" spans="1:10" x14ac:dyDescent="0.25">
      <c r="A1802">
        <v>27828226</v>
      </c>
      <c r="B1802" t="s">
        <v>17</v>
      </c>
      <c r="C1802" s="4">
        <v>44771.538077395831</v>
      </c>
      <c r="D1802" t="s">
        <v>1559</v>
      </c>
      <c r="E1802" t="s">
        <v>27</v>
      </c>
      <c r="F1802" t="s">
        <v>18</v>
      </c>
      <c r="G1802" t="s">
        <v>83</v>
      </c>
      <c r="H1802" t="s">
        <v>54</v>
      </c>
      <c r="I1802" t="s">
        <v>21</v>
      </c>
      <c r="J1802" t="s">
        <v>1560</v>
      </c>
    </row>
    <row r="1803" spans="1:10" x14ac:dyDescent="0.25">
      <c r="A1803">
        <v>27828245</v>
      </c>
      <c r="B1803" t="s">
        <v>17</v>
      </c>
      <c r="C1803" s="4">
        <v>44771.538295775463</v>
      </c>
      <c r="F1803" t="s">
        <v>18</v>
      </c>
      <c r="G1803" t="s">
        <v>228</v>
      </c>
      <c r="H1803" t="s">
        <v>81</v>
      </c>
      <c r="I1803" t="s">
        <v>21</v>
      </c>
    </row>
    <row r="1804" spans="1:10" x14ac:dyDescent="0.25">
      <c r="A1804">
        <v>27828253</v>
      </c>
      <c r="B1804" t="s">
        <v>17</v>
      </c>
      <c r="C1804" s="4">
        <v>44771.538378148151</v>
      </c>
      <c r="F1804" t="s">
        <v>18</v>
      </c>
      <c r="G1804" t="s">
        <v>228</v>
      </c>
      <c r="H1804" t="s">
        <v>93</v>
      </c>
      <c r="I1804" t="s">
        <v>21</v>
      </c>
    </row>
    <row r="1805" spans="1:10" x14ac:dyDescent="0.25">
      <c r="A1805">
        <v>27828361</v>
      </c>
      <c r="B1805" t="s">
        <v>17</v>
      </c>
      <c r="C1805" s="4">
        <v>44771.542464756953</v>
      </c>
      <c r="D1805" t="s">
        <v>1552</v>
      </c>
      <c r="E1805" t="s">
        <v>129</v>
      </c>
      <c r="F1805" t="s">
        <v>49</v>
      </c>
      <c r="G1805" t="s">
        <v>74</v>
      </c>
      <c r="H1805" t="s">
        <v>40</v>
      </c>
      <c r="I1805" t="s">
        <v>21</v>
      </c>
      <c r="J1805" t="s">
        <v>368</v>
      </c>
    </row>
    <row r="1806" spans="1:10" x14ac:dyDescent="0.25">
      <c r="A1806">
        <v>27828381</v>
      </c>
      <c r="B1806" t="s">
        <v>17</v>
      </c>
      <c r="C1806" s="4">
        <v>44771.54307172454</v>
      </c>
      <c r="F1806" t="s">
        <v>18</v>
      </c>
      <c r="G1806" t="s">
        <v>228</v>
      </c>
      <c r="H1806" t="s">
        <v>81</v>
      </c>
      <c r="I1806" t="s">
        <v>21</v>
      </c>
    </row>
    <row r="1807" spans="1:10" x14ac:dyDescent="0.25">
      <c r="A1807">
        <v>27828386</v>
      </c>
      <c r="B1807" t="s">
        <v>17</v>
      </c>
      <c r="C1807" s="4">
        <v>44771.543130902777</v>
      </c>
      <c r="D1807" t="s">
        <v>1552</v>
      </c>
      <c r="E1807" t="s">
        <v>129</v>
      </c>
      <c r="F1807" t="s">
        <v>49</v>
      </c>
      <c r="G1807" t="s">
        <v>74</v>
      </c>
      <c r="H1807" t="s">
        <v>25</v>
      </c>
      <c r="I1807" t="s">
        <v>21</v>
      </c>
      <c r="J1807" t="s">
        <v>368</v>
      </c>
    </row>
    <row r="1808" spans="1:10" x14ac:dyDescent="0.25">
      <c r="A1808">
        <v>27828394</v>
      </c>
      <c r="B1808" t="s">
        <v>17</v>
      </c>
      <c r="C1808" s="4">
        <v>44771.543141574068</v>
      </c>
      <c r="F1808" t="s">
        <v>18</v>
      </c>
      <c r="G1808" t="s">
        <v>228</v>
      </c>
      <c r="H1808" t="s">
        <v>93</v>
      </c>
      <c r="I1808" t="s">
        <v>21</v>
      </c>
    </row>
    <row r="1809" spans="1:10" x14ac:dyDescent="0.25">
      <c r="A1809">
        <v>27828406</v>
      </c>
      <c r="B1809" t="s">
        <v>17</v>
      </c>
      <c r="C1809" s="4">
        <v>44771.54332780093</v>
      </c>
      <c r="D1809" t="s">
        <v>1558</v>
      </c>
      <c r="E1809" t="s">
        <v>38</v>
      </c>
      <c r="F1809" t="s">
        <v>52</v>
      </c>
      <c r="G1809" t="s">
        <v>410</v>
      </c>
      <c r="H1809" t="s">
        <v>40</v>
      </c>
      <c r="I1809" t="s">
        <v>21</v>
      </c>
      <c r="J1809" t="s">
        <v>303</v>
      </c>
    </row>
    <row r="1810" spans="1:10" x14ac:dyDescent="0.25">
      <c r="A1810">
        <v>27828417</v>
      </c>
      <c r="B1810" t="s">
        <v>17</v>
      </c>
      <c r="C1810" s="4">
        <v>44771.543854120369</v>
      </c>
      <c r="D1810" t="s">
        <v>1558</v>
      </c>
      <c r="E1810" t="s">
        <v>38</v>
      </c>
      <c r="F1810" t="s">
        <v>52</v>
      </c>
      <c r="G1810" t="s">
        <v>410</v>
      </c>
      <c r="H1810" t="s">
        <v>25</v>
      </c>
      <c r="I1810" t="s">
        <v>21</v>
      </c>
      <c r="J1810" t="s">
        <v>303</v>
      </c>
    </row>
    <row r="1811" spans="1:10" x14ac:dyDescent="0.25">
      <c r="A1811">
        <v>27828429</v>
      </c>
      <c r="B1811" t="s">
        <v>17</v>
      </c>
      <c r="C1811" s="4">
        <v>44771.543908935193</v>
      </c>
      <c r="D1811" t="s">
        <v>1561</v>
      </c>
      <c r="E1811" t="s">
        <v>27</v>
      </c>
      <c r="F1811" t="s">
        <v>18</v>
      </c>
      <c r="G1811" t="s">
        <v>226</v>
      </c>
      <c r="H1811" t="s">
        <v>29</v>
      </c>
      <c r="I1811" t="s">
        <v>21</v>
      </c>
      <c r="J1811" t="s">
        <v>1562</v>
      </c>
    </row>
    <row r="1812" spans="1:10" x14ac:dyDescent="0.25">
      <c r="A1812">
        <v>27828443</v>
      </c>
      <c r="B1812" t="s">
        <v>17</v>
      </c>
      <c r="C1812" s="4">
        <v>44771.544180752317</v>
      </c>
      <c r="F1812" t="s">
        <v>18</v>
      </c>
      <c r="G1812" t="s">
        <v>228</v>
      </c>
      <c r="H1812" t="s">
        <v>81</v>
      </c>
      <c r="I1812" t="s">
        <v>21</v>
      </c>
    </row>
    <row r="1813" spans="1:10" x14ac:dyDescent="0.25">
      <c r="A1813">
        <v>27828447</v>
      </c>
      <c r="B1813" t="s">
        <v>17</v>
      </c>
      <c r="C1813" s="4">
        <v>44771.544227210637</v>
      </c>
      <c r="D1813" t="s">
        <v>1563</v>
      </c>
      <c r="E1813" t="s">
        <v>62</v>
      </c>
      <c r="F1813" t="s">
        <v>57</v>
      </c>
      <c r="G1813" t="s">
        <v>335</v>
      </c>
      <c r="H1813" t="s">
        <v>29</v>
      </c>
      <c r="I1813" t="s">
        <v>21</v>
      </c>
      <c r="J1813" t="s">
        <v>1564</v>
      </c>
    </row>
    <row r="1814" spans="1:10" x14ac:dyDescent="0.25">
      <c r="A1814">
        <v>27828453</v>
      </c>
      <c r="B1814" t="s">
        <v>17</v>
      </c>
      <c r="C1814" s="4">
        <v>44771.544240578703</v>
      </c>
      <c r="D1814" t="s">
        <v>1565</v>
      </c>
      <c r="E1814" t="s">
        <v>27</v>
      </c>
      <c r="F1814" t="s">
        <v>18</v>
      </c>
      <c r="G1814" t="s">
        <v>154</v>
      </c>
      <c r="H1814" t="s">
        <v>29</v>
      </c>
      <c r="I1814" t="s">
        <v>21</v>
      </c>
      <c r="J1814" t="s">
        <v>1566</v>
      </c>
    </row>
    <row r="1815" spans="1:10" x14ac:dyDescent="0.25">
      <c r="A1815">
        <v>27828459</v>
      </c>
      <c r="B1815" t="s">
        <v>17</v>
      </c>
      <c r="C1815" s="4">
        <v>44771.544252523148</v>
      </c>
      <c r="F1815" t="s">
        <v>18</v>
      </c>
      <c r="G1815" t="s">
        <v>228</v>
      </c>
      <c r="H1815" t="s">
        <v>93</v>
      </c>
      <c r="I1815" t="s">
        <v>21</v>
      </c>
    </row>
    <row r="1816" spans="1:10" x14ac:dyDescent="0.25">
      <c r="A1816">
        <v>27828504</v>
      </c>
      <c r="B1816" t="s">
        <v>17</v>
      </c>
      <c r="C1816" s="4">
        <v>44771.54544454861</v>
      </c>
      <c r="D1816" t="s">
        <v>1559</v>
      </c>
      <c r="E1816" t="s">
        <v>27</v>
      </c>
      <c r="F1816" t="s">
        <v>18</v>
      </c>
      <c r="G1816" t="s">
        <v>83</v>
      </c>
      <c r="H1816" t="s">
        <v>40</v>
      </c>
      <c r="I1816" t="s">
        <v>21</v>
      </c>
      <c r="J1816" t="s">
        <v>1560</v>
      </c>
    </row>
    <row r="1817" spans="1:10" x14ac:dyDescent="0.25">
      <c r="A1817">
        <v>27828519</v>
      </c>
      <c r="B1817" t="s">
        <v>17</v>
      </c>
      <c r="C1817" s="4">
        <v>44771.545914942129</v>
      </c>
      <c r="D1817" t="s">
        <v>1559</v>
      </c>
      <c r="E1817" t="s">
        <v>27</v>
      </c>
      <c r="F1817" t="s">
        <v>18</v>
      </c>
      <c r="G1817" t="s">
        <v>83</v>
      </c>
      <c r="H1817" t="s">
        <v>25</v>
      </c>
      <c r="I1817" t="s">
        <v>21</v>
      </c>
      <c r="J1817" t="s">
        <v>1560</v>
      </c>
    </row>
    <row r="1818" spans="1:10" x14ac:dyDescent="0.25">
      <c r="A1818">
        <v>27828566</v>
      </c>
      <c r="B1818" t="s">
        <v>17</v>
      </c>
      <c r="C1818" s="4">
        <v>44771.548107303242</v>
      </c>
      <c r="D1818" t="s">
        <v>1567</v>
      </c>
      <c r="E1818" t="s">
        <v>48</v>
      </c>
      <c r="F1818" t="s">
        <v>49</v>
      </c>
      <c r="G1818" t="s">
        <v>359</v>
      </c>
      <c r="H1818" t="s">
        <v>29</v>
      </c>
      <c r="I1818" t="s">
        <v>21</v>
      </c>
      <c r="J1818" t="s">
        <v>1568</v>
      </c>
    </row>
    <row r="1819" spans="1:10" x14ac:dyDescent="0.25">
      <c r="A1819">
        <v>27828587</v>
      </c>
      <c r="B1819" t="s">
        <v>17</v>
      </c>
      <c r="C1819" s="4">
        <v>44771.548642754628</v>
      </c>
      <c r="D1819" t="s">
        <v>1569</v>
      </c>
      <c r="E1819" t="s">
        <v>38</v>
      </c>
      <c r="F1819" t="s">
        <v>23</v>
      </c>
      <c r="G1819" t="s">
        <v>355</v>
      </c>
      <c r="H1819" t="s">
        <v>29</v>
      </c>
      <c r="I1819" t="s">
        <v>21</v>
      </c>
      <c r="J1819" t="s">
        <v>382</v>
      </c>
    </row>
    <row r="1820" spans="1:10" x14ac:dyDescent="0.25">
      <c r="A1820">
        <v>27828624</v>
      </c>
      <c r="B1820" t="s">
        <v>17</v>
      </c>
      <c r="C1820" s="4">
        <v>44771.549901886567</v>
      </c>
      <c r="F1820" t="s">
        <v>18</v>
      </c>
      <c r="G1820" t="s">
        <v>228</v>
      </c>
      <c r="H1820" t="s">
        <v>81</v>
      </c>
      <c r="I1820" t="s">
        <v>21</v>
      </c>
    </row>
    <row r="1821" spans="1:10" x14ac:dyDescent="0.25">
      <c r="A1821">
        <v>27828626</v>
      </c>
      <c r="B1821" t="s">
        <v>17</v>
      </c>
      <c r="C1821" s="4">
        <v>44771.549902071762</v>
      </c>
      <c r="F1821" t="s">
        <v>18</v>
      </c>
      <c r="G1821" t="s">
        <v>228</v>
      </c>
      <c r="H1821" t="s">
        <v>93</v>
      </c>
      <c r="I1821" t="s">
        <v>21</v>
      </c>
    </row>
    <row r="1822" spans="1:10" x14ac:dyDescent="0.25">
      <c r="A1822">
        <v>27828639</v>
      </c>
      <c r="B1822" t="s">
        <v>17</v>
      </c>
      <c r="C1822" s="4">
        <v>44771.550199490739</v>
      </c>
      <c r="F1822" t="s">
        <v>18</v>
      </c>
      <c r="G1822" t="s">
        <v>228</v>
      </c>
      <c r="H1822" t="s">
        <v>81</v>
      </c>
      <c r="I1822" t="s">
        <v>21</v>
      </c>
    </row>
    <row r="1823" spans="1:10" x14ac:dyDescent="0.25">
      <c r="A1823">
        <v>27828641</v>
      </c>
      <c r="B1823" t="s">
        <v>17</v>
      </c>
      <c r="C1823" s="4">
        <v>44771.550199710648</v>
      </c>
      <c r="F1823" t="s">
        <v>18</v>
      </c>
      <c r="G1823" t="s">
        <v>228</v>
      </c>
      <c r="H1823" t="s">
        <v>93</v>
      </c>
      <c r="I1823" t="s">
        <v>21</v>
      </c>
    </row>
    <row r="1824" spans="1:10" x14ac:dyDescent="0.25">
      <c r="A1824">
        <v>27828650</v>
      </c>
      <c r="B1824" t="s">
        <v>17</v>
      </c>
      <c r="C1824" s="4">
        <v>44771.550508402783</v>
      </c>
      <c r="D1824" t="s">
        <v>1570</v>
      </c>
      <c r="E1824" t="s">
        <v>72</v>
      </c>
      <c r="F1824" t="s">
        <v>49</v>
      </c>
      <c r="G1824" t="s">
        <v>73</v>
      </c>
      <c r="H1824" t="s">
        <v>29</v>
      </c>
      <c r="I1824" t="s">
        <v>21</v>
      </c>
      <c r="J1824" t="s">
        <v>1571</v>
      </c>
    </row>
    <row r="1825" spans="1:10" x14ac:dyDescent="0.25">
      <c r="A1825">
        <v>27828685</v>
      </c>
      <c r="B1825" t="s">
        <v>17</v>
      </c>
      <c r="C1825" s="4">
        <v>44771.551255439823</v>
      </c>
      <c r="D1825" t="s">
        <v>1572</v>
      </c>
      <c r="E1825" t="s">
        <v>72</v>
      </c>
      <c r="F1825" t="s">
        <v>18</v>
      </c>
      <c r="G1825" t="s">
        <v>236</v>
      </c>
      <c r="H1825" t="s">
        <v>29</v>
      </c>
      <c r="I1825" t="s">
        <v>21</v>
      </c>
      <c r="J1825" t="s">
        <v>1573</v>
      </c>
    </row>
    <row r="1826" spans="1:10" x14ac:dyDescent="0.25">
      <c r="A1826">
        <v>27828704</v>
      </c>
      <c r="B1826" t="s">
        <v>17</v>
      </c>
      <c r="C1826" s="4">
        <v>44771.551600196763</v>
      </c>
      <c r="D1826" t="s">
        <v>1574</v>
      </c>
      <c r="E1826" t="s">
        <v>27</v>
      </c>
      <c r="F1826" t="s">
        <v>18</v>
      </c>
      <c r="G1826" t="s">
        <v>285</v>
      </c>
      <c r="H1826" t="s">
        <v>29</v>
      </c>
      <c r="I1826" t="s">
        <v>21</v>
      </c>
      <c r="J1826" t="s">
        <v>1575</v>
      </c>
    </row>
    <row r="1827" spans="1:10" x14ac:dyDescent="0.25">
      <c r="A1827">
        <v>27828784</v>
      </c>
      <c r="B1827" t="s">
        <v>17</v>
      </c>
      <c r="C1827" s="4">
        <v>44771.554150069453</v>
      </c>
      <c r="D1827" t="s">
        <v>1576</v>
      </c>
      <c r="E1827" t="s">
        <v>62</v>
      </c>
      <c r="F1827" t="s">
        <v>49</v>
      </c>
      <c r="G1827" t="s">
        <v>359</v>
      </c>
      <c r="H1827" t="s">
        <v>29</v>
      </c>
      <c r="I1827" t="s">
        <v>21</v>
      </c>
      <c r="J1827" t="s">
        <v>295</v>
      </c>
    </row>
    <row r="1828" spans="1:10" x14ac:dyDescent="0.25">
      <c r="A1828">
        <v>27828875</v>
      </c>
      <c r="B1828" t="s">
        <v>17</v>
      </c>
      <c r="C1828" s="4">
        <v>44771.556327662038</v>
      </c>
      <c r="D1828" t="s">
        <v>1577</v>
      </c>
      <c r="E1828" t="s">
        <v>62</v>
      </c>
      <c r="F1828" t="s">
        <v>18</v>
      </c>
      <c r="G1828" t="s">
        <v>176</v>
      </c>
      <c r="H1828" t="s">
        <v>42</v>
      </c>
      <c r="I1828" t="s">
        <v>21</v>
      </c>
      <c r="J1828" t="s">
        <v>1578</v>
      </c>
    </row>
    <row r="1829" spans="1:10" x14ac:dyDescent="0.25">
      <c r="A1829">
        <v>27828888</v>
      </c>
      <c r="B1829" t="s">
        <v>17</v>
      </c>
      <c r="C1829" s="4">
        <v>44771.55684513889</v>
      </c>
      <c r="D1829" t="s">
        <v>1579</v>
      </c>
      <c r="E1829" t="s">
        <v>105</v>
      </c>
      <c r="F1829" t="s">
        <v>49</v>
      </c>
      <c r="G1829" t="s">
        <v>250</v>
      </c>
      <c r="H1829" t="s">
        <v>29</v>
      </c>
      <c r="I1829" t="s">
        <v>21</v>
      </c>
      <c r="J1829" t="s">
        <v>1580</v>
      </c>
    </row>
    <row r="1830" spans="1:10" x14ac:dyDescent="0.25">
      <c r="A1830">
        <v>27828903</v>
      </c>
      <c r="B1830" t="s">
        <v>17</v>
      </c>
      <c r="C1830" s="4">
        <v>44771.557200856478</v>
      </c>
      <c r="D1830" t="s">
        <v>1577</v>
      </c>
      <c r="E1830" t="s">
        <v>62</v>
      </c>
      <c r="F1830" t="s">
        <v>18</v>
      </c>
      <c r="G1830" t="s">
        <v>176</v>
      </c>
      <c r="H1830" t="s">
        <v>54</v>
      </c>
      <c r="I1830" t="s">
        <v>21</v>
      </c>
      <c r="J1830" t="s">
        <v>1578</v>
      </c>
    </row>
    <row r="1831" spans="1:10" x14ac:dyDescent="0.25">
      <c r="A1831">
        <v>27828921</v>
      </c>
      <c r="B1831" t="s">
        <v>17</v>
      </c>
      <c r="C1831" s="4">
        <v>44771.557681481478</v>
      </c>
      <c r="F1831" t="s">
        <v>18</v>
      </c>
      <c r="G1831" t="s">
        <v>228</v>
      </c>
      <c r="H1831" t="s">
        <v>81</v>
      </c>
      <c r="I1831" t="s">
        <v>21</v>
      </c>
    </row>
    <row r="1832" spans="1:10" x14ac:dyDescent="0.25">
      <c r="A1832">
        <v>27828924</v>
      </c>
      <c r="B1832" t="s">
        <v>17</v>
      </c>
      <c r="C1832" s="4">
        <v>44771.557753680558</v>
      </c>
      <c r="F1832" t="s">
        <v>18</v>
      </c>
      <c r="G1832" t="s">
        <v>228</v>
      </c>
      <c r="H1832" t="s">
        <v>93</v>
      </c>
      <c r="I1832" t="s">
        <v>21</v>
      </c>
    </row>
    <row r="1833" spans="1:10" x14ac:dyDescent="0.25">
      <c r="A1833">
        <v>27828928</v>
      </c>
      <c r="B1833" t="s">
        <v>17</v>
      </c>
      <c r="C1833" s="4">
        <v>44771.557959108803</v>
      </c>
      <c r="F1833" t="s">
        <v>57</v>
      </c>
      <c r="G1833" t="s">
        <v>335</v>
      </c>
      <c r="H1833" t="s">
        <v>20</v>
      </c>
      <c r="I1833" t="s">
        <v>21</v>
      </c>
    </row>
    <row r="1834" spans="1:10" x14ac:dyDescent="0.25">
      <c r="A1834">
        <v>27828935</v>
      </c>
      <c r="B1834" t="s">
        <v>17</v>
      </c>
      <c r="C1834" s="4">
        <v>44771.558107766206</v>
      </c>
      <c r="D1834" t="s">
        <v>1581</v>
      </c>
      <c r="E1834" t="s">
        <v>38</v>
      </c>
      <c r="F1834" t="s">
        <v>49</v>
      </c>
      <c r="G1834" t="s">
        <v>192</v>
      </c>
      <c r="H1834" t="s">
        <v>29</v>
      </c>
      <c r="I1834" t="s">
        <v>21</v>
      </c>
      <c r="J1834" t="s">
        <v>1582</v>
      </c>
    </row>
    <row r="1835" spans="1:10" x14ac:dyDescent="0.25">
      <c r="A1835">
        <v>27829006</v>
      </c>
      <c r="B1835" t="s">
        <v>17</v>
      </c>
      <c r="C1835" s="4">
        <v>44771.559781666663</v>
      </c>
      <c r="D1835" t="s">
        <v>1577</v>
      </c>
      <c r="E1835" t="s">
        <v>62</v>
      </c>
      <c r="F1835" t="s">
        <v>18</v>
      </c>
      <c r="G1835" t="s">
        <v>176</v>
      </c>
      <c r="H1835" t="s">
        <v>40</v>
      </c>
      <c r="I1835" t="s">
        <v>21</v>
      </c>
      <c r="J1835" t="s">
        <v>1578</v>
      </c>
    </row>
    <row r="1836" spans="1:10" x14ac:dyDescent="0.25">
      <c r="A1836">
        <v>27829013</v>
      </c>
      <c r="B1836" t="s">
        <v>17</v>
      </c>
      <c r="C1836" s="4">
        <v>44771.560232002317</v>
      </c>
      <c r="D1836" t="s">
        <v>1583</v>
      </c>
      <c r="E1836" t="s">
        <v>371</v>
      </c>
      <c r="F1836" t="s">
        <v>49</v>
      </c>
      <c r="G1836" t="s">
        <v>130</v>
      </c>
      <c r="H1836" t="s">
        <v>29</v>
      </c>
      <c r="I1836" t="s">
        <v>21</v>
      </c>
      <c r="J1836" t="s">
        <v>1584</v>
      </c>
    </row>
    <row r="1837" spans="1:10" x14ac:dyDescent="0.25">
      <c r="A1837">
        <v>27829019</v>
      </c>
      <c r="B1837" t="s">
        <v>17</v>
      </c>
      <c r="C1837" s="4">
        <v>44771.560239444443</v>
      </c>
      <c r="D1837" t="s">
        <v>1577</v>
      </c>
      <c r="E1837" t="s">
        <v>62</v>
      </c>
      <c r="F1837" t="s">
        <v>18</v>
      </c>
      <c r="G1837" t="s">
        <v>176</v>
      </c>
      <c r="H1837" t="s">
        <v>25</v>
      </c>
      <c r="I1837" t="s">
        <v>21</v>
      </c>
      <c r="J1837" t="s">
        <v>1578</v>
      </c>
    </row>
    <row r="1838" spans="1:10" x14ac:dyDescent="0.25">
      <c r="A1838">
        <v>27829045</v>
      </c>
      <c r="B1838" t="s">
        <v>17</v>
      </c>
      <c r="C1838" s="4">
        <v>44771.560825196757</v>
      </c>
      <c r="D1838" t="s">
        <v>1585</v>
      </c>
      <c r="E1838" t="s">
        <v>1586</v>
      </c>
      <c r="F1838" t="s">
        <v>57</v>
      </c>
      <c r="G1838" t="s">
        <v>335</v>
      </c>
      <c r="H1838" t="s">
        <v>79</v>
      </c>
      <c r="I1838" t="s">
        <v>21</v>
      </c>
    </row>
    <row r="1839" spans="1:10" x14ac:dyDescent="0.25">
      <c r="A1839">
        <v>27829058</v>
      </c>
      <c r="B1839" t="s">
        <v>17</v>
      </c>
      <c r="C1839" s="4">
        <v>44771.560972164349</v>
      </c>
      <c r="F1839" t="s">
        <v>57</v>
      </c>
      <c r="G1839" t="s">
        <v>335</v>
      </c>
      <c r="H1839" t="s">
        <v>20</v>
      </c>
      <c r="I1839" t="s">
        <v>21</v>
      </c>
    </row>
    <row r="1840" spans="1:10" x14ac:dyDescent="0.25">
      <c r="A1840">
        <v>27829079</v>
      </c>
      <c r="B1840" t="s">
        <v>17</v>
      </c>
      <c r="C1840" s="4">
        <v>44771.561420196762</v>
      </c>
      <c r="D1840" t="s">
        <v>1587</v>
      </c>
      <c r="E1840" t="s">
        <v>72</v>
      </c>
      <c r="F1840" t="s">
        <v>49</v>
      </c>
      <c r="G1840" t="s">
        <v>132</v>
      </c>
      <c r="H1840" t="s">
        <v>42</v>
      </c>
      <c r="I1840" t="s">
        <v>21</v>
      </c>
      <c r="J1840" t="s">
        <v>1588</v>
      </c>
    </row>
    <row r="1841" spans="1:10" x14ac:dyDescent="0.25">
      <c r="A1841">
        <v>27829089</v>
      </c>
      <c r="B1841" t="s">
        <v>17</v>
      </c>
      <c r="C1841" s="4">
        <v>44771.561740150457</v>
      </c>
      <c r="F1841" t="s">
        <v>18</v>
      </c>
      <c r="G1841" t="s">
        <v>228</v>
      </c>
      <c r="H1841" t="s">
        <v>81</v>
      </c>
      <c r="I1841" t="s">
        <v>21</v>
      </c>
    </row>
    <row r="1842" spans="1:10" x14ac:dyDescent="0.25">
      <c r="A1842">
        <v>27829092</v>
      </c>
      <c r="B1842" t="s">
        <v>17</v>
      </c>
      <c r="C1842" s="4">
        <v>44771.561814745372</v>
      </c>
      <c r="F1842" t="s">
        <v>18</v>
      </c>
      <c r="G1842" t="s">
        <v>228</v>
      </c>
      <c r="H1842" t="s">
        <v>93</v>
      </c>
      <c r="I1842" t="s">
        <v>21</v>
      </c>
    </row>
    <row r="1843" spans="1:10" x14ac:dyDescent="0.25">
      <c r="A1843">
        <v>27829130</v>
      </c>
      <c r="B1843" t="s">
        <v>17</v>
      </c>
      <c r="C1843" s="4">
        <v>44771.563275972221</v>
      </c>
      <c r="D1843" t="s">
        <v>1589</v>
      </c>
      <c r="E1843" t="s">
        <v>129</v>
      </c>
      <c r="F1843" t="s">
        <v>49</v>
      </c>
      <c r="G1843" t="s">
        <v>74</v>
      </c>
      <c r="H1843" t="s">
        <v>29</v>
      </c>
      <c r="I1843" t="s">
        <v>21</v>
      </c>
      <c r="J1843" t="s">
        <v>1590</v>
      </c>
    </row>
    <row r="1844" spans="1:10" x14ac:dyDescent="0.25">
      <c r="A1844">
        <v>27829137</v>
      </c>
      <c r="B1844" t="s">
        <v>17</v>
      </c>
      <c r="C1844" s="4">
        <v>44771.563330289348</v>
      </c>
      <c r="D1844" t="s">
        <v>1591</v>
      </c>
      <c r="E1844" t="s">
        <v>268</v>
      </c>
      <c r="F1844" t="s">
        <v>49</v>
      </c>
      <c r="G1844" t="s">
        <v>74</v>
      </c>
      <c r="H1844" t="s">
        <v>42</v>
      </c>
      <c r="I1844" t="s">
        <v>21</v>
      </c>
      <c r="J1844" t="s">
        <v>1592</v>
      </c>
    </row>
    <row r="1845" spans="1:10" x14ac:dyDescent="0.25">
      <c r="A1845">
        <v>27829179</v>
      </c>
      <c r="B1845" t="s">
        <v>17</v>
      </c>
      <c r="C1845" s="4">
        <v>44771.564371944442</v>
      </c>
      <c r="D1845" t="s">
        <v>1593</v>
      </c>
      <c r="E1845" t="s">
        <v>129</v>
      </c>
      <c r="F1845" t="s">
        <v>49</v>
      </c>
      <c r="G1845" t="s">
        <v>201</v>
      </c>
      <c r="H1845" t="s">
        <v>42</v>
      </c>
      <c r="I1845" t="s">
        <v>21</v>
      </c>
      <c r="J1845" t="s">
        <v>384</v>
      </c>
    </row>
    <row r="1846" spans="1:10" x14ac:dyDescent="0.25">
      <c r="A1846">
        <v>27829218</v>
      </c>
      <c r="B1846" t="s">
        <v>17</v>
      </c>
      <c r="C1846" s="4">
        <v>44771.565652604157</v>
      </c>
      <c r="F1846" t="s">
        <v>18</v>
      </c>
      <c r="G1846" t="s">
        <v>228</v>
      </c>
      <c r="H1846" t="s">
        <v>81</v>
      </c>
      <c r="I1846" t="s">
        <v>21</v>
      </c>
    </row>
    <row r="1847" spans="1:10" x14ac:dyDescent="0.25">
      <c r="A1847">
        <v>27829220</v>
      </c>
      <c r="B1847" t="s">
        <v>17</v>
      </c>
      <c r="C1847" s="4">
        <v>44771.565652800928</v>
      </c>
      <c r="F1847" t="s">
        <v>18</v>
      </c>
      <c r="G1847" t="s">
        <v>228</v>
      </c>
      <c r="H1847" t="s">
        <v>93</v>
      </c>
      <c r="I1847" t="s">
        <v>21</v>
      </c>
    </row>
    <row r="1848" spans="1:10" x14ac:dyDescent="0.25">
      <c r="A1848">
        <v>27829222</v>
      </c>
      <c r="B1848" t="s">
        <v>17</v>
      </c>
      <c r="C1848" s="4">
        <v>44771.56569851852</v>
      </c>
      <c r="D1848" t="s">
        <v>1591</v>
      </c>
      <c r="E1848" t="s">
        <v>268</v>
      </c>
      <c r="F1848" t="s">
        <v>49</v>
      </c>
      <c r="G1848" t="s">
        <v>74</v>
      </c>
      <c r="H1848" t="s">
        <v>239</v>
      </c>
      <c r="I1848" t="s">
        <v>21</v>
      </c>
      <c r="J1848" t="s">
        <v>1592</v>
      </c>
    </row>
    <row r="1849" spans="1:10" x14ac:dyDescent="0.25">
      <c r="A1849">
        <v>27829223</v>
      </c>
      <c r="B1849" t="s">
        <v>17</v>
      </c>
      <c r="C1849" s="4">
        <v>44771.565706817128</v>
      </c>
      <c r="D1849" t="s">
        <v>1591</v>
      </c>
      <c r="E1849" t="s">
        <v>268</v>
      </c>
      <c r="F1849" t="s">
        <v>49</v>
      </c>
      <c r="G1849" t="s">
        <v>74</v>
      </c>
      <c r="H1849" t="s">
        <v>240</v>
      </c>
      <c r="I1849" t="s">
        <v>21</v>
      </c>
      <c r="J1849" t="s">
        <v>1592</v>
      </c>
    </row>
    <row r="1850" spans="1:10" x14ac:dyDescent="0.25">
      <c r="A1850">
        <v>27829227</v>
      </c>
      <c r="B1850" t="s">
        <v>17</v>
      </c>
      <c r="C1850" s="4">
        <v>44771.565749583337</v>
      </c>
      <c r="F1850" t="s">
        <v>18</v>
      </c>
      <c r="G1850" t="s">
        <v>429</v>
      </c>
      <c r="H1850" t="s">
        <v>81</v>
      </c>
      <c r="I1850" t="s">
        <v>21</v>
      </c>
      <c r="J1850" t="s">
        <v>900</v>
      </c>
    </row>
    <row r="1851" spans="1:10" x14ac:dyDescent="0.25">
      <c r="A1851">
        <v>27829237</v>
      </c>
      <c r="B1851" t="s">
        <v>17</v>
      </c>
      <c r="C1851" s="4">
        <v>44771.565978657411</v>
      </c>
      <c r="D1851" t="s">
        <v>1593</v>
      </c>
      <c r="E1851" t="s">
        <v>129</v>
      </c>
      <c r="F1851" t="s">
        <v>49</v>
      </c>
      <c r="G1851" t="s">
        <v>201</v>
      </c>
      <c r="H1851" t="s">
        <v>54</v>
      </c>
      <c r="I1851" t="s">
        <v>21</v>
      </c>
      <c r="J1851" t="s">
        <v>384</v>
      </c>
    </row>
    <row r="1852" spans="1:10" x14ac:dyDescent="0.25">
      <c r="A1852">
        <v>27829268</v>
      </c>
      <c r="B1852" t="s">
        <v>17</v>
      </c>
      <c r="C1852" s="4">
        <v>44771.566121678239</v>
      </c>
      <c r="F1852" t="s">
        <v>18</v>
      </c>
      <c r="G1852" t="s">
        <v>429</v>
      </c>
      <c r="H1852" t="s">
        <v>93</v>
      </c>
      <c r="I1852" t="s">
        <v>21</v>
      </c>
    </row>
    <row r="1853" spans="1:10" x14ac:dyDescent="0.25">
      <c r="A1853">
        <v>27829277</v>
      </c>
      <c r="B1853" t="s">
        <v>17</v>
      </c>
      <c r="C1853" s="4">
        <v>44771.566223981477</v>
      </c>
      <c r="D1853" t="s">
        <v>1594</v>
      </c>
      <c r="E1853" t="s">
        <v>62</v>
      </c>
      <c r="F1853" t="s">
        <v>57</v>
      </c>
      <c r="G1853" t="s">
        <v>221</v>
      </c>
      <c r="H1853" t="s">
        <v>42</v>
      </c>
      <c r="I1853" t="s">
        <v>21</v>
      </c>
      <c r="J1853" t="s">
        <v>1595</v>
      </c>
    </row>
    <row r="1854" spans="1:10" x14ac:dyDescent="0.25">
      <c r="A1854">
        <v>27829315</v>
      </c>
      <c r="B1854" t="s">
        <v>17</v>
      </c>
      <c r="C1854" s="4">
        <v>44771.567655185187</v>
      </c>
      <c r="D1854" t="s">
        <v>1596</v>
      </c>
      <c r="E1854" t="s">
        <v>310</v>
      </c>
      <c r="F1854" t="s">
        <v>18</v>
      </c>
      <c r="G1854" t="s">
        <v>271</v>
      </c>
      <c r="H1854" t="s">
        <v>29</v>
      </c>
      <c r="I1854" t="s">
        <v>21</v>
      </c>
      <c r="J1854" t="s">
        <v>311</v>
      </c>
    </row>
    <row r="1855" spans="1:10" x14ac:dyDescent="0.25">
      <c r="A1855">
        <v>27829326</v>
      </c>
      <c r="B1855" t="s">
        <v>17</v>
      </c>
      <c r="C1855" s="4">
        <v>44771.568018668979</v>
      </c>
      <c r="D1855" t="s">
        <v>1451</v>
      </c>
      <c r="E1855" t="s">
        <v>27</v>
      </c>
      <c r="F1855" t="s">
        <v>18</v>
      </c>
      <c r="G1855" t="s">
        <v>186</v>
      </c>
      <c r="H1855" t="s">
        <v>29</v>
      </c>
      <c r="I1855" t="s">
        <v>21</v>
      </c>
    </row>
    <row r="1856" spans="1:10" x14ac:dyDescent="0.25">
      <c r="A1856">
        <v>27829328</v>
      </c>
      <c r="B1856" t="s">
        <v>17</v>
      </c>
      <c r="C1856" s="4">
        <v>44771.568099456017</v>
      </c>
      <c r="D1856" t="s">
        <v>1587</v>
      </c>
      <c r="E1856" t="s">
        <v>72</v>
      </c>
      <c r="F1856" t="s">
        <v>49</v>
      </c>
      <c r="G1856" t="s">
        <v>132</v>
      </c>
      <c r="H1856" t="s">
        <v>239</v>
      </c>
      <c r="I1856" t="s">
        <v>21</v>
      </c>
      <c r="J1856" t="s">
        <v>1588</v>
      </c>
    </row>
    <row r="1857" spans="1:10" x14ac:dyDescent="0.25">
      <c r="A1857">
        <v>27829329</v>
      </c>
      <c r="B1857" t="s">
        <v>17</v>
      </c>
      <c r="C1857" s="4">
        <v>44771.568106886567</v>
      </c>
      <c r="D1857" t="s">
        <v>1587</v>
      </c>
      <c r="E1857" t="s">
        <v>72</v>
      </c>
      <c r="F1857" t="s">
        <v>49</v>
      </c>
      <c r="G1857" t="s">
        <v>132</v>
      </c>
      <c r="H1857" t="s">
        <v>240</v>
      </c>
      <c r="I1857" t="s">
        <v>21</v>
      </c>
      <c r="J1857" t="s">
        <v>1588</v>
      </c>
    </row>
    <row r="1858" spans="1:10" x14ac:dyDescent="0.25">
      <c r="A1858">
        <v>27829340</v>
      </c>
      <c r="B1858" t="s">
        <v>17</v>
      </c>
      <c r="C1858" s="4">
        <v>44771.568257719897</v>
      </c>
      <c r="F1858" t="s">
        <v>18</v>
      </c>
      <c r="G1858" t="s">
        <v>228</v>
      </c>
      <c r="H1858" t="s">
        <v>81</v>
      </c>
      <c r="I1858" t="s">
        <v>21</v>
      </c>
    </row>
    <row r="1859" spans="1:10" x14ac:dyDescent="0.25">
      <c r="A1859">
        <v>27829342</v>
      </c>
      <c r="B1859" t="s">
        <v>17</v>
      </c>
      <c r="C1859" s="4">
        <v>44771.568258009262</v>
      </c>
      <c r="F1859" t="s">
        <v>18</v>
      </c>
      <c r="G1859" t="s">
        <v>228</v>
      </c>
      <c r="H1859" t="s">
        <v>93</v>
      </c>
      <c r="I1859" t="s">
        <v>21</v>
      </c>
    </row>
    <row r="1860" spans="1:10" x14ac:dyDescent="0.25">
      <c r="A1860">
        <v>27829353</v>
      </c>
      <c r="B1860" t="s">
        <v>17</v>
      </c>
      <c r="C1860" s="4">
        <v>44771.568740300929</v>
      </c>
      <c r="D1860" t="s">
        <v>1594</v>
      </c>
      <c r="E1860" t="s">
        <v>62</v>
      </c>
      <c r="F1860" t="s">
        <v>57</v>
      </c>
      <c r="G1860" t="s">
        <v>221</v>
      </c>
      <c r="H1860" t="s">
        <v>54</v>
      </c>
      <c r="I1860" t="s">
        <v>21</v>
      </c>
      <c r="J1860" t="s">
        <v>1595</v>
      </c>
    </row>
    <row r="1861" spans="1:10" x14ac:dyDescent="0.25">
      <c r="A1861">
        <v>27829422</v>
      </c>
      <c r="B1861" t="s">
        <v>17</v>
      </c>
      <c r="C1861" s="4">
        <v>44771.570524363429</v>
      </c>
      <c r="D1861" t="s">
        <v>1597</v>
      </c>
      <c r="E1861" t="s">
        <v>44</v>
      </c>
      <c r="F1861" t="s">
        <v>49</v>
      </c>
      <c r="G1861" t="s">
        <v>50</v>
      </c>
      <c r="H1861" t="s">
        <v>29</v>
      </c>
      <c r="I1861" t="s">
        <v>21</v>
      </c>
      <c r="J1861" t="s">
        <v>404</v>
      </c>
    </row>
    <row r="1862" spans="1:10" x14ac:dyDescent="0.25">
      <c r="A1862">
        <v>27829439</v>
      </c>
      <c r="B1862" t="s">
        <v>17</v>
      </c>
      <c r="C1862" s="4">
        <v>44771.57074678241</v>
      </c>
      <c r="D1862" t="s">
        <v>1587</v>
      </c>
      <c r="E1862" t="s">
        <v>72</v>
      </c>
      <c r="F1862" t="s">
        <v>49</v>
      </c>
      <c r="G1862" t="s">
        <v>132</v>
      </c>
      <c r="H1862" t="s">
        <v>40</v>
      </c>
      <c r="I1862" t="s">
        <v>21</v>
      </c>
      <c r="J1862" t="s">
        <v>1588</v>
      </c>
    </row>
    <row r="1863" spans="1:10" x14ac:dyDescent="0.25">
      <c r="A1863">
        <v>27829449</v>
      </c>
      <c r="B1863" t="s">
        <v>17</v>
      </c>
      <c r="C1863" s="4">
        <v>44771.57091722222</v>
      </c>
      <c r="F1863" t="s">
        <v>18</v>
      </c>
      <c r="G1863" t="s">
        <v>228</v>
      </c>
      <c r="H1863" t="s">
        <v>81</v>
      </c>
      <c r="I1863" t="s">
        <v>21</v>
      </c>
    </row>
    <row r="1864" spans="1:10" x14ac:dyDescent="0.25">
      <c r="A1864">
        <v>27829451</v>
      </c>
      <c r="B1864" t="s">
        <v>17</v>
      </c>
      <c r="C1864" s="4">
        <v>44771.570917430552</v>
      </c>
      <c r="F1864" t="s">
        <v>18</v>
      </c>
      <c r="G1864" t="s">
        <v>228</v>
      </c>
      <c r="H1864" t="s">
        <v>93</v>
      </c>
      <c r="I1864" t="s">
        <v>21</v>
      </c>
    </row>
    <row r="1865" spans="1:10" x14ac:dyDescent="0.25">
      <c r="A1865">
        <v>27829453</v>
      </c>
      <c r="B1865" t="s">
        <v>17</v>
      </c>
      <c r="C1865" s="4">
        <v>44771.570934861113</v>
      </c>
      <c r="F1865" t="s">
        <v>57</v>
      </c>
      <c r="G1865" t="s">
        <v>63</v>
      </c>
      <c r="H1865" t="s">
        <v>67</v>
      </c>
      <c r="I1865" t="s">
        <v>21</v>
      </c>
    </row>
    <row r="1866" spans="1:10" x14ac:dyDescent="0.25">
      <c r="A1866">
        <v>27829459</v>
      </c>
      <c r="B1866" t="s">
        <v>17</v>
      </c>
      <c r="C1866" s="4">
        <v>44771.571223333332</v>
      </c>
      <c r="F1866" t="s">
        <v>57</v>
      </c>
      <c r="G1866" t="s">
        <v>63</v>
      </c>
      <c r="H1866" t="s">
        <v>68</v>
      </c>
      <c r="I1866" t="s">
        <v>21</v>
      </c>
    </row>
    <row r="1867" spans="1:10" x14ac:dyDescent="0.25">
      <c r="A1867">
        <v>27829467</v>
      </c>
      <c r="B1867" t="s">
        <v>17</v>
      </c>
      <c r="C1867" s="4">
        <v>44771.571346805547</v>
      </c>
      <c r="D1867" t="s">
        <v>1598</v>
      </c>
      <c r="E1867" t="s">
        <v>62</v>
      </c>
      <c r="F1867" t="s">
        <v>57</v>
      </c>
      <c r="G1867" t="s">
        <v>335</v>
      </c>
      <c r="H1867" t="s">
        <v>40</v>
      </c>
      <c r="I1867" t="s">
        <v>21</v>
      </c>
    </row>
    <row r="1868" spans="1:10" x14ac:dyDescent="0.25">
      <c r="A1868">
        <v>27829471</v>
      </c>
      <c r="B1868" t="s">
        <v>17</v>
      </c>
      <c r="C1868" s="4">
        <v>44771.571517002318</v>
      </c>
      <c r="D1868" t="s">
        <v>1587</v>
      </c>
      <c r="E1868" t="s">
        <v>72</v>
      </c>
      <c r="F1868" t="s">
        <v>49</v>
      </c>
      <c r="G1868" t="s">
        <v>132</v>
      </c>
      <c r="H1868" t="s">
        <v>25</v>
      </c>
      <c r="I1868" t="s">
        <v>21</v>
      </c>
      <c r="J1868" t="s">
        <v>1588</v>
      </c>
    </row>
    <row r="1869" spans="1:10" x14ac:dyDescent="0.25">
      <c r="A1869">
        <v>27829482</v>
      </c>
      <c r="B1869" t="s">
        <v>17</v>
      </c>
      <c r="C1869" s="4">
        <v>44771.571607604157</v>
      </c>
      <c r="D1869" t="s">
        <v>1598</v>
      </c>
      <c r="E1869" t="s">
        <v>62</v>
      </c>
      <c r="F1869" t="s">
        <v>57</v>
      </c>
      <c r="G1869" t="s">
        <v>335</v>
      </c>
      <c r="H1869" t="s">
        <v>25</v>
      </c>
      <c r="I1869" t="s">
        <v>21</v>
      </c>
    </row>
    <row r="1870" spans="1:10" x14ac:dyDescent="0.25">
      <c r="A1870">
        <v>27829553</v>
      </c>
      <c r="B1870" t="s">
        <v>17</v>
      </c>
      <c r="C1870" s="4">
        <v>44771.573137974527</v>
      </c>
      <c r="D1870" t="s">
        <v>1593</v>
      </c>
      <c r="E1870" t="s">
        <v>129</v>
      </c>
      <c r="F1870" t="s">
        <v>49</v>
      </c>
      <c r="G1870" t="s">
        <v>201</v>
      </c>
      <c r="H1870" t="s">
        <v>40</v>
      </c>
      <c r="I1870" t="s">
        <v>21</v>
      </c>
      <c r="J1870" t="s">
        <v>384</v>
      </c>
    </row>
    <row r="1871" spans="1:10" x14ac:dyDescent="0.25">
      <c r="A1871">
        <v>27829557</v>
      </c>
      <c r="B1871" t="s">
        <v>17</v>
      </c>
      <c r="C1871" s="4">
        <v>44771.57338652778</v>
      </c>
      <c r="F1871" t="s">
        <v>23</v>
      </c>
      <c r="G1871" t="s">
        <v>24</v>
      </c>
      <c r="H1871" t="s">
        <v>20</v>
      </c>
      <c r="I1871" t="s">
        <v>21</v>
      </c>
    </row>
    <row r="1872" spans="1:10" x14ac:dyDescent="0.25">
      <c r="A1872">
        <v>27829568</v>
      </c>
      <c r="B1872" t="s">
        <v>17</v>
      </c>
      <c r="C1872" s="4">
        <v>44771.573657766203</v>
      </c>
      <c r="D1872" t="s">
        <v>1593</v>
      </c>
      <c r="E1872" t="s">
        <v>129</v>
      </c>
      <c r="F1872" t="s">
        <v>49</v>
      </c>
      <c r="G1872" t="s">
        <v>201</v>
      </c>
      <c r="H1872" t="s">
        <v>25</v>
      </c>
      <c r="I1872" t="s">
        <v>21</v>
      </c>
      <c r="J1872" t="s">
        <v>384</v>
      </c>
    </row>
    <row r="1873" spans="1:10" x14ac:dyDescent="0.25">
      <c r="A1873">
        <v>27829604</v>
      </c>
      <c r="B1873" t="s">
        <v>17</v>
      </c>
      <c r="C1873" s="4">
        <v>44771.574502743053</v>
      </c>
      <c r="D1873" t="s">
        <v>1599</v>
      </c>
      <c r="E1873" t="s">
        <v>38</v>
      </c>
      <c r="F1873" t="s">
        <v>55</v>
      </c>
      <c r="G1873" t="s">
        <v>119</v>
      </c>
      <c r="H1873" t="s">
        <v>29</v>
      </c>
      <c r="I1873" t="s">
        <v>21</v>
      </c>
      <c r="J1873" t="s">
        <v>1600</v>
      </c>
    </row>
    <row r="1874" spans="1:10" x14ac:dyDescent="0.25">
      <c r="A1874">
        <v>27829621</v>
      </c>
      <c r="B1874" t="s">
        <v>17</v>
      </c>
      <c r="C1874" s="4">
        <v>44771.574564155089</v>
      </c>
      <c r="D1874" t="s">
        <v>1594</v>
      </c>
      <c r="E1874" t="s">
        <v>62</v>
      </c>
      <c r="F1874" t="s">
        <v>57</v>
      </c>
      <c r="G1874" t="s">
        <v>221</v>
      </c>
      <c r="H1874" t="s">
        <v>40</v>
      </c>
      <c r="I1874" t="s">
        <v>21</v>
      </c>
      <c r="J1874" t="s">
        <v>1595</v>
      </c>
    </row>
    <row r="1875" spans="1:10" x14ac:dyDescent="0.25">
      <c r="A1875">
        <v>27829650</v>
      </c>
      <c r="B1875" t="s">
        <v>17</v>
      </c>
      <c r="C1875" s="4">
        <v>44771.574876030092</v>
      </c>
      <c r="D1875" t="s">
        <v>1594</v>
      </c>
      <c r="E1875" t="s">
        <v>62</v>
      </c>
      <c r="F1875" t="s">
        <v>57</v>
      </c>
      <c r="G1875" t="s">
        <v>221</v>
      </c>
      <c r="H1875" t="s">
        <v>25</v>
      </c>
      <c r="I1875" t="s">
        <v>21</v>
      </c>
      <c r="J1875" t="s">
        <v>1595</v>
      </c>
    </row>
    <row r="1876" spans="1:10" x14ac:dyDescent="0.25">
      <c r="A1876">
        <v>27829696</v>
      </c>
      <c r="B1876" t="s">
        <v>17</v>
      </c>
      <c r="C1876" s="4">
        <v>44771.57592087963</v>
      </c>
      <c r="D1876" t="s">
        <v>1601</v>
      </c>
      <c r="E1876" t="s">
        <v>22</v>
      </c>
      <c r="F1876" t="s">
        <v>23</v>
      </c>
      <c r="G1876" t="s">
        <v>24</v>
      </c>
      <c r="H1876" t="s">
        <v>40</v>
      </c>
      <c r="I1876" t="s">
        <v>21</v>
      </c>
    </row>
    <row r="1877" spans="1:10" x14ac:dyDescent="0.25">
      <c r="A1877">
        <v>27829710</v>
      </c>
      <c r="B1877" t="s">
        <v>17</v>
      </c>
      <c r="C1877" s="4">
        <v>44771.576177581017</v>
      </c>
      <c r="D1877" t="s">
        <v>1602</v>
      </c>
      <c r="E1877" t="s">
        <v>27</v>
      </c>
      <c r="F1877" t="s">
        <v>18</v>
      </c>
      <c r="G1877" t="s">
        <v>236</v>
      </c>
      <c r="H1877" t="s">
        <v>42</v>
      </c>
      <c r="I1877" t="s">
        <v>21</v>
      </c>
      <c r="J1877" t="s">
        <v>1603</v>
      </c>
    </row>
    <row r="1878" spans="1:10" x14ac:dyDescent="0.25">
      <c r="A1878">
        <v>27829717</v>
      </c>
      <c r="B1878" t="s">
        <v>17</v>
      </c>
      <c r="C1878" s="4">
        <v>44771.576232164349</v>
      </c>
      <c r="D1878" t="s">
        <v>1604</v>
      </c>
      <c r="E1878" t="s">
        <v>27</v>
      </c>
      <c r="F1878" t="s">
        <v>18</v>
      </c>
      <c r="G1878" t="s">
        <v>380</v>
      </c>
      <c r="H1878" t="s">
        <v>42</v>
      </c>
      <c r="I1878" t="s">
        <v>21</v>
      </c>
      <c r="J1878" t="s">
        <v>1605</v>
      </c>
    </row>
    <row r="1879" spans="1:10" x14ac:dyDescent="0.25">
      <c r="A1879">
        <v>27829727</v>
      </c>
      <c r="B1879" t="s">
        <v>17</v>
      </c>
      <c r="C1879" s="4">
        <v>44771.576351099538</v>
      </c>
      <c r="D1879" t="s">
        <v>1606</v>
      </c>
      <c r="E1879" t="s">
        <v>27</v>
      </c>
      <c r="F1879" t="s">
        <v>49</v>
      </c>
      <c r="G1879" t="s">
        <v>106</v>
      </c>
      <c r="H1879" t="s">
        <v>42</v>
      </c>
      <c r="I1879" t="s">
        <v>21</v>
      </c>
      <c r="J1879" t="s">
        <v>1607</v>
      </c>
    </row>
    <row r="1880" spans="1:10" x14ac:dyDescent="0.25">
      <c r="A1880">
        <v>27829739</v>
      </c>
      <c r="B1880" t="s">
        <v>17</v>
      </c>
      <c r="C1880" s="4">
        <v>44771.576442581019</v>
      </c>
      <c r="D1880" t="s">
        <v>1602</v>
      </c>
      <c r="E1880" t="s">
        <v>27</v>
      </c>
      <c r="F1880" t="s">
        <v>18</v>
      </c>
      <c r="G1880" t="s">
        <v>236</v>
      </c>
      <c r="H1880" t="s">
        <v>54</v>
      </c>
      <c r="I1880" t="s">
        <v>21</v>
      </c>
      <c r="J1880" t="s">
        <v>1603</v>
      </c>
    </row>
    <row r="1881" spans="1:10" x14ac:dyDescent="0.25">
      <c r="A1881">
        <v>27829743</v>
      </c>
      <c r="B1881" t="s">
        <v>17</v>
      </c>
      <c r="C1881" s="4">
        <v>44771.576466701386</v>
      </c>
      <c r="D1881" t="s">
        <v>1604</v>
      </c>
      <c r="E1881" t="s">
        <v>27</v>
      </c>
      <c r="F1881" t="s">
        <v>18</v>
      </c>
      <c r="G1881" t="s">
        <v>380</v>
      </c>
      <c r="H1881" t="s">
        <v>54</v>
      </c>
      <c r="I1881" t="s">
        <v>21</v>
      </c>
      <c r="J1881" t="s">
        <v>1605</v>
      </c>
    </row>
    <row r="1882" spans="1:10" x14ac:dyDescent="0.25">
      <c r="A1882">
        <v>27829746</v>
      </c>
      <c r="B1882" t="s">
        <v>17</v>
      </c>
      <c r="C1882" s="4">
        <v>44771.57649915509</v>
      </c>
      <c r="D1882" t="s">
        <v>1219</v>
      </c>
      <c r="E1882" t="s">
        <v>62</v>
      </c>
      <c r="F1882" t="s">
        <v>57</v>
      </c>
      <c r="G1882" t="s">
        <v>401</v>
      </c>
      <c r="H1882" t="s">
        <v>29</v>
      </c>
      <c r="I1882" t="s">
        <v>21</v>
      </c>
      <c r="J1882" t="s">
        <v>1608</v>
      </c>
    </row>
    <row r="1883" spans="1:10" x14ac:dyDescent="0.25">
      <c r="A1883">
        <v>27829754</v>
      </c>
      <c r="B1883" t="s">
        <v>17</v>
      </c>
      <c r="C1883" s="4">
        <v>44771.576516145833</v>
      </c>
      <c r="D1883" t="s">
        <v>1601</v>
      </c>
      <c r="E1883" t="s">
        <v>22</v>
      </c>
      <c r="F1883" t="s">
        <v>23</v>
      </c>
      <c r="G1883" t="s">
        <v>24</v>
      </c>
      <c r="H1883" t="s">
        <v>25</v>
      </c>
      <c r="I1883" t="s">
        <v>21</v>
      </c>
    </row>
    <row r="1884" spans="1:10" x14ac:dyDescent="0.25">
      <c r="A1884">
        <v>27829786</v>
      </c>
      <c r="B1884" t="s">
        <v>17</v>
      </c>
      <c r="C1884" s="4">
        <v>44771.577018229167</v>
      </c>
      <c r="F1884" t="s">
        <v>57</v>
      </c>
      <c r="G1884" t="s">
        <v>182</v>
      </c>
      <c r="H1884" t="s">
        <v>20</v>
      </c>
      <c r="I1884" t="s">
        <v>21</v>
      </c>
    </row>
    <row r="1885" spans="1:10" x14ac:dyDescent="0.25">
      <c r="A1885">
        <v>27829826</v>
      </c>
      <c r="B1885" t="s">
        <v>17</v>
      </c>
      <c r="C1885" s="4">
        <v>44771.578260682872</v>
      </c>
      <c r="D1885" t="s">
        <v>1609</v>
      </c>
      <c r="E1885" t="s">
        <v>129</v>
      </c>
      <c r="F1885" t="s">
        <v>49</v>
      </c>
      <c r="G1885" t="s">
        <v>80</v>
      </c>
      <c r="H1885" t="s">
        <v>42</v>
      </c>
      <c r="I1885" t="s">
        <v>21</v>
      </c>
      <c r="J1885" t="s">
        <v>1610</v>
      </c>
    </row>
    <row r="1886" spans="1:10" x14ac:dyDescent="0.25">
      <c r="A1886">
        <v>27829838</v>
      </c>
      <c r="B1886" t="s">
        <v>17</v>
      </c>
      <c r="C1886" s="4">
        <v>44771.578497905088</v>
      </c>
      <c r="D1886" t="s">
        <v>1611</v>
      </c>
      <c r="E1886" t="s">
        <v>38</v>
      </c>
      <c r="F1886" t="s">
        <v>23</v>
      </c>
      <c r="G1886" t="s">
        <v>194</v>
      </c>
      <c r="H1886" t="s">
        <v>42</v>
      </c>
      <c r="I1886" t="s">
        <v>21</v>
      </c>
      <c r="J1886" t="s">
        <v>391</v>
      </c>
    </row>
    <row r="1887" spans="1:10" x14ac:dyDescent="0.25">
      <c r="A1887">
        <v>27829845</v>
      </c>
      <c r="B1887" t="s">
        <v>17</v>
      </c>
      <c r="C1887" s="4">
        <v>44771.578583495371</v>
      </c>
      <c r="F1887" t="s">
        <v>18</v>
      </c>
      <c r="G1887" t="s">
        <v>228</v>
      </c>
      <c r="H1887" t="s">
        <v>81</v>
      </c>
      <c r="I1887" t="s">
        <v>21</v>
      </c>
    </row>
    <row r="1888" spans="1:10" x14ac:dyDescent="0.25">
      <c r="A1888">
        <v>27829847</v>
      </c>
      <c r="B1888" t="s">
        <v>17</v>
      </c>
      <c r="C1888" s="4">
        <v>44771.578583796298</v>
      </c>
      <c r="F1888" t="s">
        <v>18</v>
      </c>
      <c r="G1888" t="s">
        <v>228</v>
      </c>
      <c r="H1888" t="s">
        <v>93</v>
      </c>
      <c r="I1888" t="s">
        <v>21</v>
      </c>
    </row>
    <row r="1889" spans="1:10" x14ac:dyDescent="0.25">
      <c r="A1889">
        <v>27829903</v>
      </c>
      <c r="B1889" t="s">
        <v>17</v>
      </c>
      <c r="C1889" s="4">
        <v>44771.580030266203</v>
      </c>
      <c r="D1889" t="s">
        <v>1612</v>
      </c>
      <c r="E1889" t="s">
        <v>27</v>
      </c>
      <c r="F1889" t="s">
        <v>57</v>
      </c>
      <c r="G1889" t="s">
        <v>291</v>
      </c>
      <c r="H1889" t="s">
        <v>29</v>
      </c>
      <c r="I1889" t="s">
        <v>21</v>
      </c>
      <c r="J1889" t="s">
        <v>1613</v>
      </c>
    </row>
    <row r="1890" spans="1:10" x14ac:dyDescent="0.25">
      <c r="A1890">
        <v>27829924</v>
      </c>
      <c r="B1890" t="s">
        <v>17</v>
      </c>
      <c r="C1890" s="4">
        <v>44771.5804225463</v>
      </c>
      <c r="D1890" t="s">
        <v>1591</v>
      </c>
      <c r="E1890" t="s">
        <v>268</v>
      </c>
      <c r="F1890" t="s">
        <v>49</v>
      </c>
      <c r="G1890" t="s">
        <v>74</v>
      </c>
      <c r="H1890" t="s">
        <v>40</v>
      </c>
      <c r="I1890" t="s">
        <v>21</v>
      </c>
      <c r="J1890" t="s">
        <v>1592</v>
      </c>
    </row>
    <row r="1891" spans="1:10" x14ac:dyDescent="0.25">
      <c r="A1891">
        <v>27829931</v>
      </c>
      <c r="B1891" t="s">
        <v>17</v>
      </c>
      <c r="C1891" s="4">
        <v>44771.580518055547</v>
      </c>
      <c r="D1891" t="s">
        <v>1614</v>
      </c>
      <c r="E1891" t="s">
        <v>105</v>
      </c>
      <c r="F1891" t="s">
        <v>49</v>
      </c>
      <c r="G1891" t="s">
        <v>192</v>
      </c>
      <c r="H1891" t="s">
        <v>42</v>
      </c>
      <c r="I1891" t="s">
        <v>21</v>
      </c>
      <c r="J1891" t="s">
        <v>1615</v>
      </c>
    </row>
    <row r="1892" spans="1:10" x14ac:dyDescent="0.25">
      <c r="A1892">
        <v>27829936</v>
      </c>
      <c r="B1892" t="s">
        <v>17</v>
      </c>
      <c r="C1892" s="4">
        <v>44771.580665092602</v>
      </c>
      <c r="D1892" t="s">
        <v>1609</v>
      </c>
      <c r="E1892" t="s">
        <v>129</v>
      </c>
      <c r="F1892" t="s">
        <v>49</v>
      </c>
      <c r="G1892" t="s">
        <v>80</v>
      </c>
      <c r="H1892" t="s">
        <v>54</v>
      </c>
      <c r="I1892" t="s">
        <v>21</v>
      </c>
      <c r="J1892" t="s">
        <v>1610</v>
      </c>
    </row>
    <row r="1893" spans="1:10" x14ac:dyDescent="0.25">
      <c r="A1893">
        <v>27829944</v>
      </c>
      <c r="B1893" t="s">
        <v>17</v>
      </c>
      <c r="C1893" s="4">
        <v>44771.580830324077</v>
      </c>
      <c r="D1893" t="s">
        <v>1616</v>
      </c>
      <c r="E1893" t="s">
        <v>38</v>
      </c>
      <c r="F1893" t="s">
        <v>52</v>
      </c>
      <c r="G1893" t="s">
        <v>94</v>
      </c>
      <c r="H1893" t="s">
        <v>29</v>
      </c>
      <c r="I1893" t="s">
        <v>21</v>
      </c>
      <c r="J1893" t="s">
        <v>320</v>
      </c>
    </row>
    <row r="1894" spans="1:10" x14ac:dyDescent="0.25">
      <c r="A1894">
        <v>27829956</v>
      </c>
      <c r="B1894" t="s">
        <v>17</v>
      </c>
      <c r="C1894" s="4">
        <v>44771.581001365739</v>
      </c>
      <c r="D1894" t="s">
        <v>1591</v>
      </c>
      <c r="E1894" t="s">
        <v>268</v>
      </c>
      <c r="F1894" t="s">
        <v>49</v>
      </c>
      <c r="G1894" t="s">
        <v>74</v>
      </c>
      <c r="H1894" t="s">
        <v>25</v>
      </c>
      <c r="I1894" t="s">
        <v>21</v>
      </c>
      <c r="J1894" t="s">
        <v>1592</v>
      </c>
    </row>
    <row r="1895" spans="1:10" x14ac:dyDescent="0.25">
      <c r="A1895">
        <v>27829966</v>
      </c>
      <c r="B1895" t="s">
        <v>17</v>
      </c>
      <c r="C1895" s="4">
        <v>44771.58113053241</v>
      </c>
      <c r="D1895" t="s">
        <v>1614</v>
      </c>
      <c r="E1895" t="s">
        <v>105</v>
      </c>
      <c r="F1895" t="s">
        <v>49</v>
      </c>
      <c r="G1895" t="s">
        <v>192</v>
      </c>
      <c r="H1895" t="s">
        <v>54</v>
      </c>
      <c r="I1895" t="s">
        <v>21</v>
      </c>
      <c r="J1895" t="s">
        <v>1615</v>
      </c>
    </row>
    <row r="1896" spans="1:10" x14ac:dyDescent="0.25">
      <c r="A1896">
        <v>27829985</v>
      </c>
      <c r="B1896" t="s">
        <v>17</v>
      </c>
      <c r="C1896" s="4">
        <v>44771.58157263889</v>
      </c>
      <c r="D1896" t="s">
        <v>1602</v>
      </c>
      <c r="E1896" t="s">
        <v>27</v>
      </c>
      <c r="F1896" t="s">
        <v>18</v>
      </c>
      <c r="G1896" t="s">
        <v>236</v>
      </c>
      <c r="H1896" t="s">
        <v>40</v>
      </c>
      <c r="I1896" t="s">
        <v>21</v>
      </c>
      <c r="J1896" t="s">
        <v>1603</v>
      </c>
    </row>
    <row r="1897" spans="1:10" x14ac:dyDescent="0.25">
      <c r="A1897">
        <v>27830003</v>
      </c>
      <c r="B1897" t="s">
        <v>17</v>
      </c>
      <c r="C1897" s="4">
        <v>44771.581755995372</v>
      </c>
      <c r="D1897" t="s">
        <v>1604</v>
      </c>
      <c r="E1897" t="s">
        <v>27</v>
      </c>
      <c r="F1897" t="s">
        <v>18</v>
      </c>
      <c r="G1897" t="s">
        <v>380</v>
      </c>
      <c r="H1897" t="s">
        <v>40</v>
      </c>
      <c r="I1897" t="s">
        <v>21</v>
      </c>
      <c r="J1897" t="s">
        <v>1605</v>
      </c>
    </row>
    <row r="1898" spans="1:10" x14ac:dyDescent="0.25">
      <c r="A1898">
        <v>27830011</v>
      </c>
      <c r="B1898" t="s">
        <v>17</v>
      </c>
      <c r="C1898" s="4">
        <v>44771.581931354172</v>
      </c>
      <c r="D1898" t="s">
        <v>1602</v>
      </c>
      <c r="E1898" t="s">
        <v>27</v>
      </c>
      <c r="F1898" t="s">
        <v>18</v>
      </c>
      <c r="G1898" t="s">
        <v>236</v>
      </c>
      <c r="H1898" t="s">
        <v>25</v>
      </c>
      <c r="I1898" t="s">
        <v>21</v>
      </c>
      <c r="J1898" t="s">
        <v>1603</v>
      </c>
    </row>
    <row r="1899" spans="1:10" x14ac:dyDescent="0.25">
      <c r="A1899">
        <v>27830025</v>
      </c>
      <c r="B1899" t="s">
        <v>17</v>
      </c>
      <c r="C1899" s="4">
        <v>44771.58211614583</v>
      </c>
      <c r="D1899" t="s">
        <v>1604</v>
      </c>
      <c r="E1899" t="s">
        <v>27</v>
      </c>
      <c r="F1899" t="s">
        <v>18</v>
      </c>
      <c r="G1899" t="s">
        <v>380</v>
      </c>
      <c r="H1899" t="s">
        <v>25</v>
      </c>
      <c r="I1899" t="s">
        <v>21</v>
      </c>
      <c r="J1899" t="s">
        <v>1605</v>
      </c>
    </row>
    <row r="1900" spans="1:10" x14ac:dyDescent="0.25">
      <c r="A1900">
        <v>27830057</v>
      </c>
      <c r="B1900" t="s">
        <v>17</v>
      </c>
      <c r="C1900" s="4">
        <v>44771.582890520833</v>
      </c>
      <c r="D1900" t="s">
        <v>1617</v>
      </c>
      <c r="E1900" t="s">
        <v>62</v>
      </c>
      <c r="F1900" t="s">
        <v>49</v>
      </c>
      <c r="G1900" t="s">
        <v>73</v>
      </c>
      <c r="H1900" t="s">
        <v>42</v>
      </c>
      <c r="I1900" t="s">
        <v>21</v>
      </c>
      <c r="J1900" t="s">
        <v>386</v>
      </c>
    </row>
    <row r="1901" spans="1:10" x14ac:dyDescent="0.25">
      <c r="A1901">
        <v>27830065</v>
      </c>
      <c r="B1901" t="s">
        <v>17</v>
      </c>
      <c r="C1901" s="4">
        <v>44771.583042708327</v>
      </c>
      <c r="F1901" t="s">
        <v>18</v>
      </c>
      <c r="G1901" t="s">
        <v>228</v>
      </c>
      <c r="H1901" t="s">
        <v>81</v>
      </c>
      <c r="I1901" t="s">
        <v>21</v>
      </c>
    </row>
    <row r="1902" spans="1:10" x14ac:dyDescent="0.25">
      <c r="A1902">
        <v>27830067</v>
      </c>
      <c r="B1902" t="s">
        <v>17</v>
      </c>
      <c r="C1902" s="4">
        <v>44771.583042905091</v>
      </c>
      <c r="F1902" t="s">
        <v>18</v>
      </c>
      <c r="G1902" t="s">
        <v>228</v>
      </c>
      <c r="H1902" t="s">
        <v>93</v>
      </c>
      <c r="I1902" t="s">
        <v>21</v>
      </c>
    </row>
    <row r="1903" spans="1:10" x14ac:dyDescent="0.25">
      <c r="A1903">
        <v>27830070</v>
      </c>
      <c r="B1903" t="s">
        <v>17</v>
      </c>
      <c r="C1903" s="4">
        <v>44771.583067766202</v>
      </c>
      <c r="D1903" t="s">
        <v>1618</v>
      </c>
      <c r="E1903" t="s">
        <v>27</v>
      </c>
      <c r="F1903" t="s">
        <v>57</v>
      </c>
      <c r="G1903" t="s">
        <v>182</v>
      </c>
      <c r="H1903" t="s">
        <v>118</v>
      </c>
      <c r="I1903" t="s">
        <v>36</v>
      </c>
    </row>
    <row r="1904" spans="1:10" x14ac:dyDescent="0.25">
      <c r="A1904">
        <v>27830073</v>
      </c>
      <c r="B1904" t="s">
        <v>17</v>
      </c>
      <c r="C1904" s="4">
        <v>44771.583124236109</v>
      </c>
      <c r="D1904" t="s">
        <v>1618</v>
      </c>
      <c r="E1904" t="s">
        <v>27</v>
      </c>
      <c r="F1904" t="s">
        <v>57</v>
      </c>
      <c r="G1904" t="s">
        <v>182</v>
      </c>
      <c r="H1904" t="s">
        <v>35</v>
      </c>
      <c r="I1904" t="s">
        <v>36</v>
      </c>
    </row>
    <row r="1905" spans="1:10" x14ac:dyDescent="0.25">
      <c r="A1905">
        <v>27830096</v>
      </c>
      <c r="B1905" t="s">
        <v>17</v>
      </c>
      <c r="C1905" s="4">
        <v>44771.583426817131</v>
      </c>
      <c r="D1905" t="s">
        <v>1617</v>
      </c>
      <c r="E1905" t="s">
        <v>62</v>
      </c>
      <c r="F1905" t="s">
        <v>49</v>
      </c>
      <c r="G1905" t="s">
        <v>73</v>
      </c>
      <c r="H1905" t="s">
        <v>54</v>
      </c>
      <c r="I1905" t="s">
        <v>21</v>
      </c>
      <c r="J1905" t="s">
        <v>386</v>
      </c>
    </row>
    <row r="1906" spans="1:10" x14ac:dyDescent="0.25">
      <c r="A1906">
        <v>27830127</v>
      </c>
      <c r="B1906" t="s">
        <v>17</v>
      </c>
      <c r="C1906" s="4">
        <v>44771.583700717587</v>
      </c>
      <c r="D1906" t="s">
        <v>1619</v>
      </c>
      <c r="E1906" t="s">
        <v>38</v>
      </c>
      <c r="F1906" t="s">
        <v>52</v>
      </c>
      <c r="G1906" t="s">
        <v>145</v>
      </c>
      <c r="H1906" t="s">
        <v>42</v>
      </c>
      <c r="I1906" t="s">
        <v>21</v>
      </c>
      <c r="J1906" t="s">
        <v>1620</v>
      </c>
    </row>
    <row r="1907" spans="1:10" x14ac:dyDescent="0.25">
      <c r="A1907">
        <v>27830132</v>
      </c>
      <c r="B1907" t="s">
        <v>17</v>
      </c>
      <c r="C1907" s="4">
        <v>44771.583822384258</v>
      </c>
      <c r="D1907" t="s">
        <v>1619</v>
      </c>
      <c r="E1907" t="s">
        <v>38</v>
      </c>
      <c r="F1907" t="s">
        <v>52</v>
      </c>
      <c r="G1907" t="s">
        <v>145</v>
      </c>
      <c r="H1907" t="s">
        <v>54</v>
      </c>
      <c r="I1907" t="s">
        <v>21</v>
      </c>
      <c r="J1907" t="s">
        <v>1620</v>
      </c>
    </row>
    <row r="1908" spans="1:10" x14ac:dyDescent="0.25">
      <c r="A1908">
        <v>27830149</v>
      </c>
      <c r="B1908" t="s">
        <v>17</v>
      </c>
      <c r="C1908" s="4">
        <v>44771.584363958333</v>
      </c>
      <c r="D1908" t="s">
        <v>1611</v>
      </c>
      <c r="E1908" t="s">
        <v>38</v>
      </c>
      <c r="F1908" t="s">
        <v>23</v>
      </c>
      <c r="G1908" t="s">
        <v>194</v>
      </c>
      <c r="H1908" t="s">
        <v>54</v>
      </c>
      <c r="I1908" t="s">
        <v>21</v>
      </c>
      <c r="J1908" t="s">
        <v>391</v>
      </c>
    </row>
    <row r="1909" spans="1:10" x14ac:dyDescent="0.25">
      <c r="A1909">
        <v>27830155</v>
      </c>
      <c r="B1909" t="s">
        <v>17</v>
      </c>
      <c r="C1909" s="4">
        <v>44771.584451724542</v>
      </c>
      <c r="D1909" t="s">
        <v>1606</v>
      </c>
      <c r="E1909" t="s">
        <v>27</v>
      </c>
      <c r="F1909" t="s">
        <v>49</v>
      </c>
      <c r="G1909" t="s">
        <v>106</v>
      </c>
      <c r="H1909" t="s">
        <v>54</v>
      </c>
      <c r="I1909" t="s">
        <v>21</v>
      </c>
      <c r="J1909" t="s">
        <v>1607</v>
      </c>
    </row>
    <row r="1910" spans="1:10" x14ac:dyDescent="0.25">
      <c r="A1910">
        <v>27830189</v>
      </c>
      <c r="B1910" t="s">
        <v>17</v>
      </c>
      <c r="C1910" s="4">
        <v>44771.585728888887</v>
      </c>
      <c r="D1910" t="s">
        <v>1606</v>
      </c>
      <c r="E1910" t="s">
        <v>27</v>
      </c>
      <c r="F1910" t="s">
        <v>49</v>
      </c>
      <c r="G1910" t="s">
        <v>106</v>
      </c>
      <c r="H1910" t="s">
        <v>40</v>
      </c>
      <c r="I1910" t="s">
        <v>21</v>
      </c>
      <c r="J1910" t="s">
        <v>1607</v>
      </c>
    </row>
    <row r="1911" spans="1:10" x14ac:dyDescent="0.25">
      <c r="A1911">
        <v>27830196</v>
      </c>
      <c r="B1911" t="s">
        <v>17</v>
      </c>
      <c r="C1911" s="4">
        <v>44771.585899826387</v>
      </c>
      <c r="D1911" t="s">
        <v>1621</v>
      </c>
      <c r="E1911" t="s">
        <v>371</v>
      </c>
      <c r="F1911" t="s">
        <v>49</v>
      </c>
      <c r="G1911" t="s">
        <v>146</v>
      </c>
      <c r="H1911" t="s">
        <v>42</v>
      </c>
      <c r="I1911" t="s">
        <v>21</v>
      </c>
      <c r="J1911" t="s">
        <v>392</v>
      </c>
    </row>
    <row r="1912" spans="1:10" x14ac:dyDescent="0.25">
      <c r="A1912">
        <v>27830213</v>
      </c>
      <c r="B1912" t="s">
        <v>17</v>
      </c>
      <c r="C1912" s="4">
        <v>44771.5862690625</v>
      </c>
      <c r="D1912" t="s">
        <v>1622</v>
      </c>
      <c r="E1912" t="s">
        <v>27</v>
      </c>
      <c r="F1912" t="s">
        <v>18</v>
      </c>
      <c r="G1912" t="s">
        <v>83</v>
      </c>
      <c r="H1912" t="s">
        <v>29</v>
      </c>
      <c r="I1912" t="s">
        <v>21</v>
      </c>
      <c r="J1912" t="s">
        <v>1623</v>
      </c>
    </row>
    <row r="1913" spans="1:10" x14ac:dyDescent="0.25">
      <c r="A1913">
        <v>27830225</v>
      </c>
      <c r="B1913" t="s">
        <v>17</v>
      </c>
      <c r="C1913" s="4">
        <v>44771.586354502317</v>
      </c>
      <c r="D1913" t="s">
        <v>1606</v>
      </c>
      <c r="E1913" t="s">
        <v>27</v>
      </c>
      <c r="F1913" t="s">
        <v>49</v>
      </c>
      <c r="G1913" t="s">
        <v>106</v>
      </c>
      <c r="H1913" t="s">
        <v>25</v>
      </c>
      <c r="I1913" t="s">
        <v>21</v>
      </c>
      <c r="J1913" t="s">
        <v>1607</v>
      </c>
    </row>
    <row r="1914" spans="1:10" x14ac:dyDescent="0.25">
      <c r="A1914">
        <v>27830237</v>
      </c>
      <c r="B1914" t="s">
        <v>17</v>
      </c>
      <c r="C1914" s="4">
        <v>44771.586427476846</v>
      </c>
      <c r="D1914" t="s">
        <v>1611</v>
      </c>
      <c r="E1914" t="s">
        <v>38</v>
      </c>
      <c r="F1914" t="s">
        <v>23</v>
      </c>
      <c r="G1914" t="s">
        <v>194</v>
      </c>
      <c r="H1914" t="s">
        <v>40</v>
      </c>
      <c r="I1914" t="s">
        <v>21</v>
      </c>
      <c r="J1914" t="s">
        <v>391</v>
      </c>
    </row>
    <row r="1915" spans="1:10" x14ac:dyDescent="0.25">
      <c r="A1915">
        <v>27830244</v>
      </c>
      <c r="B1915" t="s">
        <v>17</v>
      </c>
      <c r="C1915" s="4">
        <v>44771.586582407414</v>
      </c>
      <c r="F1915" t="s">
        <v>18</v>
      </c>
      <c r="G1915" t="s">
        <v>413</v>
      </c>
      <c r="H1915" t="s">
        <v>67</v>
      </c>
      <c r="I1915" t="s">
        <v>21</v>
      </c>
    </row>
    <row r="1916" spans="1:10" x14ac:dyDescent="0.25">
      <c r="A1916">
        <v>27830265</v>
      </c>
      <c r="B1916" t="s">
        <v>17</v>
      </c>
      <c r="C1916" s="4">
        <v>44771.58683724537</v>
      </c>
      <c r="D1916" t="s">
        <v>1609</v>
      </c>
      <c r="E1916" t="s">
        <v>129</v>
      </c>
      <c r="F1916" t="s">
        <v>49</v>
      </c>
      <c r="G1916" t="s">
        <v>80</v>
      </c>
      <c r="H1916" t="s">
        <v>40</v>
      </c>
      <c r="I1916" t="s">
        <v>21</v>
      </c>
      <c r="J1916" t="s">
        <v>1610</v>
      </c>
    </row>
    <row r="1917" spans="1:10" x14ac:dyDescent="0.25">
      <c r="A1917">
        <v>27830268</v>
      </c>
      <c r="B1917" t="s">
        <v>17</v>
      </c>
      <c r="C1917" s="4">
        <v>44771.58692765046</v>
      </c>
      <c r="D1917" t="s">
        <v>1611</v>
      </c>
      <c r="E1917" t="s">
        <v>38</v>
      </c>
      <c r="F1917" t="s">
        <v>23</v>
      </c>
      <c r="G1917" t="s">
        <v>194</v>
      </c>
      <c r="H1917" t="s">
        <v>25</v>
      </c>
      <c r="I1917" t="s">
        <v>21</v>
      </c>
      <c r="J1917" t="s">
        <v>391</v>
      </c>
    </row>
    <row r="1918" spans="1:10" x14ac:dyDescent="0.25">
      <c r="A1918">
        <v>27830280</v>
      </c>
      <c r="B1918" t="s">
        <v>17</v>
      </c>
      <c r="C1918" s="4">
        <v>44771.586968668977</v>
      </c>
      <c r="F1918" t="s">
        <v>18</v>
      </c>
      <c r="G1918" t="s">
        <v>228</v>
      </c>
      <c r="H1918" t="s">
        <v>81</v>
      </c>
      <c r="I1918" t="s">
        <v>21</v>
      </c>
    </row>
    <row r="1919" spans="1:10" x14ac:dyDescent="0.25">
      <c r="A1919">
        <v>27830282</v>
      </c>
      <c r="B1919" t="s">
        <v>17</v>
      </c>
      <c r="C1919" s="4">
        <v>44771.58696886574</v>
      </c>
      <c r="F1919" t="s">
        <v>18</v>
      </c>
      <c r="G1919" t="s">
        <v>228</v>
      </c>
      <c r="H1919" t="s">
        <v>93</v>
      </c>
      <c r="I1919" t="s">
        <v>21</v>
      </c>
    </row>
    <row r="1920" spans="1:10" x14ac:dyDescent="0.25">
      <c r="A1920">
        <v>27830292</v>
      </c>
      <c r="B1920" t="s">
        <v>17</v>
      </c>
      <c r="C1920" s="4">
        <v>44771.587275428239</v>
      </c>
      <c r="F1920" t="s">
        <v>18</v>
      </c>
      <c r="G1920" t="s">
        <v>413</v>
      </c>
      <c r="H1920" t="s">
        <v>68</v>
      </c>
      <c r="I1920" t="s">
        <v>21</v>
      </c>
    </row>
    <row r="1921" spans="1:10" x14ac:dyDescent="0.25">
      <c r="A1921">
        <v>27830300</v>
      </c>
      <c r="B1921" t="s">
        <v>17</v>
      </c>
      <c r="C1921" s="4">
        <v>44771.58740596065</v>
      </c>
      <c r="D1921" t="s">
        <v>1609</v>
      </c>
      <c r="E1921" t="s">
        <v>129</v>
      </c>
      <c r="F1921" t="s">
        <v>49</v>
      </c>
      <c r="G1921" t="s">
        <v>80</v>
      </c>
      <c r="H1921" t="s">
        <v>25</v>
      </c>
      <c r="I1921" t="s">
        <v>21</v>
      </c>
      <c r="J1921" t="s">
        <v>1610</v>
      </c>
    </row>
    <row r="1922" spans="1:10" x14ac:dyDescent="0.25">
      <c r="A1922">
        <v>27830328</v>
      </c>
      <c r="B1922" t="s">
        <v>17</v>
      </c>
      <c r="C1922" s="4">
        <v>44771.587867141207</v>
      </c>
      <c r="D1922" t="s">
        <v>1624</v>
      </c>
      <c r="E1922" t="s">
        <v>27</v>
      </c>
      <c r="F1922" t="s">
        <v>57</v>
      </c>
      <c r="G1922" t="s">
        <v>244</v>
      </c>
      <c r="H1922" t="s">
        <v>42</v>
      </c>
      <c r="I1922" t="s">
        <v>21</v>
      </c>
      <c r="J1922" t="s">
        <v>1625</v>
      </c>
    </row>
    <row r="1923" spans="1:10" x14ac:dyDescent="0.25">
      <c r="A1923">
        <v>27830338</v>
      </c>
      <c r="B1923" t="s">
        <v>17</v>
      </c>
      <c r="C1923" s="4">
        <v>44771.588065798613</v>
      </c>
      <c r="D1923" t="s">
        <v>1621</v>
      </c>
      <c r="E1923" t="s">
        <v>371</v>
      </c>
      <c r="F1923" t="s">
        <v>49</v>
      </c>
      <c r="G1923" t="s">
        <v>146</v>
      </c>
      <c r="H1923" t="s">
        <v>54</v>
      </c>
      <c r="I1923" t="s">
        <v>21</v>
      </c>
      <c r="J1923" t="s">
        <v>392</v>
      </c>
    </row>
    <row r="1924" spans="1:10" x14ac:dyDescent="0.25">
      <c r="A1924">
        <v>27830368</v>
      </c>
      <c r="B1924" t="s">
        <v>17</v>
      </c>
      <c r="C1924" s="4">
        <v>44771.58904402778</v>
      </c>
      <c r="D1924" t="s">
        <v>1624</v>
      </c>
      <c r="E1924" t="s">
        <v>27</v>
      </c>
      <c r="F1924" t="s">
        <v>57</v>
      </c>
      <c r="G1924" t="s">
        <v>244</v>
      </c>
      <c r="H1924" t="s">
        <v>54</v>
      </c>
      <c r="I1924" t="s">
        <v>21</v>
      </c>
      <c r="J1924" t="s">
        <v>1625</v>
      </c>
    </row>
    <row r="1925" spans="1:10" x14ac:dyDescent="0.25">
      <c r="A1925">
        <v>27830374</v>
      </c>
      <c r="B1925" t="s">
        <v>17</v>
      </c>
      <c r="C1925" s="4">
        <v>44771.589131504632</v>
      </c>
      <c r="D1925" t="s">
        <v>1614</v>
      </c>
      <c r="E1925" t="s">
        <v>105</v>
      </c>
      <c r="F1925" t="s">
        <v>49</v>
      </c>
      <c r="G1925" t="s">
        <v>192</v>
      </c>
      <c r="H1925" t="s">
        <v>40</v>
      </c>
      <c r="I1925" t="s">
        <v>21</v>
      </c>
      <c r="J1925" t="s">
        <v>1615</v>
      </c>
    </row>
    <row r="1926" spans="1:10" x14ac:dyDescent="0.25">
      <c r="A1926">
        <v>27830389</v>
      </c>
      <c r="B1926" t="s">
        <v>17</v>
      </c>
      <c r="C1926" s="4">
        <v>44771.589495173612</v>
      </c>
      <c r="D1926" t="s">
        <v>1618</v>
      </c>
      <c r="E1926" t="s">
        <v>27</v>
      </c>
      <c r="F1926" t="s">
        <v>57</v>
      </c>
      <c r="G1926" t="s">
        <v>182</v>
      </c>
      <c r="H1926" t="s">
        <v>40</v>
      </c>
      <c r="I1926" t="s">
        <v>21</v>
      </c>
    </row>
    <row r="1927" spans="1:10" x14ac:dyDescent="0.25">
      <c r="A1927">
        <v>27830401</v>
      </c>
      <c r="B1927" t="s">
        <v>17</v>
      </c>
      <c r="C1927" s="4">
        <v>44771.589749733786</v>
      </c>
      <c r="D1927" t="s">
        <v>1614</v>
      </c>
      <c r="E1927" t="s">
        <v>105</v>
      </c>
      <c r="F1927" t="s">
        <v>49</v>
      </c>
      <c r="G1927" t="s">
        <v>192</v>
      </c>
      <c r="H1927" t="s">
        <v>25</v>
      </c>
      <c r="I1927" t="s">
        <v>21</v>
      </c>
      <c r="J1927" t="s">
        <v>1615</v>
      </c>
    </row>
    <row r="1928" spans="1:10" x14ac:dyDescent="0.25">
      <c r="A1928">
        <v>27830412</v>
      </c>
      <c r="B1928" t="s">
        <v>17</v>
      </c>
      <c r="C1928" s="4">
        <v>44771.589948043977</v>
      </c>
      <c r="D1928" t="s">
        <v>1618</v>
      </c>
      <c r="E1928" t="s">
        <v>27</v>
      </c>
      <c r="F1928" t="s">
        <v>57</v>
      </c>
      <c r="G1928" t="s">
        <v>182</v>
      </c>
      <c r="H1928" t="s">
        <v>25</v>
      </c>
      <c r="I1928" t="s">
        <v>21</v>
      </c>
    </row>
    <row r="1929" spans="1:10" x14ac:dyDescent="0.25">
      <c r="A1929">
        <v>27830458</v>
      </c>
      <c r="B1929" t="s">
        <v>17</v>
      </c>
      <c r="C1929" s="4">
        <v>44771.590587604172</v>
      </c>
      <c r="D1929" t="s">
        <v>1626</v>
      </c>
      <c r="E1929" t="s">
        <v>430</v>
      </c>
      <c r="F1929" t="s">
        <v>18</v>
      </c>
      <c r="G1929" t="s">
        <v>186</v>
      </c>
      <c r="H1929" t="s">
        <v>42</v>
      </c>
      <c r="I1929" t="s">
        <v>21</v>
      </c>
      <c r="J1929" t="s">
        <v>1627</v>
      </c>
    </row>
    <row r="1930" spans="1:10" x14ac:dyDescent="0.25">
      <c r="A1930">
        <v>27830463</v>
      </c>
      <c r="B1930" t="s">
        <v>17</v>
      </c>
      <c r="C1930" s="4">
        <v>44771.590638310183</v>
      </c>
      <c r="D1930" t="s">
        <v>1626</v>
      </c>
      <c r="E1930" t="s">
        <v>430</v>
      </c>
      <c r="F1930" t="s">
        <v>18</v>
      </c>
      <c r="G1930" t="s">
        <v>186</v>
      </c>
      <c r="H1930" t="s">
        <v>54</v>
      </c>
      <c r="I1930" t="s">
        <v>21</v>
      </c>
      <c r="J1930" t="s">
        <v>1627</v>
      </c>
    </row>
    <row r="1931" spans="1:10" x14ac:dyDescent="0.25">
      <c r="A1931">
        <v>27830467</v>
      </c>
      <c r="B1931" t="s">
        <v>17</v>
      </c>
      <c r="C1931" s="4">
        <v>44771.590665763892</v>
      </c>
      <c r="D1931" t="s">
        <v>1628</v>
      </c>
      <c r="E1931" t="s">
        <v>349</v>
      </c>
      <c r="F1931" t="s">
        <v>49</v>
      </c>
      <c r="G1931" t="s">
        <v>84</v>
      </c>
      <c r="H1931" t="s">
        <v>29</v>
      </c>
      <c r="I1931" t="s">
        <v>21</v>
      </c>
      <c r="J1931" t="s">
        <v>1629</v>
      </c>
    </row>
    <row r="1932" spans="1:10" x14ac:dyDescent="0.25">
      <c r="A1932">
        <v>27830506</v>
      </c>
      <c r="B1932" t="s">
        <v>17</v>
      </c>
      <c r="C1932" s="4">
        <v>44771.590899629628</v>
      </c>
      <c r="D1932" t="s">
        <v>1617</v>
      </c>
      <c r="E1932" t="s">
        <v>62</v>
      </c>
      <c r="F1932" t="s">
        <v>49</v>
      </c>
      <c r="G1932" t="s">
        <v>73</v>
      </c>
      <c r="H1932" t="s">
        <v>40</v>
      </c>
      <c r="I1932" t="s">
        <v>21</v>
      </c>
      <c r="J1932" t="s">
        <v>386</v>
      </c>
    </row>
    <row r="1933" spans="1:10" x14ac:dyDescent="0.25">
      <c r="A1933">
        <v>27830521</v>
      </c>
      <c r="B1933" t="s">
        <v>17</v>
      </c>
      <c r="C1933" s="4">
        <v>44771.591250590267</v>
      </c>
      <c r="D1933" t="s">
        <v>1617</v>
      </c>
      <c r="E1933" t="s">
        <v>62</v>
      </c>
      <c r="F1933" t="s">
        <v>49</v>
      </c>
      <c r="G1933" t="s">
        <v>73</v>
      </c>
      <c r="H1933" t="s">
        <v>25</v>
      </c>
      <c r="I1933" t="s">
        <v>21</v>
      </c>
      <c r="J1933" t="s">
        <v>386</v>
      </c>
    </row>
    <row r="1934" spans="1:10" x14ac:dyDescent="0.25">
      <c r="A1934">
        <v>27830539</v>
      </c>
      <c r="B1934" t="s">
        <v>17</v>
      </c>
      <c r="C1934" s="4">
        <v>44771.591610613417</v>
      </c>
      <c r="F1934" t="s">
        <v>18</v>
      </c>
      <c r="G1934" t="s">
        <v>228</v>
      </c>
      <c r="H1934" t="s">
        <v>81</v>
      </c>
      <c r="I1934" t="s">
        <v>21</v>
      </c>
    </row>
    <row r="1935" spans="1:10" x14ac:dyDescent="0.25">
      <c r="A1935">
        <v>27830541</v>
      </c>
      <c r="B1935" t="s">
        <v>17</v>
      </c>
      <c r="C1935" s="4">
        <v>44771.591610810188</v>
      </c>
      <c r="F1935" t="s">
        <v>18</v>
      </c>
      <c r="G1935" t="s">
        <v>228</v>
      </c>
      <c r="H1935" t="s">
        <v>93</v>
      </c>
      <c r="I1935" t="s">
        <v>21</v>
      </c>
    </row>
    <row r="1936" spans="1:10" x14ac:dyDescent="0.25">
      <c r="A1936">
        <v>27830558</v>
      </c>
      <c r="B1936" t="s">
        <v>17</v>
      </c>
      <c r="C1936" s="4">
        <v>44771.592034166657</v>
      </c>
      <c r="D1936" t="s">
        <v>1630</v>
      </c>
      <c r="E1936" t="s">
        <v>191</v>
      </c>
      <c r="F1936" t="s">
        <v>49</v>
      </c>
      <c r="G1936" t="s">
        <v>218</v>
      </c>
      <c r="H1936" t="s">
        <v>42</v>
      </c>
      <c r="I1936" t="s">
        <v>21</v>
      </c>
      <c r="J1936" t="s">
        <v>370</v>
      </c>
    </row>
    <row r="1937" spans="1:10" x14ac:dyDescent="0.25">
      <c r="A1937">
        <v>27830589</v>
      </c>
      <c r="B1937" t="s">
        <v>17</v>
      </c>
      <c r="C1937" s="4">
        <v>44771.593173831017</v>
      </c>
      <c r="D1937" t="s">
        <v>1387</v>
      </c>
      <c r="E1937" t="s">
        <v>38</v>
      </c>
      <c r="F1937" t="s">
        <v>31</v>
      </c>
      <c r="G1937" t="s">
        <v>86</v>
      </c>
      <c r="H1937" t="s">
        <v>29</v>
      </c>
      <c r="I1937" t="s">
        <v>21</v>
      </c>
      <c r="J1937" t="s">
        <v>613</v>
      </c>
    </row>
    <row r="1938" spans="1:10" x14ac:dyDescent="0.25">
      <c r="A1938">
        <v>27830628</v>
      </c>
      <c r="B1938" t="s">
        <v>17</v>
      </c>
      <c r="C1938" s="4">
        <v>44771.59371267361</v>
      </c>
      <c r="D1938" t="s">
        <v>1631</v>
      </c>
      <c r="E1938" t="s">
        <v>27</v>
      </c>
      <c r="F1938" t="s">
        <v>18</v>
      </c>
      <c r="G1938" t="s">
        <v>273</v>
      </c>
      <c r="H1938" t="s">
        <v>42</v>
      </c>
      <c r="I1938" t="s">
        <v>21</v>
      </c>
      <c r="J1938" t="s">
        <v>1632</v>
      </c>
    </row>
    <row r="1939" spans="1:10" x14ac:dyDescent="0.25">
      <c r="A1939">
        <v>27830634</v>
      </c>
      <c r="B1939" t="s">
        <v>17</v>
      </c>
      <c r="C1939" s="4">
        <v>44771.593756423608</v>
      </c>
      <c r="D1939" t="s">
        <v>1631</v>
      </c>
      <c r="E1939" t="s">
        <v>27</v>
      </c>
      <c r="F1939" t="s">
        <v>18</v>
      </c>
      <c r="G1939" t="s">
        <v>273</v>
      </c>
      <c r="H1939" t="s">
        <v>54</v>
      </c>
      <c r="I1939" t="s">
        <v>21</v>
      </c>
      <c r="J1939" t="s">
        <v>1632</v>
      </c>
    </row>
    <row r="1940" spans="1:10" x14ac:dyDescent="0.25">
      <c r="A1940">
        <v>27830637</v>
      </c>
      <c r="B1940" t="s">
        <v>17</v>
      </c>
      <c r="C1940" s="4">
        <v>44771.593773969907</v>
      </c>
      <c r="D1940" t="s">
        <v>1633</v>
      </c>
      <c r="E1940" t="s">
        <v>27</v>
      </c>
      <c r="F1940" t="s">
        <v>18</v>
      </c>
      <c r="G1940" t="s">
        <v>375</v>
      </c>
      <c r="H1940" t="s">
        <v>29</v>
      </c>
      <c r="I1940" t="s">
        <v>21</v>
      </c>
      <c r="J1940" t="s">
        <v>1634</v>
      </c>
    </row>
    <row r="1941" spans="1:10" x14ac:dyDescent="0.25">
      <c r="A1941">
        <v>27830670</v>
      </c>
      <c r="B1941" t="s">
        <v>17</v>
      </c>
      <c r="C1941" s="4">
        <v>44771.594059976851</v>
      </c>
      <c r="D1941" t="s">
        <v>1635</v>
      </c>
      <c r="E1941" t="s">
        <v>38</v>
      </c>
      <c r="F1941" t="s">
        <v>23</v>
      </c>
      <c r="G1941" t="s">
        <v>110</v>
      </c>
      <c r="H1941" t="s">
        <v>42</v>
      </c>
      <c r="I1941" t="s">
        <v>21</v>
      </c>
      <c r="J1941" t="s">
        <v>458</v>
      </c>
    </row>
    <row r="1942" spans="1:10" x14ac:dyDescent="0.25">
      <c r="A1942">
        <v>27830704</v>
      </c>
      <c r="B1942" t="s">
        <v>17</v>
      </c>
      <c r="C1942" s="4">
        <v>44771.594638402777</v>
      </c>
      <c r="D1942" t="s">
        <v>1636</v>
      </c>
      <c r="E1942" t="s">
        <v>48</v>
      </c>
      <c r="F1942" t="s">
        <v>49</v>
      </c>
      <c r="G1942" t="s">
        <v>359</v>
      </c>
      <c r="H1942" t="s">
        <v>42</v>
      </c>
      <c r="I1942" t="s">
        <v>21</v>
      </c>
      <c r="J1942" t="s">
        <v>374</v>
      </c>
    </row>
    <row r="1943" spans="1:10" x14ac:dyDescent="0.25">
      <c r="A1943">
        <v>27830708</v>
      </c>
      <c r="B1943" t="s">
        <v>17</v>
      </c>
      <c r="C1943" s="4">
        <v>44771.594655034722</v>
      </c>
      <c r="D1943" t="s">
        <v>1619</v>
      </c>
      <c r="E1943" t="s">
        <v>38</v>
      </c>
      <c r="F1943" t="s">
        <v>52</v>
      </c>
      <c r="G1943" t="s">
        <v>145</v>
      </c>
      <c r="H1943" t="s">
        <v>40</v>
      </c>
      <c r="I1943" t="s">
        <v>21</v>
      </c>
      <c r="J1943" t="s">
        <v>1620</v>
      </c>
    </row>
    <row r="1944" spans="1:10" x14ac:dyDescent="0.25">
      <c r="A1944">
        <v>27830714</v>
      </c>
      <c r="B1944" t="s">
        <v>17</v>
      </c>
      <c r="C1944" s="4">
        <v>44771.594695023137</v>
      </c>
      <c r="D1944" t="s">
        <v>1637</v>
      </c>
      <c r="E1944" t="s">
        <v>22</v>
      </c>
      <c r="F1944" t="s">
        <v>23</v>
      </c>
      <c r="G1944" t="s">
        <v>187</v>
      </c>
      <c r="H1944" t="s">
        <v>29</v>
      </c>
      <c r="I1944" t="s">
        <v>21</v>
      </c>
    </row>
    <row r="1945" spans="1:10" x14ac:dyDescent="0.25">
      <c r="A1945">
        <v>27830720</v>
      </c>
      <c r="B1945" t="s">
        <v>17</v>
      </c>
      <c r="C1945" s="4">
        <v>44771.594877627307</v>
      </c>
      <c r="D1945" t="s">
        <v>1638</v>
      </c>
      <c r="E1945" t="s">
        <v>38</v>
      </c>
      <c r="F1945" t="s">
        <v>55</v>
      </c>
      <c r="G1945" t="s">
        <v>422</v>
      </c>
      <c r="H1945" t="s">
        <v>29</v>
      </c>
      <c r="I1945" t="s">
        <v>21</v>
      </c>
    </row>
    <row r="1946" spans="1:10" x14ac:dyDescent="0.25">
      <c r="A1946">
        <v>27830726</v>
      </c>
      <c r="B1946" t="s">
        <v>17</v>
      </c>
      <c r="C1946" s="4">
        <v>44771.594927800928</v>
      </c>
      <c r="D1946" t="s">
        <v>1639</v>
      </c>
      <c r="E1946" t="s">
        <v>38</v>
      </c>
      <c r="F1946" t="s">
        <v>55</v>
      </c>
      <c r="G1946" t="s">
        <v>422</v>
      </c>
      <c r="H1946" t="s">
        <v>42</v>
      </c>
      <c r="I1946" t="s">
        <v>21</v>
      </c>
      <c r="J1946" t="s">
        <v>458</v>
      </c>
    </row>
    <row r="1947" spans="1:10" x14ac:dyDescent="0.25">
      <c r="A1947">
        <v>27830731</v>
      </c>
      <c r="B1947" t="s">
        <v>17</v>
      </c>
      <c r="C1947" s="4">
        <v>44771.594993310187</v>
      </c>
      <c r="D1947" t="s">
        <v>1636</v>
      </c>
      <c r="E1947" t="s">
        <v>48</v>
      </c>
      <c r="F1947" t="s">
        <v>49</v>
      </c>
      <c r="G1947" t="s">
        <v>359</v>
      </c>
      <c r="H1947" t="s">
        <v>239</v>
      </c>
      <c r="I1947" t="s">
        <v>21</v>
      </c>
      <c r="J1947" t="s">
        <v>374</v>
      </c>
    </row>
    <row r="1948" spans="1:10" x14ac:dyDescent="0.25">
      <c r="A1948">
        <v>27830733</v>
      </c>
      <c r="B1948" t="s">
        <v>17</v>
      </c>
      <c r="C1948" s="4">
        <v>44771.59500090278</v>
      </c>
      <c r="D1948" t="s">
        <v>1636</v>
      </c>
      <c r="E1948" t="s">
        <v>48</v>
      </c>
      <c r="F1948" t="s">
        <v>49</v>
      </c>
      <c r="G1948" t="s">
        <v>359</v>
      </c>
      <c r="H1948" t="s">
        <v>240</v>
      </c>
      <c r="I1948" t="s">
        <v>21</v>
      </c>
      <c r="J1948" t="s">
        <v>374</v>
      </c>
    </row>
    <row r="1949" spans="1:10" x14ac:dyDescent="0.25">
      <c r="A1949">
        <v>27830739</v>
      </c>
      <c r="B1949" t="s">
        <v>17</v>
      </c>
      <c r="C1949" s="4">
        <v>44771.595076851852</v>
      </c>
      <c r="D1949" t="s">
        <v>1619</v>
      </c>
      <c r="E1949" t="s">
        <v>38</v>
      </c>
      <c r="F1949" t="s">
        <v>52</v>
      </c>
      <c r="G1949" t="s">
        <v>145</v>
      </c>
      <c r="H1949" t="s">
        <v>25</v>
      </c>
      <c r="I1949" t="s">
        <v>21</v>
      </c>
      <c r="J1949" t="s">
        <v>1620</v>
      </c>
    </row>
    <row r="1950" spans="1:10" x14ac:dyDescent="0.25">
      <c r="A1950">
        <v>27830756</v>
      </c>
      <c r="B1950" t="s">
        <v>17</v>
      </c>
      <c r="C1950" s="4">
        <v>44771.595269479163</v>
      </c>
      <c r="D1950" t="s">
        <v>1624</v>
      </c>
      <c r="E1950" t="s">
        <v>27</v>
      </c>
      <c r="F1950" t="s">
        <v>57</v>
      </c>
      <c r="G1950" t="s">
        <v>244</v>
      </c>
      <c r="H1950" t="s">
        <v>40</v>
      </c>
      <c r="I1950" t="s">
        <v>21</v>
      </c>
      <c r="J1950" t="s">
        <v>1625</v>
      </c>
    </row>
    <row r="1951" spans="1:10" x14ac:dyDescent="0.25">
      <c r="A1951">
        <v>27830769</v>
      </c>
      <c r="B1951" t="s">
        <v>17</v>
      </c>
      <c r="C1951" s="4">
        <v>44771.59565625</v>
      </c>
      <c r="D1951" t="s">
        <v>1624</v>
      </c>
      <c r="E1951" t="s">
        <v>27</v>
      </c>
      <c r="F1951" t="s">
        <v>57</v>
      </c>
      <c r="G1951" t="s">
        <v>244</v>
      </c>
      <c r="H1951" t="s">
        <v>25</v>
      </c>
      <c r="I1951" t="s">
        <v>21</v>
      </c>
      <c r="J1951" t="s">
        <v>1625</v>
      </c>
    </row>
    <row r="1952" spans="1:10" x14ac:dyDescent="0.25">
      <c r="A1952">
        <v>27830784</v>
      </c>
      <c r="B1952" t="s">
        <v>17</v>
      </c>
      <c r="C1952" s="4">
        <v>44771.595680324077</v>
      </c>
      <c r="D1952" t="s">
        <v>1640</v>
      </c>
      <c r="E1952" t="s">
        <v>62</v>
      </c>
      <c r="F1952" t="s">
        <v>18</v>
      </c>
      <c r="G1952" t="s">
        <v>183</v>
      </c>
      <c r="H1952" t="s">
        <v>42</v>
      </c>
      <c r="I1952" t="s">
        <v>21</v>
      </c>
      <c r="J1952" t="s">
        <v>1641</v>
      </c>
    </row>
    <row r="1953" spans="1:10" x14ac:dyDescent="0.25">
      <c r="A1953">
        <v>27830789</v>
      </c>
      <c r="B1953" t="s">
        <v>17</v>
      </c>
      <c r="C1953" s="4">
        <v>44771.595782152777</v>
      </c>
      <c r="D1953" t="s">
        <v>1640</v>
      </c>
      <c r="E1953" t="s">
        <v>62</v>
      </c>
      <c r="F1953" t="s">
        <v>18</v>
      </c>
      <c r="G1953" t="s">
        <v>183</v>
      </c>
      <c r="H1953" t="s">
        <v>54</v>
      </c>
      <c r="I1953" t="s">
        <v>21</v>
      </c>
      <c r="J1953" t="s">
        <v>1641</v>
      </c>
    </row>
    <row r="1954" spans="1:10" x14ac:dyDescent="0.25">
      <c r="A1954">
        <v>27830803</v>
      </c>
      <c r="B1954" t="s">
        <v>17</v>
      </c>
      <c r="C1954" s="4">
        <v>44771.596121006944</v>
      </c>
      <c r="D1954" t="s">
        <v>1621</v>
      </c>
      <c r="E1954" t="s">
        <v>371</v>
      </c>
      <c r="F1954" t="s">
        <v>49</v>
      </c>
      <c r="G1954" t="s">
        <v>146</v>
      </c>
      <c r="H1954" t="s">
        <v>40</v>
      </c>
      <c r="I1954" t="s">
        <v>21</v>
      </c>
      <c r="J1954" t="s">
        <v>392</v>
      </c>
    </row>
    <row r="1955" spans="1:10" x14ac:dyDescent="0.25">
      <c r="A1955">
        <v>27830814</v>
      </c>
      <c r="B1955" t="s">
        <v>17</v>
      </c>
      <c r="C1955" s="4">
        <v>44771.596390393519</v>
      </c>
      <c r="D1955" t="s">
        <v>1642</v>
      </c>
      <c r="E1955" t="s">
        <v>38</v>
      </c>
      <c r="F1955" t="s">
        <v>55</v>
      </c>
      <c r="G1955" t="s">
        <v>394</v>
      </c>
      <c r="H1955" t="s">
        <v>29</v>
      </c>
      <c r="I1955" t="s">
        <v>21</v>
      </c>
      <c r="J1955" t="s">
        <v>1643</v>
      </c>
    </row>
    <row r="1956" spans="1:10" x14ac:dyDescent="0.25">
      <c r="A1956">
        <v>27830829</v>
      </c>
      <c r="B1956" t="s">
        <v>17</v>
      </c>
      <c r="C1956" s="4">
        <v>44771.596618043979</v>
      </c>
      <c r="D1956" t="s">
        <v>1621</v>
      </c>
      <c r="E1956" t="s">
        <v>371</v>
      </c>
      <c r="F1956" t="s">
        <v>49</v>
      </c>
      <c r="G1956" t="s">
        <v>146</v>
      </c>
      <c r="H1956" t="s">
        <v>25</v>
      </c>
      <c r="I1956" t="s">
        <v>21</v>
      </c>
      <c r="J1956" t="s">
        <v>392</v>
      </c>
    </row>
    <row r="1957" spans="1:10" x14ac:dyDescent="0.25">
      <c r="A1957">
        <v>27830863</v>
      </c>
      <c r="B1957" t="s">
        <v>17</v>
      </c>
      <c r="C1957" s="4">
        <v>44771.597255462962</v>
      </c>
      <c r="D1957" t="s">
        <v>1626</v>
      </c>
      <c r="E1957" t="s">
        <v>430</v>
      </c>
      <c r="F1957" t="s">
        <v>18</v>
      </c>
      <c r="G1957" t="s">
        <v>186</v>
      </c>
      <c r="H1957" t="s">
        <v>40</v>
      </c>
      <c r="I1957" t="s">
        <v>21</v>
      </c>
      <c r="J1957" t="s">
        <v>1627</v>
      </c>
    </row>
    <row r="1958" spans="1:10" x14ac:dyDescent="0.25">
      <c r="A1958">
        <v>27830866</v>
      </c>
      <c r="B1958" t="s">
        <v>17</v>
      </c>
      <c r="C1958" s="4">
        <v>44771.597288738427</v>
      </c>
      <c r="D1958" t="s">
        <v>1644</v>
      </c>
      <c r="E1958" t="s">
        <v>129</v>
      </c>
      <c r="F1958" t="s">
        <v>49</v>
      </c>
      <c r="G1958" t="s">
        <v>74</v>
      </c>
      <c r="H1958" t="s">
        <v>29</v>
      </c>
      <c r="I1958" t="s">
        <v>21</v>
      </c>
      <c r="J1958" t="s">
        <v>635</v>
      </c>
    </row>
    <row r="1959" spans="1:10" x14ac:dyDescent="0.25">
      <c r="A1959">
        <v>27830880</v>
      </c>
      <c r="B1959" t="s">
        <v>17</v>
      </c>
      <c r="C1959" s="4">
        <v>44771.597400081017</v>
      </c>
      <c r="D1959" t="s">
        <v>1630</v>
      </c>
      <c r="E1959" t="s">
        <v>191</v>
      </c>
      <c r="F1959" t="s">
        <v>49</v>
      </c>
      <c r="G1959" t="s">
        <v>218</v>
      </c>
      <c r="H1959" t="s">
        <v>54</v>
      </c>
      <c r="I1959" t="s">
        <v>21</v>
      </c>
      <c r="J1959" t="s">
        <v>370</v>
      </c>
    </row>
    <row r="1960" spans="1:10" x14ac:dyDescent="0.25">
      <c r="A1960">
        <v>27830902</v>
      </c>
      <c r="B1960" t="s">
        <v>17</v>
      </c>
      <c r="C1960" s="4">
        <v>44771.597730289352</v>
      </c>
      <c r="D1960" t="s">
        <v>1626</v>
      </c>
      <c r="E1960" t="s">
        <v>430</v>
      </c>
      <c r="F1960" t="s">
        <v>18</v>
      </c>
      <c r="G1960" t="s">
        <v>186</v>
      </c>
      <c r="H1960" t="s">
        <v>25</v>
      </c>
      <c r="I1960" t="s">
        <v>21</v>
      </c>
      <c r="J1960" t="s">
        <v>1627</v>
      </c>
    </row>
    <row r="1961" spans="1:10" x14ac:dyDescent="0.25">
      <c r="A1961">
        <v>27830925</v>
      </c>
      <c r="B1961" t="s">
        <v>17</v>
      </c>
      <c r="C1961" s="4">
        <v>44771.598012546303</v>
      </c>
      <c r="D1961" t="s">
        <v>1645</v>
      </c>
      <c r="E1961" t="s">
        <v>62</v>
      </c>
      <c r="F1961" t="s">
        <v>18</v>
      </c>
      <c r="G1961" t="s">
        <v>260</v>
      </c>
      <c r="H1961" t="s">
        <v>29</v>
      </c>
      <c r="I1961" t="s">
        <v>21</v>
      </c>
      <c r="J1961" t="s">
        <v>1646</v>
      </c>
    </row>
    <row r="1962" spans="1:10" x14ac:dyDescent="0.25">
      <c r="A1962">
        <v>27830950</v>
      </c>
      <c r="B1962" t="s">
        <v>17</v>
      </c>
      <c r="C1962" s="4">
        <v>44771.59839994213</v>
      </c>
      <c r="D1962" t="s">
        <v>1647</v>
      </c>
      <c r="E1962" t="s">
        <v>129</v>
      </c>
      <c r="F1962" t="s">
        <v>49</v>
      </c>
      <c r="G1962" t="s">
        <v>130</v>
      </c>
      <c r="H1962" t="s">
        <v>42</v>
      </c>
      <c r="I1962" t="s">
        <v>21</v>
      </c>
      <c r="J1962" t="s">
        <v>1648</v>
      </c>
    </row>
    <row r="1963" spans="1:10" x14ac:dyDescent="0.25">
      <c r="A1963">
        <v>27830963</v>
      </c>
      <c r="B1963" t="s">
        <v>17</v>
      </c>
      <c r="C1963" s="4">
        <v>44771.598790046293</v>
      </c>
      <c r="D1963" t="s">
        <v>1635</v>
      </c>
      <c r="E1963" t="s">
        <v>38</v>
      </c>
      <c r="F1963" t="s">
        <v>23</v>
      </c>
      <c r="G1963" t="s">
        <v>110</v>
      </c>
      <c r="H1963" t="s">
        <v>54</v>
      </c>
      <c r="I1963" t="s">
        <v>21</v>
      </c>
      <c r="J1963" t="s">
        <v>458</v>
      </c>
    </row>
    <row r="1964" spans="1:10" x14ac:dyDescent="0.25">
      <c r="A1964">
        <v>27830968</v>
      </c>
      <c r="B1964" t="s">
        <v>17</v>
      </c>
      <c r="C1964" s="4">
        <v>44771.598796851853</v>
      </c>
      <c r="D1964" t="s">
        <v>1630</v>
      </c>
      <c r="E1964" t="s">
        <v>191</v>
      </c>
      <c r="F1964" t="s">
        <v>49</v>
      </c>
      <c r="G1964" t="s">
        <v>218</v>
      </c>
      <c r="H1964" t="s">
        <v>40</v>
      </c>
      <c r="I1964" t="s">
        <v>21</v>
      </c>
      <c r="J1964" t="s">
        <v>370</v>
      </c>
    </row>
    <row r="1965" spans="1:10" x14ac:dyDescent="0.25">
      <c r="A1965">
        <v>27830982</v>
      </c>
      <c r="B1965" t="s">
        <v>17</v>
      </c>
      <c r="C1965" s="4">
        <v>44771.598964606477</v>
      </c>
      <c r="D1965" t="s">
        <v>1631</v>
      </c>
      <c r="E1965" t="s">
        <v>27</v>
      </c>
      <c r="F1965" t="s">
        <v>18</v>
      </c>
      <c r="G1965" t="s">
        <v>273</v>
      </c>
      <c r="H1965" t="s">
        <v>40</v>
      </c>
      <c r="I1965" t="s">
        <v>21</v>
      </c>
      <c r="J1965" t="s">
        <v>1632</v>
      </c>
    </row>
    <row r="1966" spans="1:10" x14ac:dyDescent="0.25">
      <c r="A1966">
        <v>27830986</v>
      </c>
      <c r="B1966" t="s">
        <v>17</v>
      </c>
      <c r="C1966" s="4">
        <v>44771.599032881953</v>
      </c>
      <c r="F1966" t="s">
        <v>31</v>
      </c>
      <c r="G1966" t="s">
        <v>112</v>
      </c>
      <c r="H1966" t="s">
        <v>20</v>
      </c>
      <c r="I1966" t="s">
        <v>21</v>
      </c>
    </row>
    <row r="1967" spans="1:10" x14ac:dyDescent="0.25">
      <c r="A1967">
        <v>27830997</v>
      </c>
      <c r="B1967" t="s">
        <v>17</v>
      </c>
      <c r="C1967" s="4">
        <v>44771.5992753588</v>
      </c>
      <c r="D1967" t="s">
        <v>1631</v>
      </c>
      <c r="E1967" t="s">
        <v>27</v>
      </c>
      <c r="F1967" t="s">
        <v>18</v>
      </c>
      <c r="G1967" t="s">
        <v>273</v>
      </c>
      <c r="H1967" t="s">
        <v>25</v>
      </c>
      <c r="I1967" t="s">
        <v>21</v>
      </c>
      <c r="J1967" t="s">
        <v>1632</v>
      </c>
    </row>
    <row r="1968" spans="1:10" x14ac:dyDescent="0.25">
      <c r="A1968">
        <v>27831005</v>
      </c>
      <c r="B1968" t="s">
        <v>17</v>
      </c>
      <c r="C1968" s="4">
        <v>44771.599292962957</v>
      </c>
      <c r="D1968" t="s">
        <v>1630</v>
      </c>
      <c r="E1968" t="s">
        <v>191</v>
      </c>
      <c r="F1968" t="s">
        <v>49</v>
      </c>
      <c r="G1968" t="s">
        <v>218</v>
      </c>
      <c r="H1968" t="s">
        <v>25</v>
      </c>
      <c r="I1968" t="s">
        <v>21</v>
      </c>
      <c r="J1968" t="s">
        <v>370</v>
      </c>
    </row>
    <row r="1969" spans="1:10" x14ac:dyDescent="0.25">
      <c r="A1969">
        <v>27831041</v>
      </c>
      <c r="B1969" t="s">
        <v>17</v>
      </c>
      <c r="C1969" s="4">
        <v>44771.600234479163</v>
      </c>
      <c r="F1969" t="s">
        <v>18</v>
      </c>
      <c r="G1969" t="s">
        <v>228</v>
      </c>
      <c r="H1969" t="s">
        <v>81</v>
      </c>
      <c r="I1969" t="s">
        <v>21</v>
      </c>
    </row>
    <row r="1970" spans="1:10" x14ac:dyDescent="0.25">
      <c r="A1970">
        <v>27831043</v>
      </c>
      <c r="B1970" t="s">
        <v>17</v>
      </c>
      <c r="C1970" s="4">
        <v>44771.600235324076</v>
      </c>
      <c r="F1970" t="s">
        <v>18</v>
      </c>
      <c r="G1970" t="s">
        <v>228</v>
      </c>
      <c r="H1970" t="s">
        <v>93</v>
      </c>
      <c r="I1970" t="s">
        <v>21</v>
      </c>
    </row>
    <row r="1971" spans="1:10" x14ac:dyDescent="0.25">
      <c r="A1971">
        <v>27831049</v>
      </c>
      <c r="B1971" t="s">
        <v>17</v>
      </c>
      <c r="C1971" s="4">
        <v>44771.600436400462</v>
      </c>
      <c r="D1971" t="s">
        <v>1647</v>
      </c>
      <c r="E1971" t="s">
        <v>129</v>
      </c>
      <c r="F1971" t="s">
        <v>49</v>
      </c>
      <c r="G1971" t="s">
        <v>130</v>
      </c>
      <c r="H1971" t="s">
        <v>54</v>
      </c>
      <c r="I1971" t="s">
        <v>21</v>
      </c>
      <c r="J1971" t="s">
        <v>1648</v>
      </c>
    </row>
    <row r="1972" spans="1:10" x14ac:dyDescent="0.25">
      <c r="A1972">
        <v>27831090</v>
      </c>
      <c r="B1972" t="s">
        <v>17</v>
      </c>
      <c r="C1972" s="4">
        <v>44771.601181805563</v>
      </c>
      <c r="D1972" t="s">
        <v>1649</v>
      </c>
      <c r="E1972" t="s">
        <v>38</v>
      </c>
      <c r="F1972" t="s">
        <v>23</v>
      </c>
      <c r="G1972" t="s">
        <v>149</v>
      </c>
      <c r="H1972" t="s">
        <v>29</v>
      </c>
      <c r="I1972" t="s">
        <v>21</v>
      </c>
      <c r="J1972" t="s">
        <v>331</v>
      </c>
    </row>
    <row r="1973" spans="1:10" x14ac:dyDescent="0.25">
      <c r="A1973">
        <v>27831104</v>
      </c>
      <c r="B1973" t="s">
        <v>17</v>
      </c>
      <c r="C1973" s="4">
        <v>44771.601299722221</v>
      </c>
      <c r="D1973" t="s">
        <v>1635</v>
      </c>
      <c r="E1973" t="s">
        <v>38</v>
      </c>
      <c r="F1973" t="s">
        <v>23</v>
      </c>
      <c r="G1973" t="s">
        <v>110</v>
      </c>
      <c r="H1973" t="s">
        <v>40</v>
      </c>
      <c r="I1973" t="s">
        <v>21</v>
      </c>
    </row>
    <row r="1974" spans="1:10" x14ac:dyDescent="0.25">
      <c r="A1974">
        <v>27831120</v>
      </c>
      <c r="B1974" t="s">
        <v>17</v>
      </c>
      <c r="C1974" s="4">
        <v>44771.602039826394</v>
      </c>
      <c r="D1974" t="s">
        <v>1635</v>
      </c>
      <c r="E1974" t="s">
        <v>38</v>
      </c>
      <c r="F1974" t="s">
        <v>23</v>
      </c>
      <c r="G1974" t="s">
        <v>110</v>
      </c>
      <c r="H1974" t="s">
        <v>25</v>
      </c>
      <c r="I1974" t="s">
        <v>21</v>
      </c>
    </row>
    <row r="1975" spans="1:10" x14ac:dyDescent="0.25">
      <c r="A1975">
        <v>27831143</v>
      </c>
      <c r="B1975" t="s">
        <v>17</v>
      </c>
      <c r="C1975" s="4">
        <v>44771.602366550927</v>
      </c>
      <c r="D1975" t="s">
        <v>1640</v>
      </c>
      <c r="E1975" t="s">
        <v>62</v>
      </c>
      <c r="F1975" t="s">
        <v>18</v>
      </c>
      <c r="G1975" t="s">
        <v>183</v>
      </c>
      <c r="H1975" t="s">
        <v>40</v>
      </c>
      <c r="I1975" t="s">
        <v>21</v>
      </c>
      <c r="J1975" t="s">
        <v>1641</v>
      </c>
    </row>
    <row r="1976" spans="1:10" x14ac:dyDescent="0.25">
      <c r="A1976">
        <v>27831156</v>
      </c>
      <c r="B1976" t="s">
        <v>17</v>
      </c>
      <c r="C1976" s="4">
        <v>44771.602591585652</v>
      </c>
      <c r="F1976" t="s">
        <v>45</v>
      </c>
      <c r="G1976" t="s">
        <v>235</v>
      </c>
      <c r="H1976" t="s">
        <v>20</v>
      </c>
      <c r="I1976" t="s">
        <v>21</v>
      </c>
    </row>
    <row r="1977" spans="1:10" x14ac:dyDescent="0.25">
      <c r="A1977">
        <v>27831168</v>
      </c>
      <c r="B1977" t="s">
        <v>17</v>
      </c>
      <c r="C1977" s="4">
        <v>44771.602649189823</v>
      </c>
      <c r="D1977" t="s">
        <v>1640</v>
      </c>
      <c r="E1977" t="s">
        <v>62</v>
      </c>
      <c r="F1977" t="s">
        <v>18</v>
      </c>
      <c r="G1977" t="s">
        <v>183</v>
      </c>
      <c r="H1977" t="s">
        <v>25</v>
      </c>
      <c r="I1977" t="s">
        <v>21</v>
      </c>
      <c r="J1977" t="s">
        <v>1641</v>
      </c>
    </row>
    <row r="1978" spans="1:10" x14ac:dyDescent="0.25">
      <c r="A1978">
        <v>27831186</v>
      </c>
      <c r="B1978" t="s">
        <v>17</v>
      </c>
      <c r="C1978" s="4">
        <v>44771.603197256947</v>
      </c>
      <c r="D1978" t="s">
        <v>1636</v>
      </c>
      <c r="E1978" t="s">
        <v>48</v>
      </c>
      <c r="F1978" t="s">
        <v>49</v>
      </c>
      <c r="G1978" t="s">
        <v>359</v>
      </c>
      <c r="H1978" t="s">
        <v>40</v>
      </c>
      <c r="I1978" t="s">
        <v>21</v>
      </c>
      <c r="J1978" t="s">
        <v>374</v>
      </c>
    </row>
    <row r="1979" spans="1:10" x14ac:dyDescent="0.25">
      <c r="A1979">
        <v>27831200</v>
      </c>
      <c r="B1979" t="s">
        <v>17</v>
      </c>
      <c r="C1979" s="4">
        <v>44771.603608425918</v>
      </c>
      <c r="D1979" t="s">
        <v>1650</v>
      </c>
      <c r="E1979" t="s">
        <v>38</v>
      </c>
      <c r="F1979" t="s">
        <v>23</v>
      </c>
      <c r="G1979" t="s">
        <v>337</v>
      </c>
      <c r="H1979" t="s">
        <v>42</v>
      </c>
      <c r="I1979" t="s">
        <v>21</v>
      </c>
      <c r="J1979" t="s">
        <v>438</v>
      </c>
    </row>
    <row r="1980" spans="1:10" x14ac:dyDescent="0.25">
      <c r="A1980">
        <v>27831205</v>
      </c>
      <c r="B1980" t="s">
        <v>17</v>
      </c>
      <c r="C1980" s="4">
        <v>44771.603701168977</v>
      </c>
      <c r="D1980" t="s">
        <v>1636</v>
      </c>
      <c r="E1980" t="s">
        <v>48</v>
      </c>
      <c r="F1980" t="s">
        <v>49</v>
      </c>
      <c r="G1980" t="s">
        <v>359</v>
      </c>
      <c r="H1980" t="s">
        <v>25</v>
      </c>
      <c r="I1980" t="s">
        <v>21</v>
      </c>
      <c r="J1980" t="s">
        <v>374</v>
      </c>
    </row>
    <row r="1981" spans="1:10" x14ac:dyDescent="0.25">
      <c r="A1981">
        <v>27831271</v>
      </c>
      <c r="B1981" t="s">
        <v>17</v>
      </c>
      <c r="C1981" s="4">
        <v>44771.604862245367</v>
      </c>
      <c r="D1981" t="s">
        <v>1651</v>
      </c>
      <c r="E1981" t="s">
        <v>27</v>
      </c>
      <c r="F1981" t="s">
        <v>18</v>
      </c>
      <c r="G1981" t="s">
        <v>396</v>
      </c>
      <c r="H1981" t="s">
        <v>29</v>
      </c>
      <c r="I1981" t="s">
        <v>21</v>
      </c>
      <c r="J1981" t="s">
        <v>1652</v>
      </c>
    </row>
    <row r="1982" spans="1:10" x14ac:dyDescent="0.25">
      <c r="A1982">
        <v>27831290</v>
      </c>
      <c r="B1982" t="s">
        <v>17</v>
      </c>
      <c r="C1982" s="4">
        <v>44771.605193715281</v>
      </c>
      <c r="D1982" t="s">
        <v>1647</v>
      </c>
      <c r="E1982" t="s">
        <v>129</v>
      </c>
      <c r="F1982" t="s">
        <v>49</v>
      </c>
      <c r="G1982" t="s">
        <v>130</v>
      </c>
      <c r="H1982" t="s">
        <v>40</v>
      </c>
      <c r="I1982" t="s">
        <v>21</v>
      </c>
      <c r="J1982" t="s">
        <v>1648</v>
      </c>
    </row>
    <row r="1983" spans="1:10" x14ac:dyDescent="0.25">
      <c r="A1983">
        <v>27831313</v>
      </c>
      <c r="B1983" t="s">
        <v>17</v>
      </c>
      <c r="C1983" s="4">
        <v>44771.605697858788</v>
      </c>
      <c r="D1983" t="s">
        <v>1647</v>
      </c>
      <c r="E1983" t="s">
        <v>129</v>
      </c>
      <c r="F1983" t="s">
        <v>49</v>
      </c>
      <c r="G1983" t="s">
        <v>130</v>
      </c>
      <c r="H1983" t="s">
        <v>25</v>
      </c>
      <c r="I1983" t="s">
        <v>21</v>
      </c>
      <c r="J1983" t="s">
        <v>1648</v>
      </c>
    </row>
    <row r="1984" spans="1:10" x14ac:dyDescent="0.25">
      <c r="A1984">
        <v>27831337</v>
      </c>
      <c r="B1984" t="s">
        <v>17</v>
      </c>
      <c r="C1984" s="4">
        <v>44771.606234027779</v>
      </c>
      <c r="D1984" t="s">
        <v>1653</v>
      </c>
      <c r="E1984" t="s">
        <v>27</v>
      </c>
      <c r="F1984" t="s">
        <v>45</v>
      </c>
      <c r="G1984" t="s">
        <v>235</v>
      </c>
      <c r="H1984" t="s">
        <v>40</v>
      </c>
      <c r="I1984" t="s">
        <v>21</v>
      </c>
      <c r="J1984" t="s">
        <v>1654</v>
      </c>
    </row>
    <row r="1985" spans="1:10" x14ac:dyDescent="0.25">
      <c r="A1985">
        <v>27831354</v>
      </c>
      <c r="B1985" t="s">
        <v>17</v>
      </c>
      <c r="C1985" s="4">
        <v>44771.606617581019</v>
      </c>
      <c r="D1985" t="s">
        <v>1653</v>
      </c>
      <c r="E1985" t="s">
        <v>27</v>
      </c>
      <c r="F1985" t="s">
        <v>45</v>
      </c>
      <c r="G1985" t="s">
        <v>235</v>
      </c>
      <c r="H1985" t="s">
        <v>25</v>
      </c>
      <c r="I1985" t="s">
        <v>21</v>
      </c>
      <c r="J1985" t="s">
        <v>1654</v>
      </c>
    </row>
    <row r="1986" spans="1:10" x14ac:dyDescent="0.25">
      <c r="A1986">
        <v>27831369</v>
      </c>
      <c r="B1986" t="s">
        <v>17</v>
      </c>
      <c r="C1986" s="4">
        <v>44771.606752777778</v>
      </c>
      <c r="D1986" t="s">
        <v>1650</v>
      </c>
      <c r="E1986" t="s">
        <v>38</v>
      </c>
      <c r="F1986" t="s">
        <v>23</v>
      </c>
      <c r="G1986" t="s">
        <v>337</v>
      </c>
      <c r="H1986" t="s">
        <v>54</v>
      </c>
      <c r="I1986" t="s">
        <v>21</v>
      </c>
      <c r="J1986" t="s">
        <v>438</v>
      </c>
    </row>
    <row r="1987" spans="1:10" x14ac:dyDescent="0.25">
      <c r="A1987">
        <v>27831420</v>
      </c>
      <c r="B1987" t="s">
        <v>17</v>
      </c>
      <c r="C1987" s="4">
        <v>44771.607855092603</v>
      </c>
      <c r="D1987" t="s">
        <v>1655</v>
      </c>
      <c r="E1987" t="s">
        <v>72</v>
      </c>
      <c r="F1987" t="s">
        <v>49</v>
      </c>
      <c r="G1987" t="s">
        <v>132</v>
      </c>
      <c r="H1987" t="s">
        <v>29</v>
      </c>
      <c r="I1987" t="s">
        <v>21</v>
      </c>
      <c r="J1987" t="s">
        <v>1656</v>
      </c>
    </row>
    <row r="1988" spans="1:10" x14ac:dyDescent="0.25">
      <c r="A1988">
        <v>27831428</v>
      </c>
      <c r="B1988" t="s">
        <v>17</v>
      </c>
      <c r="C1988" s="4">
        <v>44771.608048819442</v>
      </c>
      <c r="D1988" t="s">
        <v>1657</v>
      </c>
      <c r="E1988" t="s">
        <v>27</v>
      </c>
      <c r="F1988" t="s">
        <v>18</v>
      </c>
      <c r="G1988" t="s">
        <v>265</v>
      </c>
      <c r="H1988" t="s">
        <v>29</v>
      </c>
      <c r="I1988" t="s">
        <v>21</v>
      </c>
      <c r="J1988" t="s">
        <v>1658</v>
      </c>
    </row>
    <row r="1989" spans="1:10" x14ac:dyDescent="0.25">
      <c r="A1989">
        <v>27831468</v>
      </c>
      <c r="B1989" t="s">
        <v>17</v>
      </c>
      <c r="C1989" s="4">
        <v>44771.608874814818</v>
      </c>
      <c r="D1989" t="s">
        <v>1659</v>
      </c>
      <c r="E1989" t="s">
        <v>371</v>
      </c>
      <c r="F1989" t="s">
        <v>49</v>
      </c>
      <c r="G1989" t="s">
        <v>84</v>
      </c>
      <c r="H1989" t="s">
        <v>42</v>
      </c>
      <c r="I1989" t="s">
        <v>21</v>
      </c>
      <c r="J1989" t="s">
        <v>1660</v>
      </c>
    </row>
    <row r="1990" spans="1:10" x14ac:dyDescent="0.25">
      <c r="A1990">
        <v>27831476</v>
      </c>
      <c r="B1990" t="s">
        <v>17</v>
      </c>
      <c r="C1990" s="4">
        <v>44771.608929502312</v>
      </c>
      <c r="D1990" t="s">
        <v>1661</v>
      </c>
      <c r="E1990" t="s">
        <v>129</v>
      </c>
      <c r="F1990" t="s">
        <v>18</v>
      </c>
      <c r="G1990" t="s">
        <v>28</v>
      </c>
      <c r="H1990" t="s">
        <v>42</v>
      </c>
      <c r="I1990" t="s">
        <v>21</v>
      </c>
      <c r="J1990" t="s">
        <v>1662</v>
      </c>
    </row>
    <row r="1991" spans="1:10" x14ac:dyDescent="0.25">
      <c r="A1991">
        <v>27831480</v>
      </c>
      <c r="B1991" t="s">
        <v>17</v>
      </c>
      <c r="C1991" s="4">
        <v>44771.608968703702</v>
      </c>
      <c r="D1991" t="s">
        <v>1661</v>
      </c>
      <c r="E1991" t="s">
        <v>129</v>
      </c>
      <c r="F1991" t="s">
        <v>18</v>
      </c>
      <c r="G1991" t="s">
        <v>28</v>
      </c>
      <c r="H1991" t="s">
        <v>54</v>
      </c>
      <c r="I1991" t="s">
        <v>21</v>
      </c>
      <c r="J1991" t="s">
        <v>1662</v>
      </c>
    </row>
    <row r="1992" spans="1:10" x14ac:dyDescent="0.25">
      <c r="A1992">
        <v>27831495</v>
      </c>
      <c r="B1992" t="s">
        <v>17</v>
      </c>
      <c r="C1992" s="4">
        <v>44771.609204120366</v>
      </c>
      <c r="D1992" t="s">
        <v>1650</v>
      </c>
      <c r="E1992" t="s">
        <v>38</v>
      </c>
      <c r="F1992" t="s">
        <v>23</v>
      </c>
      <c r="G1992" t="s">
        <v>337</v>
      </c>
      <c r="H1992" t="s">
        <v>40</v>
      </c>
      <c r="I1992" t="s">
        <v>21</v>
      </c>
      <c r="J1992" t="s">
        <v>438</v>
      </c>
    </row>
    <row r="1993" spans="1:10" x14ac:dyDescent="0.25">
      <c r="A1993">
        <v>27831505</v>
      </c>
      <c r="B1993" t="s">
        <v>17</v>
      </c>
      <c r="C1993" s="4">
        <v>44771.609527245368</v>
      </c>
      <c r="F1993" t="s">
        <v>18</v>
      </c>
      <c r="G1993" t="s">
        <v>271</v>
      </c>
      <c r="H1993" t="s">
        <v>20</v>
      </c>
      <c r="I1993" t="s">
        <v>21</v>
      </c>
    </row>
    <row r="1994" spans="1:10" x14ac:dyDescent="0.25">
      <c r="A1994">
        <v>27831510</v>
      </c>
      <c r="B1994" t="s">
        <v>17</v>
      </c>
      <c r="C1994" s="4">
        <v>44771.609593611109</v>
      </c>
      <c r="D1994" t="s">
        <v>1650</v>
      </c>
      <c r="E1994" t="s">
        <v>38</v>
      </c>
      <c r="F1994" t="s">
        <v>23</v>
      </c>
      <c r="G1994" t="s">
        <v>337</v>
      </c>
      <c r="H1994" t="s">
        <v>25</v>
      </c>
      <c r="I1994" t="s">
        <v>21</v>
      </c>
      <c r="J1994" t="s">
        <v>438</v>
      </c>
    </row>
    <row r="1995" spans="1:10" x14ac:dyDescent="0.25">
      <c r="A1995">
        <v>27831535</v>
      </c>
      <c r="B1995" t="s">
        <v>17</v>
      </c>
      <c r="C1995" s="4">
        <v>44771.610159236108</v>
      </c>
      <c r="D1995" t="s">
        <v>1659</v>
      </c>
      <c r="E1995" t="s">
        <v>371</v>
      </c>
      <c r="F1995" t="s">
        <v>49</v>
      </c>
      <c r="G1995" t="s">
        <v>84</v>
      </c>
      <c r="H1995" t="s">
        <v>54</v>
      </c>
      <c r="I1995" t="s">
        <v>21</v>
      </c>
      <c r="J1995" t="s">
        <v>1660</v>
      </c>
    </row>
    <row r="1996" spans="1:10" x14ac:dyDescent="0.25">
      <c r="A1996">
        <v>27831540</v>
      </c>
      <c r="B1996" t="s">
        <v>17</v>
      </c>
      <c r="C1996" s="4">
        <v>44771.61020570602</v>
      </c>
      <c r="D1996" t="s">
        <v>1663</v>
      </c>
      <c r="E1996" t="s">
        <v>38</v>
      </c>
      <c r="F1996" t="s">
        <v>31</v>
      </c>
      <c r="G1996" t="s">
        <v>112</v>
      </c>
      <c r="H1996" t="s">
        <v>40</v>
      </c>
      <c r="I1996" t="s">
        <v>21</v>
      </c>
      <c r="J1996" t="s">
        <v>1664</v>
      </c>
    </row>
    <row r="1997" spans="1:10" x14ac:dyDescent="0.25">
      <c r="A1997">
        <v>27831550</v>
      </c>
      <c r="B1997" t="s">
        <v>17</v>
      </c>
      <c r="C1997" s="4">
        <v>44771.6103215162</v>
      </c>
      <c r="D1997" t="s">
        <v>1665</v>
      </c>
      <c r="E1997" t="s">
        <v>27</v>
      </c>
      <c r="F1997" t="s">
        <v>45</v>
      </c>
      <c r="G1997" t="s">
        <v>336</v>
      </c>
      <c r="H1997" t="s">
        <v>42</v>
      </c>
      <c r="I1997" t="s">
        <v>21</v>
      </c>
      <c r="J1997" t="s">
        <v>1666</v>
      </c>
    </row>
    <row r="1998" spans="1:10" x14ac:dyDescent="0.25">
      <c r="A1998">
        <v>27831558</v>
      </c>
      <c r="B1998" t="s">
        <v>17</v>
      </c>
      <c r="C1998" s="4">
        <v>44771.610741261567</v>
      </c>
      <c r="D1998" t="s">
        <v>1663</v>
      </c>
      <c r="E1998" t="s">
        <v>38</v>
      </c>
      <c r="F1998" t="s">
        <v>31</v>
      </c>
      <c r="G1998" t="s">
        <v>112</v>
      </c>
      <c r="H1998" t="s">
        <v>25</v>
      </c>
      <c r="I1998" t="s">
        <v>21</v>
      </c>
      <c r="J1998" t="s">
        <v>1664</v>
      </c>
    </row>
    <row r="1999" spans="1:10" x14ac:dyDescent="0.25">
      <c r="A1999">
        <v>27831576</v>
      </c>
      <c r="B1999" t="s">
        <v>17</v>
      </c>
      <c r="C1999" s="4">
        <v>44771.610969988433</v>
      </c>
      <c r="D1999" t="s">
        <v>1665</v>
      </c>
      <c r="E1999" t="s">
        <v>27</v>
      </c>
      <c r="F1999" t="s">
        <v>45</v>
      </c>
      <c r="G1999" t="s">
        <v>336</v>
      </c>
      <c r="H1999" t="s">
        <v>54</v>
      </c>
      <c r="I1999" t="s">
        <v>21</v>
      </c>
      <c r="J1999" t="s">
        <v>1666</v>
      </c>
    </row>
    <row r="2000" spans="1:10" x14ac:dyDescent="0.25">
      <c r="A2000">
        <v>27831579</v>
      </c>
      <c r="B2000" t="s">
        <v>17</v>
      </c>
      <c r="C2000" s="4">
        <v>44771.61099947917</v>
      </c>
      <c r="D2000" t="s">
        <v>1661</v>
      </c>
      <c r="E2000" t="s">
        <v>129</v>
      </c>
      <c r="F2000" t="s">
        <v>18</v>
      </c>
      <c r="G2000" t="s">
        <v>28</v>
      </c>
      <c r="H2000" t="s">
        <v>40</v>
      </c>
      <c r="I2000" t="s">
        <v>21</v>
      </c>
      <c r="J2000" t="s">
        <v>1662</v>
      </c>
    </row>
    <row r="2001" spans="1:10" x14ac:dyDescent="0.25">
      <c r="A2001">
        <v>27831603</v>
      </c>
      <c r="B2001" t="s">
        <v>17</v>
      </c>
      <c r="C2001" s="4">
        <v>44771.611558518518</v>
      </c>
      <c r="D2001" t="s">
        <v>1661</v>
      </c>
      <c r="E2001" t="s">
        <v>129</v>
      </c>
      <c r="F2001" t="s">
        <v>18</v>
      </c>
      <c r="G2001" t="s">
        <v>28</v>
      </c>
      <c r="H2001" t="s">
        <v>25</v>
      </c>
      <c r="I2001" t="s">
        <v>21</v>
      </c>
      <c r="J2001" t="s">
        <v>1662</v>
      </c>
    </row>
    <row r="2002" spans="1:10" x14ac:dyDescent="0.25">
      <c r="A2002">
        <v>27831674</v>
      </c>
      <c r="B2002" t="s">
        <v>17</v>
      </c>
      <c r="C2002" s="4">
        <v>44771.613793715267</v>
      </c>
      <c r="D2002" t="s">
        <v>1667</v>
      </c>
      <c r="E2002" t="s">
        <v>129</v>
      </c>
      <c r="F2002" t="s">
        <v>49</v>
      </c>
      <c r="G2002" t="s">
        <v>74</v>
      </c>
      <c r="H2002" t="s">
        <v>42</v>
      </c>
      <c r="I2002" t="s">
        <v>21</v>
      </c>
      <c r="J2002" t="s">
        <v>1668</v>
      </c>
    </row>
    <row r="2003" spans="1:10" x14ac:dyDescent="0.25">
      <c r="A2003">
        <v>27831688</v>
      </c>
      <c r="B2003" t="s">
        <v>17</v>
      </c>
      <c r="C2003" s="4">
        <v>44771.613967083344</v>
      </c>
      <c r="D2003" t="s">
        <v>1669</v>
      </c>
      <c r="E2003" t="s">
        <v>371</v>
      </c>
      <c r="F2003" t="s">
        <v>57</v>
      </c>
      <c r="G2003" t="s">
        <v>416</v>
      </c>
      <c r="H2003" t="s">
        <v>42</v>
      </c>
      <c r="I2003" t="s">
        <v>21</v>
      </c>
      <c r="J2003" t="s">
        <v>1670</v>
      </c>
    </row>
    <row r="2004" spans="1:10" x14ac:dyDescent="0.25">
      <c r="A2004">
        <v>27831720</v>
      </c>
      <c r="B2004" t="s">
        <v>17</v>
      </c>
      <c r="C2004" s="4">
        <v>44771.614741805563</v>
      </c>
      <c r="D2004" t="s">
        <v>1667</v>
      </c>
      <c r="E2004" t="s">
        <v>129</v>
      </c>
      <c r="F2004" t="s">
        <v>49</v>
      </c>
      <c r="G2004" t="s">
        <v>74</v>
      </c>
      <c r="H2004" t="s">
        <v>239</v>
      </c>
      <c r="I2004" t="s">
        <v>21</v>
      </c>
      <c r="J2004" t="s">
        <v>1668</v>
      </c>
    </row>
    <row r="2005" spans="1:10" x14ac:dyDescent="0.25">
      <c r="A2005">
        <v>27831721</v>
      </c>
      <c r="B2005" t="s">
        <v>17</v>
      </c>
      <c r="C2005" s="4">
        <v>44771.614749537039</v>
      </c>
      <c r="D2005" t="s">
        <v>1667</v>
      </c>
      <c r="E2005" t="s">
        <v>129</v>
      </c>
      <c r="F2005" t="s">
        <v>49</v>
      </c>
      <c r="G2005" t="s">
        <v>74</v>
      </c>
      <c r="H2005" t="s">
        <v>240</v>
      </c>
      <c r="I2005" t="s">
        <v>21</v>
      </c>
      <c r="J2005" t="s">
        <v>1668</v>
      </c>
    </row>
    <row r="2006" spans="1:10" x14ac:dyDescent="0.25">
      <c r="A2006">
        <v>27831730</v>
      </c>
      <c r="B2006" t="s">
        <v>17</v>
      </c>
      <c r="C2006" s="4">
        <v>44771.615011574067</v>
      </c>
      <c r="D2006" t="s">
        <v>1665</v>
      </c>
      <c r="E2006" t="s">
        <v>27</v>
      </c>
      <c r="F2006" t="s">
        <v>45</v>
      </c>
      <c r="G2006" t="s">
        <v>336</v>
      </c>
      <c r="H2006" t="s">
        <v>40</v>
      </c>
      <c r="I2006" t="s">
        <v>21</v>
      </c>
      <c r="J2006" t="s">
        <v>1666</v>
      </c>
    </row>
    <row r="2007" spans="1:10" x14ac:dyDescent="0.25">
      <c r="A2007">
        <v>27831746</v>
      </c>
      <c r="B2007" t="s">
        <v>17</v>
      </c>
      <c r="C2007" s="4">
        <v>44771.615384641213</v>
      </c>
      <c r="D2007" t="s">
        <v>1665</v>
      </c>
      <c r="E2007" t="s">
        <v>27</v>
      </c>
      <c r="F2007" t="s">
        <v>45</v>
      </c>
      <c r="G2007" t="s">
        <v>336</v>
      </c>
      <c r="H2007" t="s">
        <v>25</v>
      </c>
      <c r="I2007" t="s">
        <v>21</v>
      </c>
      <c r="J2007" t="s">
        <v>1666</v>
      </c>
    </row>
    <row r="2008" spans="1:10" x14ac:dyDescent="0.25">
      <c r="A2008">
        <v>27831767</v>
      </c>
      <c r="B2008" t="s">
        <v>17</v>
      </c>
      <c r="C2008" s="4">
        <v>44771.615530034724</v>
      </c>
      <c r="D2008" t="s">
        <v>1671</v>
      </c>
      <c r="E2008" t="s">
        <v>27</v>
      </c>
      <c r="F2008" t="s">
        <v>18</v>
      </c>
      <c r="G2008" t="s">
        <v>226</v>
      </c>
      <c r="H2008" t="s">
        <v>42</v>
      </c>
      <c r="I2008" t="s">
        <v>21</v>
      </c>
      <c r="J2008" t="s">
        <v>1672</v>
      </c>
    </row>
    <row r="2009" spans="1:10" x14ac:dyDescent="0.25">
      <c r="A2009">
        <v>27831770</v>
      </c>
      <c r="B2009" t="s">
        <v>17</v>
      </c>
      <c r="C2009" s="4">
        <v>44771.615539305552</v>
      </c>
      <c r="D2009" t="s">
        <v>1671</v>
      </c>
      <c r="E2009" t="s">
        <v>27</v>
      </c>
      <c r="F2009" t="s">
        <v>18</v>
      </c>
      <c r="G2009" t="s">
        <v>226</v>
      </c>
      <c r="H2009" t="s">
        <v>54</v>
      </c>
      <c r="I2009" t="s">
        <v>21</v>
      </c>
      <c r="J2009" t="s">
        <v>1672</v>
      </c>
    </row>
    <row r="2010" spans="1:10" x14ac:dyDescent="0.25">
      <c r="A2010">
        <v>27831787</v>
      </c>
      <c r="B2010" t="s">
        <v>17</v>
      </c>
      <c r="C2010" s="4">
        <v>44771.615897916658</v>
      </c>
      <c r="F2010" t="s">
        <v>18</v>
      </c>
      <c r="G2010" t="s">
        <v>413</v>
      </c>
      <c r="H2010" t="s">
        <v>67</v>
      </c>
      <c r="I2010" t="s">
        <v>21</v>
      </c>
    </row>
    <row r="2011" spans="1:10" x14ac:dyDescent="0.25">
      <c r="A2011">
        <v>27831820</v>
      </c>
      <c r="B2011" t="s">
        <v>17</v>
      </c>
      <c r="C2011" s="4">
        <v>44771.616803287026</v>
      </c>
      <c r="D2011" t="s">
        <v>1673</v>
      </c>
      <c r="E2011" t="s">
        <v>27</v>
      </c>
      <c r="F2011" t="s">
        <v>18</v>
      </c>
      <c r="G2011" t="s">
        <v>285</v>
      </c>
      <c r="H2011" t="s">
        <v>42</v>
      </c>
      <c r="I2011" t="s">
        <v>21</v>
      </c>
      <c r="J2011" t="s">
        <v>1674</v>
      </c>
    </row>
    <row r="2012" spans="1:10" x14ac:dyDescent="0.25">
      <c r="A2012">
        <v>27831823</v>
      </c>
      <c r="B2012" t="s">
        <v>17</v>
      </c>
      <c r="C2012" s="4">
        <v>44771.616839131937</v>
      </c>
      <c r="D2012" t="s">
        <v>1673</v>
      </c>
      <c r="E2012" t="s">
        <v>27</v>
      </c>
      <c r="F2012" t="s">
        <v>18</v>
      </c>
      <c r="G2012" t="s">
        <v>285</v>
      </c>
      <c r="H2012" t="s">
        <v>54</v>
      </c>
      <c r="I2012" t="s">
        <v>21</v>
      </c>
      <c r="J2012" t="s">
        <v>1674</v>
      </c>
    </row>
    <row r="2013" spans="1:10" x14ac:dyDescent="0.25">
      <c r="A2013">
        <v>27831829</v>
      </c>
      <c r="B2013" t="s">
        <v>17</v>
      </c>
      <c r="C2013" s="4">
        <v>44771.616899849527</v>
      </c>
      <c r="D2013" t="s">
        <v>1659</v>
      </c>
      <c r="E2013" t="s">
        <v>371</v>
      </c>
      <c r="F2013" t="s">
        <v>49</v>
      </c>
      <c r="G2013" t="s">
        <v>84</v>
      </c>
      <c r="H2013" t="s">
        <v>40</v>
      </c>
      <c r="I2013" t="s">
        <v>21</v>
      </c>
      <c r="J2013" t="s">
        <v>1660</v>
      </c>
    </row>
    <row r="2014" spans="1:10" x14ac:dyDescent="0.25">
      <c r="A2014">
        <v>27831830</v>
      </c>
      <c r="B2014" t="s">
        <v>17</v>
      </c>
      <c r="C2014" s="4">
        <v>44771.616902118047</v>
      </c>
      <c r="D2014" t="s">
        <v>1673</v>
      </c>
      <c r="E2014" t="s">
        <v>27</v>
      </c>
      <c r="F2014" t="s">
        <v>18</v>
      </c>
      <c r="G2014" t="s">
        <v>285</v>
      </c>
      <c r="H2014" t="s">
        <v>118</v>
      </c>
      <c r="I2014" t="s">
        <v>36</v>
      </c>
      <c r="J2014" t="s">
        <v>1674</v>
      </c>
    </row>
    <row r="2015" spans="1:10" x14ac:dyDescent="0.25">
      <c r="A2015">
        <v>27831850</v>
      </c>
      <c r="B2015" t="s">
        <v>17</v>
      </c>
      <c r="C2015" s="4">
        <v>44771.61743046296</v>
      </c>
      <c r="D2015" t="s">
        <v>1659</v>
      </c>
      <c r="E2015" t="s">
        <v>371</v>
      </c>
      <c r="F2015" t="s">
        <v>49</v>
      </c>
      <c r="G2015" t="s">
        <v>84</v>
      </c>
      <c r="H2015" t="s">
        <v>25</v>
      </c>
      <c r="I2015" t="s">
        <v>21</v>
      </c>
      <c r="J2015" t="s">
        <v>1660</v>
      </c>
    </row>
    <row r="2016" spans="1:10" x14ac:dyDescent="0.25">
      <c r="A2016">
        <v>27831861</v>
      </c>
      <c r="B2016" t="s">
        <v>17</v>
      </c>
      <c r="C2016" s="4">
        <v>44771.617464606483</v>
      </c>
      <c r="D2016" t="s">
        <v>1673</v>
      </c>
      <c r="E2016" t="s">
        <v>27</v>
      </c>
      <c r="F2016" t="s">
        <v>18</v>
      </c>
      <c r="G2016" t="s">
        <v>285</v>
      </c>
      <c r="H2016" t="s">
        <v>35</v>
      </c>
      <c r="I2016" t="s">
        <v>36</v>
      </c>
      <c r="J2016" t="s">
        <v>1674</v>
      </c>
    </row>
    <row r="2017" spans="1:10" x14ac:dyDescent="0.25">
      <c r="A2017">
        <v>27831919</v>
      </c>
      <c r="B2017" t="s">
        <v>17</v>
      </c>
      <c r="C2017" s="4">
        <v>44771.618637430547</v>
      </c>
      <c r="D2017" t="s">
        <v>1675</v>
      </c>
      <c r="E2017" t="s">
        <v>38</v>
      </c>
      <c r="F2017" t="s">
        <v>52</v>
      </c>
      <c r="G2017" t="s">
        <v>410</v>
      </c>
      <c r="H2017" t="s">
        <v>29</v>
      </c>
      <c r="I2017" t="s">
        <v>21</v>
      </c>
    </row>
    <row r="2018" spans="1:10" x14ac:dyDescent="0.25">
      <c r="A2018">
        <v>27831936</v>
      </c>
      <c r="B2018" t="s">
        <v>17</v>
      </c>
      <c r="C2018" s="4">
        <v>44771.618886307871</v>
      </c>
      <c r="D2018" t="s">
        <v>1676</v>
      </c>
      <c r="E2018" t="s">
        <v>72</v>
      </c>
      <c r="F2018" t="s">
        <v>49</v>
      </c>
      <c r="G2018" t="s">
        <v>359</v>
      </c>
      <c r="H2018" t="s">
        <v>42</v>
      </c>
      <c r="I2018" t="s">
        <v>21</v>
      </c>
      <c r="J2018" t="s">
        <v>1677</v>
      </c>
    </row>
    <row r="2019" spans="1:10" x14ac:dyDescent="0.25">
      <c r="A2019">
        <v>27831943</v>
      </c>
      <c r="B2019" t="s">
        <v>17</v>
      </c>
      <c r="C2019" s="4">
        <v>44771.618997060177</v>
      </c>
      <c r="E2019" t="s">
        <v>22</v>
      </c>
      <c r="F2019" t="s">
        <v>18</v>
      </c>
      <c r="G2019" t="s">
        <v>271</v>
      </c>
      <c r="H2019" t="s">
        <v>40</v>
      </c>
      <c r="I2019" t="s">
        <v>21</v>
      </c>
    </row>
    <row r="2020" spans="1:10" x14ac:dyDescent="0.25">
      <c r="A2020">
        <v>27831962</v>
      </c>
      <c r="B2020" t="s">
        <v>17</v>
      </c>
      <c r="C2020" s="4">
        <v>44771.619617581018</v>
      </c>
      <c r="D2020" t="s">
        <v>1678</v>
      </c>
      <c r="E2020" t="s">
        <v>129</v>
      </c>
      <c r="F2020" t="s">
        <v>49</v>
      </c>
      <c r="G2020" t="s">
        <v>201</v>
      </c>
      <c r="H2020" t="s">
        <v>29</v>
      </c>
      <c r="I2020" t="s">
        <v>21</v>
      </c>
      <c r="J2020" t="s">
        <v>1509</v>
      </c>
    </row>
    <row r="2021" spans="1:10" x14ac:dyDescent="0.25">
      <c r="A2021">
        <v>27831964</v>
      </c>
      <c r="B2021" t="s">
        <v>17</v>
      </c>
      <c r="C2021" s="4">
        <v>44771.619619930563</v>
      </c>
      <c r="E2021" t="s">
        <v>22</v>
      </c>
      <c r="F2021" t="s">
        <v>18</v>
      </c>
      <c r="G2021" t="s">
        <v>271</v>
      </c>
      <c r="H2021" t="s">
        <v>25</v>
      </c>
      <c r="I2021" t="s">
        <v>21</v>
      </c>
    </row>
    <row r="2022" spans="1:10" x14ac:dyDescent="0.25">
      <c r="A2022">
        <v>27831984</v>
      </c>
      <c r="B2022" t="s">
        <v>17</v>
      </c>
      <c r="C2022" s="4">
        <v>44771.620063136572</v>
      </c>
      <c r="D2022" t="s">
        <v>1667</v>
      </c>
      <c r="E2022" t="s">
        <v>129</v>
      </c>
      <c r="F2022" t="s">
        <v>49</v>
      </c>
      <c r="G2022" t="s">
        <v>74</v>
      </c>
      <c r="H2022" t="s">
        <v>40</v>
      </c>
      <c r="I2022" t="s">
        <v>21</v>
      </c>
      <c r="J2022" t="s">
        <v>1668</v>
      </c>
    </row>
    <row r="2023" spans="1:10" x14ac:dyDescent="0.25">
      <c r="A2023">
        <v>27831996</v>
      </c>
      <c r="B2023" t="s">
        <v>17</v>
      </c>
      <c r="C2023" s="4">
        <v>44771.620438599537</v>
      </c>
      <c r="F2023" t="s">
        <v>31</v>
      </c>
      <c r="G2023" t="s">
        <v>32</v>
      </c>
      <c r="H2023" t="s">
        <v>20</v>
      </c>
      <c r="I2023" t="s">
        <v>21</v>
      </c>
    </row>
    <row r="2024" spans="1:10" x14ac:dyDescent="0.25">
      <c r="A2024">
        <v>27832002</v>
      </c>
      <c r="B2024" t="s">
        <v>17</v>
      </c>
      <c r="C2024" s="4">
        <v>44771.620471574082</v>
      </c>
      <c r="D2024" t="s">
        <v>1667</v>
      </c>
      <c r="E2024" t="s">
        <v>129</v>
      </c>
      <c r="F2024" t="s">
        <v>49</v>
      </c>
      <c r="G2024" t="s">
        <v>74</v>
      </c>
      <c r="H2024" t="s">
        <v>25</v>
      </c>
      <c r="I2024" t="s">
        <v>21</v>
      </c>
      <c r="J2024" t="s">
        <v>1668</v>
      </c>
    </row>
    <row r="2025" spans="1:10" x14ac:dyDescent="0.25">
      <c r="A2025">
        <v>27832011</v>
      </c>
      <c r="B2025" t="s">
        <v>17</v>
      </c>
      <c r="C2025" s="4">
        <v>44771.620490486108</v>
      </c>
      <c r="D2025" t="s">
        <v>1676</v>
      </c>
      <c r="E2025" t="s">
        <v>72</v>
      </c>
      <c r="F2025" t="s">
        <v>49</v>
      </c>
      <c r="G2025" t="s">
        <v>359</v>
      </c>
      <c r="H2025" t="s">
        <v>239</v>
      </c>
      <c r="I2025" t="s">
        <v>21</v>
      </c>
      <c r="J2025" t="s">
        <v>1677</v>
      </c>
    </row>
    <row r="2026" spans="1:10" x14ac:dyDescent="0.25">
      <c r="A2026">
        <v>27832012</v>
      </c>
      <c r="B2026" t="s">
        <v>17</v>
      </c>
      <c r="C2026" s="4">
        <v>44771.620497199066</v>
      </c>
      <c r="D2026" t="s">
        <v>1676</v>
      </c>
      <c r="E2026" t="s">
        <v>72</v>
      </c>
      <c r="F2026" t="s">
        <v>49</v>
      </c>
      <c r="G2026" t="s">
        <v>359</v>
      </c>
      <c r="H2026" t="s">
        <v>240</v>
      </c>
      <c r="I2026" t="s">
        <v>21</v>
      </c>
      <c r="J2026" t="s">
        <v>1677</v>
      </c>
    </row>
    <row r="2027" spans="1:10" x14ac:dyDescent="0.25">
      <c r="A2027">
        <v>27832029</v>
      </c>
      <c r="B2027" t="s">
        <v>17</v>
      </c>
      <c r="C2027" s="4">
        <v>44771.620821377313</v>
      </c>
      <c r="F2027" t="s">
        <v>18</v>
      </c>
      <c r="G2027" t="s">
        <v>413</v>
      </c>
      <c r="H2027" t="s">
        <v>68</v>
      </c>
      <c r="I2027" t="s">
        <v>21</v>
      </c>
    </row>
    <row r="2028" spans="1:10" x14ac:dyDescent="0.25">
      <c r="A2028">
        <v>27832038</v>
      </c>
      <c r="B2028" t="s">
        <v>17</v>
      </c>
      <c r="C2028" s="4">
        <v>44771.620872291664</v>
      </c>
      <c r="D2028" t="s">
        <v>1671</v>
      </c>
      <c r="E2028" t="s">
        <v>27</v>
      </c>
      <c r="F2028" t="s">
        <v>18</v>
      </c>
      <c r="G2028" t="s">
        <v>226</v>
      </c>
      <c r="H2028" t="s">
        <v>40</v>
      </c>
      <c r="I2028" t="s">
        <v>21</v>
      </c>
      <c r="J2028" t="s">
        <v>1672</v>
      </c>
    </row>
    <row r="2029" spans="1:10" x14ac:dyDescent="0.25">
      <c r="A2029">
        <v>27832039</v>
      </c>
      <c r="B2029" t="s">
        <v>17</v>
      </c>
      <c r="C2029" s="4">
        <v>44771.620941238427</v>
      </c>
      <c r="D2029" t="s">
        <v>1669</v>
      </c>
      <c r="E2029" t="s">
        <v>371</v>
      </c>
      <c r="F2029" t="s">
        <v>57</v>
      </c>
      <c r="G2029" t="s">
        <v>416</v>
      </c>
      <c r="H2029" t="s">
        <v>54</v>
      </c>
      <c r="I2029" t="s">
        <v>21</v>
      </c>
      <c r="J2029" t="s">
        <v>1670</v>
      </c>
    </row>
    <row r="2030" spans="1:10" x14ac:dyDescent="0.25">
      <c r="A2030">
        <v>27832049</v>
      </c>
      <c r="B2030" t="s">
        <v>17</v>
      </c>
      <c r="C2030" s="4">
        <v>44771.621316145844</v>
      </c>
      <c r="D2030" t="s">
        <v>1671</v>
      </c>
      <c r="E2030" t="s">
        <v>27</v>
      </c>
      <c r="F2030" t="s">
        <v>18</v>
      </c>
      <c r="G2030" t="s">
        <v>226</v>
      </c>
      <c r="H2030" t="s">
        <v>25</v>
      </c>
      <c r="I2030" t="s">
        <v>21</v>
      </c>
      <c r="J2030" t="s">
        <v>1672</v>
      </c>
    </row>
    <row r="2031" spans="1:10" x14ac:dyDescent="0.25">
      <c r="A2031">
        <v>27832062</v>
      </c>
      <c r="B2031" t="s">
        <v>17</v>
      </c>
      <c r="C2031" s="4">
        <v>44771.621531909717</v>
      </c>
      <c r="F2031" t="s">
        <v>18</v>
      </c>
      <c r="G2031" t="s">
        <v>413</v>
      </c>
      <c r="H2031" t="s">
        <v>67</v>
      </c>
      <c r="I2031" t="s">
        <v>21</v>
      </c>
    </row>
    <row r="2032" spans="1:10" x14ac:dyDescent="0.25">
      <c r="A2032">
        <v>27832099</v>
      </c>
      <c r="B2032" t="s">
        <v>17</v>
      </c>
      <c r="C2032" s="4">
        <v>44771.622105960647</v>
      </c>
      <c r="D2032" t="s">
        <v>1673</v>
      </c>
      <c r="E2032" t="s">
        <v>27</v>
      </c>
      <c r="F2032" t="s">
        <v>18</v>
      </c>
      <c r="G2032" t="s">
        <v>285</v>
      </c>
      <c r="H2032" t="s">
        <v>40</v>
      </c>
      <c r="I2032" t="s">
        <v>21</v>
      </c>
      <c r="J2032" t="s">
        <v>1674</v>
      </c>
    </row>
    <row r="2033" spans="1:10" x14ac:dyDescent="0.25">
      <c r="A2033">
        <v>27832107</v>
      </c>
      <c r="B2033" t="s">
        <v>17</v>
      </c>
      <c r="C2033" s="4">
        <v>44771.622459131948</v>
      </c>
      <c r="F2033" t="s">
        <v>18</v>
      </c>
      <c r="G2033" t="s">
        <v>413</v>
      </c>
      <c r="H2033" t="s">
        <v>68</v>
      </c>
      <c r="I2033" t="s">
        <v>21</v>
      </c>
    </row>
    <row r="2034" spans="1:10" x14ac:dyDescent="0.25">
      <c r="A2034">
        <v>27832111</v>
      </c>
      <c r="B2034" t="s">
        <v>17</v>
      </c>
      <c r="C2034" s="4">
        <v>44771.622491423608</v>
      </c>
      <c r="D2034" t="s">
        <v>1673</v>
      </c>
      <c r="E2034" t="s">
        <v>27</v>
      </c>
      <c r="F2034" t="s">
        <v>18</v>
      </c>
      <c r="G2034" t="s">
        <v>285</v>
      </c>
      <c r="H2034" t="s">
        <v>25</v>
      </c>
      <c r="I2034" t="s">
        <v>21</v>
      </c>
      <c r="J2034" t="s">
        <v>1674</v>
      </c>
    </row>
    <row r="2035" spans="1:10" x14ac:dyDescent="0.25">
      <c r="A2035">
        <v>27832127</v>
      </c>
      <c r="B2035" t="s">
        <v>17</v>
      </c>
      <c r="C2035" s="4">
        <v>44771.622760625003</v>
      </c>
      <c r="F2035" t="s">
        <v>18</v>
      </c>
      <c r="G2035" t="s">
        <v>413</v>
      </c>
      <c r="H2035" t="s">
        <v>20</v>
      </c>
      <c r="I2035" t="s">
        <v>21</v>
      </c>
    </row>
    <row r="2036" spans="1:10" x14ac:dyDescent="0.25">
      <c r="A2036">
        <v>27832141</v>
      </c>
      <c r="B2036" t="s">
        <v>17</v>
      </c>
      <c r="C2036" s="4">
        <v>44771.622879317132</v>
      </c>
      <c r="D2036" t="s">
        <v>1679</v>
      </c>
      <c r="E2036" t="s">
        <v>62</v>
      </c>
      <c r="F2036" t="s">
        <v>57</v>
      </c>
      <c r="G2036" t="s">
        <v>76</v>
      </c>
      <c r="H2036" t="s">
        <v>42</v>
      </c>
      <c r="I2036" t="s">
        <v>21</v>
      </c>
      <c r="J2036" t="s">
        <v>1680</v>
      </c>
    </row>
    <row r="2037" spans="1:10" x14ac:dyDescent="0.25">
      <c r="A2037">
        <v>27832148</v>
      </c>
      <c r="B2037" t="s">
        <v>17</v>
      </c>
      <c r="C2037" s="4">
        <v>44771.622997847233</v>
      </c>
      <c r="D2037" t="s">
        <v>1681</v>
      </c>
      <c r="E2037" t="s">
        <v>379</v>
      </c>
      <c r="F2037" t="s">
        <v>18</v>
      </c>
      <c r="G2037" t="s">
        <v>413</v>
      </c>
      <c r="H2037" t="s">
        <v>118</v>
      </c>
      <c r="I2037" t="s">
        <v>36</v>
      </c>
    </row>
    <row r="2038" spans="1:10" x14ac:dyDescent="0.25">
      <c r="A2038">
        <v>27832153</v>
      </c>
      <c r="B2038" t="s">
        <v>17</v>
      </c>
      <c r="C2038" s="4">
        <v>44771.62314758102</v>
      </c>
      <c r="D2038" t="s">
        <v>1681</v>
      </c>
      <c r="E2038" t="s">
        <v>379</v>
      </c>
      <c r="F2038" t="s">
        <v>18</v>
      </c>
      <c r="G2038" t="s">
        <v>413</v>
      </c>
      <c r="H2038" t="s">
        <v>35</v>
      </c>
      <c r="I2038" t="s">
        <v>36</v>
      </c>
    </row>
    <row r="2039" spans="1:10" x14ac:dyDescent="0.25">
      <c r="A2039">
        <v>27832158</v>
      </c>
      <c r="B2039" t="s">
        <v>17</v>
      </c>
      <c r="C2039" s="4">
        <v>44771.623266203707</v>
      </c>
      <c r="D2039" t="s">
        <v>1681</v>
      </c>
      <c r="E2039" t="s">
        <v>379</v>
      </c>
      <c r="F2039" t="s">
        <v>18</v>
      </c>
      <c r="G2039" t="s">
        <v>413</v>
      </c>
      <c r="H2039" t="s">
        <v>79</v>
      </c>
      <c r="I2039" t="s">
        <v>21</v>
      </c>
    </row>
    <row r="2040" spans="1:10" x14ac:dyDescent="0.25">
      <c r="A2040">
        <v>27832176</v>
      </c>
      <c r="B2040" t="s">
        <v>17</v>
      </c>
      <c r="C2040" s="4">
        <v>44771.623650949077</v>
      </c>
      <c r="D2040" t="s">
        <v>1669</v>
      </c>
      <c r="E2040" t="s">
        <v>371</v>
      </c>
      <c r="F2040" t="s">
        <v>57</v>
      </c>
      <c r="G2040" t="s">
        <v>416</v>
      </c>
      <c r="H2040" t="s">
        <v>40</v>
      </c>
      <c r="I2040" t="s">
        <v>21</v>
      </c>
      <c r="J2040" t="s">
        <v>1670</v>
      </c>
    </row>
    <row r="2041" spans="1:10" x14ac:dyDescent="0.25">
      <c r="A2041">
        <v>27832182</v>
      </c>
      <c r="B2041" t="s">
        <v>17</v>
      </c>
      <c r="C2041" s="4">
        <v>44771.623778969908</v>
      </c>
      <c r="D2041" t="s">
        <v>1479</v>
      </c>
      <c r="E2041" t="s">
        <v>38</v>
      </c>
      <c r="F2041" t="s">
        <v>23</v>
      </c>
      <c r="G2041" t="s">
        <v>224</v>
      </c>
      <c r="H2041" t="s">
        <v>46</v>
      </c>
      <c r="I2041" t="s">
        <v>21</v>
      </c>
    </row>
    <row r="2042" spans="1:10" x14ac:dyDescent="0.25">
      <c r="A2042">
        <v>27832186</v>
      </c>
      <c r="B2042" t="s">
        <v>17</v>
      </c>
      <c r="C2042" s="4">
        <v>44771.623995462956</v>
      </c>
      <c r="D2042" t="s">
        <v>1669</v>
      </c>
      <c r="E2042" t="s">
        <v>371</v>
      </c>
      <c r="F2042" t="s">
        <v>57</v>
      </c>
      <c r="G2042" t="s">
        <v>416</v>
      </c>
      <c r="H2042" t="s">
        <v>25</v>
      </c>
      <c r="I2042" t="s">
        <v>21</v>
      </c>
      <c r="J2042" t="s">
        <v>1670</v>
      </c>
    </row>
    <row r="2043" spans="1:10" x14ac:dyDescent="0.25">
      <c r="A2043">
        <v>27832206</v>
      </c>
      <c r="B2043" t="s">
        <v>17</v>
      </c>
      <c r="C2043" s="4">
        <v>44771.624522233797</v>
      </c>
      <c r="F2043" t="s">
        <v>55</v>
      </c>
      <c r="G2043" t="s">
        <v>403</v>
      </c>
      <c r="H2043" t="s">
        <v>20</v>
      </c>
      <c r="I2043" t="s">
        <v>21</v>
      </c>
    </row>
    <row r="2044" spans="1:10" x14ac:dyDescent="0.25">
      <c r="A2044">
        <v>27832230</v>
      </c>
      <c r="B2044" t="s">
        <v>17</v>
      </c>
      <c r="C2044" s="4">
        <v>44771.624962766196</v>
      </c>
      <c r="D2044" t="s">
        <v>1682</v>
      </c>
      <c r="E2044" t="s">
        <v>38</v>
      </c>
      <c r="F2044" t="s">
        <v>52</v>
      </c>
      <c r="G2044" t="s">
        <v>77</v>
      </c>
      <c r="H2044" t="s">
        <v>42</v>
      </c>
      <c r="I2044" t="s">
        <v>21</v>
      </c>
      <c r="J2044" t="s">
        <v>423</v>
      </c>
    </row>
    <row r="2045" spans="1:10" x14ac:dyDescent="0.25">
      <c r="A2045">
        <v>27832251</v>
      </c>
      <c r="B2045" t="s">
        <v>17</v>
      </c>
      <c r="C2045" s="4">
        <v>44771.625062812498</v>
      </c>
      <c r="F2045" t="s">
        <v>23</v>
      </c>
      <c r="G2045" t="s">
        <v>224</v>
      </c>
      <c r="H2045" t="s">
        <v>47</v>
      </c>
      <c r="I2045" t="s">
        <v>21</v>
      </c>
    </row>
    <row r="2046" spans="1:10" x14ac:dyDescent="0.25">
      <c r="A2046">
        <v>27832257</v>
      </c>
      <c r="B2046" t="s">
        <v>17</v>
      </c>
      <c r="C2046" s="4">
        <v>44771.625082395833</v>
      </c>
      <c r="D2046" t="s">
        <v>1676</v>
      </c>
      <c r="E2046" t="s">
        <v>72</v>
      </c>
      <c r="F2046" t="s">
        <v>49</v>
      </c>
      <c r="G2046" t="s">
        <v>359</v>
      </c>
      <c r="H2046" t="s">
        <v>40</v>
      </c>
      <c r="I2046" t="s">
        <v>21</v>
      </c>
      <c r="J2046" t="s">
        <v>1677</v>
      </c>
    </row>
    <row r="2047" spans="1:10" x14ac:dyDescent="0.25">
      <c r="A2047">
        <v>27832276</v>
      </c>
      <c r="B2047" t="s">
        <v>17</v>
      </c>
      <c r="C2047" s="4">
        <v>44771.625784386582</v>
      </c>
      <c r="D2047" t="s">
        <v>1676</v>
      </c>
      <c r="E2047" t="s">
        <v>72</v>
      </c>
      <c r="F2047" t="s">
        <v>49</v>
      </c>
      <c r="G2047" t="s">
        <v>359</v>
      </c>
      <c r="H2047" t="s">
        <v>25</v>
      </c>
      <c r="I2047" t="s">
        <v>21</v>
      </c>
      <c r="J2047" t="s">
        <v>1677</v>
      </c>
    </row>
    <row r="2048" spans="1:10" x14ac:dyDescent="0.25">
      <c r="A2048">
        <v>27832286</v>
      </c>
      <c r="B2048" t="s">
        <v>17</v>
      </c>
      <c r="C2048" s="4">
        <v>44771.625819375004</v>
      </c>
      <c r="D2048" t="s">
        <v>1683</v>
      </c>
      <c r="E2048" t="s">
        <v>129</v>
      </c>
      <c r="F2048" t="s">
        <v>49</v>
      </c>
      <c r="G2048" t="s">
        <v>80</v>
      </c>
      <c r="H2048" t="s">
        <v>29</v>
      </c>
      <c r="I2048" t="s">
        <v>21</v>
      </c>
      <c r="J2048" t="s">
        <v>1684</v>
      </c>
    </row>
    <row r="2049" spans="1:10" x14ac:dyDescent="0.25">
      <c r="A2049">
        <v>27832300</v>
      </c>
      <c r="B2049" t="s">
        <v>17</v>
      </c>
      <c r="C2049" s="4">
        <v>44771.626017523151</v>
      </c>
      <c r="D2049" t="s">
        <v>1685</v>
      </c>
      <c r="E2049" t="s">
        <v>27</v>
      </c>
      <c r="F2049" t="s">
        <v>45</v>
      </c>
      <c r="G2049" t="s">
        <v>358</v>
      </c>
      <c r="H2049" t="s">
        <v>29</v>
      </c>
      <c r="I2049" t="s">
        <v>21</v>
      </c>
      <c r="J2049" t="s">
        <v>1686</v>
      </c>
    </row>
    <row r="2050" spans="1:10" x14ac:dyDescent="0.25">
      <c r="A2050">
        <v>27832337</v>
      </c>
      <c r="B2050" t="s">
        <v>17</v>
      </c>
      <c r="C2050" s="4">
        <v>44771.626487627313</v>
      </c>
      <c r="D2050" t="s">
        <v>1679</v>
      </c>
      <c r="E2050" t="s">
        <v>62</v>
      </c>
      <c r="F2050" t="s">
        <v>57</v>
      </c>
      <c r="G2050" t="s">
        <v>76</v>
      </c>
      <c r="H2050" t="s">
        <v>54</v>
      </c>
      <c r="I2050" t="s">
        <v>21</v>
      </c>
      <c r="J2050" t="s">
        <v>1680</v>
      </c>
    </row>
    <row r="2051" spans="1:10" x14ac:dyDescent="0.25">
      <c r="A2051">
        <v>27832347</v>
      </c>
      <c r="B2051" t="s">
        <v>17</v>
      </c>
      <c r="C2051" s="4">
        <v>44771.626632893523</v>
      </c>
      <c r="D2051" t="s">
        <v>1682</v>
      </c>
      <c r="E2051" t="s">
        <v>38</v>
      </c>
      <c r="F2051" t="s">
        <v>52</v>
      </c>
      <c r="G2051" t="s">
        <v>77</v>
      </c>
      <c r="H2051" t="s">
        <v>54</v>
      </c>
      <c r="I2051" t="s">
        <v>21</v>
      </c>
      <c r="J2051" t="s">
        <v>423</v>
      </c>
    </row>
    <row r="2052" spans="1:10" x14ac:dyDescent="0.25">
      <c r="A2052">
        <v>27832367</v>
      </c>
      <c r="B2052" t="s">
        <v>17</v>
      </c>
      <c r="C2052" s="4">
        <v>44771.627247928242</v>
      </c>
      <c r="F2052" t="s">
        <v>23</v>
      </c>
      <c r="G2052" t="s">
        <v>120</v>
      </c>
      <c r="H2052" t="s">
        <v>20</v>
      </c>
      <c r="I2052" t="s">
        <v>21</v>
      </c>
    </row>
    <row r="2053" spans="1:10" x14ac:dyDescent="0.25">
      <c r="A2053">
        <v>27832411</v>
      </c>
      <c r="B2053" t="s">
        <v>17</v>
      </c>
      <c r="C2053" s="4">
        <v>44771.628044097219</v>
      </c>
      <c r="D2053" t="s">
        <v>999</v>
      </c>
      <c r="E2053" t="s">
        <v>38</v>
      </c>
      <c r="F2053" t="s">
        <v>33</v>
      </c>
      <c r="G2053" t="s">
        <v>296</v>
      </c>
      <c r="H2053" t="s">
        <v>29</v>
      </c>
      <c r="I2053" t="s">
        <v>21</v>
      </c>
    </row>
    <row r="2054" spans="1:10" x14ac:dyDescent="0.25">
      <c r="A2054">
        <v>27832451</v>
      </c>
      <c r="B2054" t="s">
        <v>17</v>
      </c>
      <c r="C2054" s="4">
        <v>44771.628608402767</v>
      </c>
      <c r="D2054" t="s">
        <v>1364</v>
      </c>
      <c r="E2054" t="s">
        <v>38</v>
      </c>
      <c r="F2054" t="s">
        <v>52</v>
      </c>
      <c r="G2054" t="s">
        <v>91</v>
      </c>
      <c r="H2054" t="s">
        <v>29</v>
      </c>
      <c r="I2054" t="s">
        <v>21</v>
      </c>
    </row>
    <row r="2055" spans="1:10" x14ac:dyDescent="0.25">
      <c r="A2055">
        <v>27832465</v>
      </c>
      <c r="B2055" t="s">
        <v>17</v>
      </c>
      <c r="C2055" s="4">
        <v>44771.628782615742</v>
      </c>
      <c r="D2055" t="s">
        <v>1687</v>
      </c>
      <c r="E2055" t="s">
        <v>30</v>
      </c>
      <c r="F2055" t="s">
        <v>23</v>
      </c>
      <c r="G2055" t="s">
        <v>355</v>
      </c>
      <c r="H2055" t="s">
        <v>42</v>
      </c>
      <c r="I2055" t="s">
        <v>21</v>
      </c>
      <c r="J2055" t="s">
        <v>1688</v>
      </c>
    </row>
    <row r="2056" spans="1:10" x14ac:dyDescent="0.25">
      <c r="A2056">
        <v>27832486</v>
      </c>
      <c r="B2056" t="s">
        <v>17</v>
      </c>
      <c r="C2056" s="4">
        <v>44771.629361458326</v>
      </c>
      <c r="D2056" t="s">
        <v>1689</v>
      </c>
      <c r="E2056" t="s">
        <v>62</v>
      </c>
      <c r="F2056" t="s">
        <v>45</v>
      </c>
      <c r="G2056" t="s">
        <v>327</v>
      </c>
      <c r="H2056" t="s">
        <v>42</v>
      </c>
      <c r="I2056" t="s">
        <v>21</v>
      </c>
      <c r="J2056" t="s">
        <v>1690</v>
      </c>
    </row>
    <row r="2057" spans="1:10" x14ac:dyDescent="0.25">
      <c r="A2057">
        <v>27832508</v>
      </c>
      <c r="B2057" t="s">
        <v>17</v>
      </c>
      <c r="C2057" s="4">
        <v>44771.630117754627</v>
      </c>
      <c r="D2057" t="s">
        <v>1679</v>
      </c>
      <c r="E2057" t="s">
        <v>62</v>
      </c>
      <c r="F2057" t="s">
        <v>57</v>
      </c>
      <c r="G2057" t="s">
        <v>76</v>
      </c>
      <c r="H2057" t="s">
        <v>40</v>
      </c>
      <c r="I2057" t="s">
        <v>21</v>
      </c>
      <c r="J2057" t="s">
        <v>1680</v>
      </c>
    </row>
    <row r="2058" spans="1:10" x14ac:dyDescent="0.25">
      <c r="A2058">
        <v>27832525</v>
      </c>
      <c r="B2058" t="s">
        <v>17</v>
      </c>
      <c r="C2058" s="4">
        <v>44771.630382106479</v>
      </c>
      <c r="D2058" t="s">
        <v>1691</v>
      </c>
      <c r="E2058" t="s">
        <v>38</v>
      </c>
      <c r="F2058" t="s">
        <v>55</v>
      </c>
      <c r="G2058" t="s">
        <v>403</v>
      </c>
      <c r="H2058" t="s">
        <v>40</v>
      </c>
      <c r="I2058" t="s">
        <v>21</v>
      </c>
    </row>
    <row r="2059" spans="1:10" x14ac:dyDescent="0.25">
      <c r="A2059">
        <v>27832526</v>
      </c>
      <c r="B2059" t="s">
        <v>17</v>
      </c>
      <c r="C2059" s="4">
        <v>44771.630396203713</v>
      </c>
      <c r="D2059" t="s">
        <v>1679</v>
      </c>
      <c r="E2059" t="s">
        <v>62</v>
      </c>
      <c r="F2059" t="s">
        <v>57</v>
      </c>
      <c r="G2059" t="s">
        <v>76</v>
      </c>
      <c r="H2059" t="s">
        <v>25</v>
      </c>
      <c r="I2059" t="s">
        <v>21</v>
      </c>
      <c r="J2059" t="s">
        <v>1680</v>
      </c>
    </row>
    <row r="2060" spans="1:10" x14ac:dyDescent="0.25">
      <c r="A2060">
        <v>27832547</v>
      </c>
      <c r="B2060" t="s">
        <v>17</v>
      </c>
      <c r="C2060" s="4">
        <v>44771.630858495373</v>
      </c>
      <c r="D2060" t="s">
        <v>1687</v>
      </c>
      <c r="E2060" t="s">
        <v>30</v>
      </c>
      <c r="F2060" t="s">
        <v>23</v>
      </c>
      <c r="G2060" t="s">
        <v>355</v>
      </c>
      <c r="H2060" t="s">
        <v>54</v>
      </c>
      <c r="I2060" t="s">
        <v>21</v>
      </c>
      <c r="J2060" t="s">
        <v>1688</v>
      </c>
    </row>
    <row r="2061" spans="1:10" x14ac:dyDescent="0.25">
      <c r="A2061">
        <v>27832549</v>
      </c>
      <c r="B2061" t="s">
        <v>17</v>
      </c>
      <c r="C2061" s="4">
        <v>44771.630870347217</v>
      </c>
      <c r="D2061" t="s">
        <v>1691</v>
      </c>
      <c r="E2061" t="s">
        <v>38</v>
      </c>
      <c r="F2061" t="s">
        <v>55</v>
      </c>
      <c r="G2061" t="s">
        <v>403</v>
      </c>
      <c r="H2061" t="s">
        <v>25</v>
      </c>
      <c r="I2061" t="s">
        <v>21</v>
      </c>
    </row>
    <row r="2062" spans="1:10" x14ac:dyDescent="0.25">
      <c r="A2062">
        <v>27832554</v>
      </c>
      <c r="B2062" t="s">
        <v>17</v>
      </c>
      <c r="C2062" s="4">
        <v>44771.63090517361</v>
      </c>
      <c r="D2062" t="s">
        <v>1692</v>
      </c>
      <c r="E2062" t="s">
        <v>30</v>
      </c>
      <c r="F2062" t="s">
        <v>31</v>
      </c>
      <c r="G2062" t="s">
        <v>32</v>
      </c>
      <c r="H2062" t="s">
        <v>40</v>
      </c>
      <c r="I2062" t="s">
        <v>21</v>
      </c>
    </row>
    <row r="2063" spans="1:10" x14ac:dyDescent="0.25">
      <c r="A2063">
        <v>27832566</v>
      </c>
      <c r="B2063" t="s">
        <v>17</v>
      </c>
      <c r="C2063" s="4">
        <v>44771.631160208337</v>
      </c>
      <c r="F2063" t="s">
        <v>55</v>
      </c>
      <c r="G2063" t="s">
        <v>412</v>
      </c>
      <c r="H2063" t="s">
        <v>20</v>
      </c>
      <c r="I2063" t="s">
        <v>21</v>
      </c>
    </row>
    <row r="2064" spans="1:10" x14ac:dyDescent="0.25">
      <c r="A2064">
        <v>27832574</v>
      </c>
      <c r="B2064" t="s">
        <v>17</v>
      </c>
      <c r="C2064" s="4">
        <v>44771.631284768519</v>
      </c>
      <c r="D2064" t="s">
        <v>1479</v>
      </c>
      <c r="E2064" t="s">
        <v>38</v>
      </c>
      <c r="F2064" t="s">
        <v>23</v>
      </c>
      <c r="G2064" t="s">
        <v>224</v>
      </c>
      <c r="H2064" t="s">
        <v>126</v>
      </c>
      <c r="I2064" t="s">
        <v>21</v>
      </c>
      <c r="J2064" t="s">
        <v>406</v>
      </c>
    </row>
    <row r="2065" spans="1:10" x14ac:dyDescent="0.25">
      <c r="A2065">
        <v>27832583</v>
      </c>
      <c r="B2065" t="s">
        <v>17</v>
      </c>
      <c r="C2065" s="4">
        <v>44771.631489270832</v>
      </c>
      <c r="D2065" t="s">
        <v>1692</v>
      </c>
      <c r="E2065" t="s">
        <v>30</v>
      </c>
      <c r="F2065" t="s">
        <v>31</v>
      </c>
      <c r="G2065" t="s">
        <v>32</v>
      </c>
      <c r="H2065" t="s">
        <v>25</v>
      </c>
      <c r="I2065" t="s">
        <v>21</v>
      </c>
    </row>
    <row r="2066" spans="1:10" x14ac:dyDescent="0.25">
      <c r="A2066">
        <v>27832596</v>
      </c>
      <c r="B2066" t="s">
        <v>17</v>
      </c>
      <c r="C2066" s="4">
        <v>44771.631926805552</v>
      </c>
      <c r="D2066" t="s">
        <v>1693</v>
      </c>
      <c r="E2066" t="s">
        <v>268</v>
      </c>
      <c r="F2066" t="s">
        <v>49</v>
      </c>
      <c r="G2066" t="s">
        <v>74</v>
      </c>
      <c r="H2066" t="s">
        <v>29</v>
      </c>
      <c r="I2066" t="s">
        <v>21</v>
      </c>
      <c r="J2066" t="s">
        <v>1694</v>
      </c>
    </row>
    <row r="2067" spans="1:10" x14ac:dyDescent="0.25">
      <c r="A2067">
        <v>27832618</v>
      </c>
      <c r="B2067" t="s">
        <v>17</v>
      </c>
      <c r="C2067" s="4">
        <v>44771.632139641202</v>
      </c>
      <c r="D2067" t="s">
        <v>1695</v>
      </c>
      <c r="E2067" t="s">
        <v>27</v>
      </c>
      <c r="F2067" t="s">
        <v>49</v>
      </c>
      <c r="G2067" t="s">
        <v>106</v>
      </c>
      <c r="H2067" t="s">
        <v>29</v>
      </c>
      <c r="I2067" t="s">
        <v>21</v>
      </c>
      <c r="J2067" t="s">
        <v>1696</v>
      </c>
    </row>
    <row r="2068" spans="1:10" x14ac:dyDescent="0.25">
      <c r="A2068">
        <v>27832632</v>
      </c>
      <c r="B2068" t="s">
        <v>17</v>
      </c>
      <c r="C2068" s="4">
        <v>44771.632254814816</v>
      </c>
      <c r="D2068" t="s">
        <v>1697</v>
      </c>
      <c r="E2068" t="s">
        <v>129</v>
      </c>
      <c r="F2068" t="s">
        <v>49</v>
      </c>
      <c r="G2068" t="s">
        <v>50</v>
      </c>
      <c r="H2068" t="s">
        <v>42</v>
      </c>
      <c r="I2068" t="s">
        <v>21</v>
      </c>
      <c r="J2068" t="s">
        <v>1698</v>
      </c>
    </row>
    <row r="2069" spans="1:10" x14ac:dyDescent="0.25">
      <c r="A2069">
        <v>27832643</v>
      </c>
      <c r="B2069" t="s">
        <v>17</v>
      </c>
      <c r="C2069" s="4">
        <v>44771.632486203707</v>
      </c>
      <c r="D2069" t="s">
        <v>1699</v>
      </c>
      <c r="E2069" t="s">
        <v>38</v>
      </c>
      <c r="F2069" t="s">
        <v>23</v>
      </c>
      <c r="G2069" t="s">
        <v>178</v>
      </c>
      <c r="H2069" t="s">
        <v>42</v>
      </c>
      <c r="I2069" t="s">
        <v>21</v>
      </c>
      <c r="J2069" t="s">
        <v>1700</v>
      </c>
    </row>
    <row r="2070" spans="1:10" x14ac:dyDescent="0.25">
      <c r="A2070">
        <v>27832671</v>
      </c>
      <c r="B2070" t="s">
        <v>17</v>
      </c>
      <c r="C2070" s="4">
        <v>44771.633260497692</v>
      </c>
      <c r="D2070" t="s">
        <v>1689</v>
      </c>
      <c r="E2070" t="s">
        <v>62</v>
      </c>
      <c r="F2070" t="s">
        <v>45</v>
      </c>
      <c r="G2070" t="s">
        <v>327</v>
      </c>
      <c r="H2070" t="s">
        <v>54</v>
      </c>
      <c r="I2070" t="s">
        <v>21</v>
      </c>
      <c r="J2070" t="s">
        <v>1690</v>
      </c>
    </row>
    <row r="2071" spans="1:10" x14ac:dyDescent="0.25">
      <c r="A2071">
        <v>27832684</v>
      </c>
      <c r="B2071" t="s">
        <v>17</v>
      </c>
      <c r="C2071" s="4">
        <v>44771.633494571761</v>
      </c>
      <c r="D2071" t="s">
        <v>1701</v>
      </c>
      <c r="E2071" t="s">
        <v>38</v>
      </c>
      <c r="F2071" t="s">
        <v>23</v>
      </c>
      <c r="G2071" t="s">
        <v>120</v>
      </c>
      <c r="H2071" t="s">
        <v>40</v>
      </c>
      <c r="I2071" t="s">
        <v>21</v>
      </c>
    </row>
    <row r="2072" spans="1:10" x14ac:dyDescent="0.25">
      <c r="A2072">
        <v>27832693</v>
      </c>
      <c r="B2072" t="s">
        <v>17</v>
      </c>
      <c r="C2072" s="4">
        <v>44771.63380265046</v>
      </c>
      <c r="D2072" t="s">
        <v>1682</v>
      </c>
      <c r="E2072" t="s">
        <v>38</v>
      </c>
      <c r="F2072" t="s">
        <v>52</v>
      </c>
      <c r="G2072" t="s">
        <v>77</v>
      </c>
      <c r="H2072" t="s">
        <v>40</v>
      </c>
      <c r="I2072" t="s">
        <v>21</v>
      </c>
      <c r="J2072" t="s">
        <v>423</v>
      </c>
    </row>
    <row r="2073" spans="1:10" x14ac:dyDescent="0.25">
      <c r="A2073">
        <v>27832698</v>
      </c>
      <c r="B2073" t="s">
        <v>17</v>
      </c>
      <c r="C2073" s="4">
        <v>44771.634046087973</v>
      </c>
      <c r="D2073" t="s">
        <v>1701</v>
      </c>
      <c r="E2073" t="s">
        <v>38</v>
      </c>
      <c r="F2073" t="s">
        <v>23</v>
      </c>
      <c r="G2073" t="s">
        <v>120</v>
      </c>
      <c r="H2073" t="s">
        <v>25</v>
      </c>
      <c r="I2073" t="s">
        <v>21</v>
      </c>
    </row>
    <row r="2074" spans="1:10" x14ac:dyDescent="0.25">
      <c r="A2074">
        <v>27832717</v>
      </c>
      <c r="B2074" t="s">
        <v>17</v>
      </c>
      <c r="C2074" s="4">
        <v>44771.634273263888</v>
      </c>
      <c r="D2074" t="s">
        <v>1682</v>
      </c>
      <c r="E2074" t="s">
        <v>38</v>
      </c>
      <c r="F2074" t="s">
        <v>52</v>
      </c>
      <c r="G2074" t="s">
        <v>77</v>
      </c>
      <c r="H2074" t="s">
        <v>25</v>
      </c>
      <c r="I2074" t="s">
        <v>21</v>
      </c>
      <c r="J2074" t="s">
        <v>423</v>
      </c>
    </row>
    <row r="2075" spans="1:10" x14ac:dyDescent="0.25">
      <c r="A2075">
        <v>27832732</v>
      </c>
      <c r="B2075" t="s">
        <v>17</v>
      </c>
      <c r="C2075" s="4">
        <v>44771.634611851849</v>
      </c>
      <c r="D2075" t="s">
        <v>1687</v>
      </c>
      <c r="E2075" t="s">
        <v>30</v>
      </c>
      <c r="F2075" t="s">
        <v>23</v>
      </c>
      <c r="G2075" t="s">
        <v>355</v>
      </c>
      <c r="H2075" t="s">
        <v>40</v>
      </c>
      <c r="I2075" t="s">
        <v>21</v>
      </c>
      <c r="J2075" t="s">
        <v>1688</v>
      </c>
    </row>
    <row r="2076" spans="1:10" x14ac:dyDescent="0.25">
      <c r="A2076">
        <v>27832733</v>
      </c>
      <c r="B2076" t="s">
        <v>17</v>
      </c>
      <c r="C2076" s="4">
        <v>44771.634612210648</v>
      </c>
      <c r="D2076" t="s">
        <v>1702</v>
      </c>
      <c r="E2076" t="s">
        <v>62</v>
      </c>
      <c r="F2076" t="s">
        <v>57</v>
      </c>
      <c r="G2076" t="s">
        <v>221</v>
      </c>
      <c r="H2076" t="s">
        <v>29</v>
      </c>
      <c r="I2076" t="s">
        <v>21</v>
      </c>
      <c r="J2076" t="s">
        <v>1703</v>
      </c>
    </row>
    <row r="2077" spans="1:10" x14ac:dyDescent="0.25">
      <c r="A2077">
        <v>27832739</v>
      </c>
      <c r="B2077" t="s">
        <v>17</v>
      </c>
      <c r="C2077" s="4">
        <v>44771.634631446759</v>
      </c>
      <c r="D2077" t="s">
        <v>1699</v>
      </c>
      <c r="E2077" t="s">
        <v>38</v>
      </c>
      <c r="F2077" t="s">
        <v>23</v>
      </c>
      <c r="G2077" t="s">
        <v>178</v>
      </c>
      <c r="H2077" t="s">
        <v>54</v>
      </c>
      <c r="I2077" t="s">
        <v>21</v>
      </c>
      <c r="J2077" t="s">
        <v>1700</v>
      </c>
    </row>
    <row r="2078" spans="1:10" x14ac:dyDescent="0.25">
      <c r="A2078">
        <v>27832754</v>
      </c>
      <c r="B2078" t="s">
        <v>17</v>
      </c>
      <c r="C2078" s="4">
        <v>44771.634967604157</v>
      </c>
      <c r="D2078" t="s">
        <v>1689</v>
      </c>
      <c r="E2078" t="s">
        <v>62</v>
      </c>
      <c r="F2078" t="s">
        <v>45</v>
      </c>
      <c r="G2078" t="s">
        <v>327</v>
      </c>
      <c r="H2078" t="s">
        <v>40</v>
      </c>
      <c r="I2078" t="s">
        <v>21</v>
      </c>
      <c r="J2078" t="s">
        <v>1690</v>
      </c>
    </row>
    <row r="2079" spans="1:10" x14ac:dyDescent="0.25">
      <c r="A2079">
        <v>27832755</v>
      </c>
      <c r="B2079" t="s">
        <v>17</v>
      </c>
      <c r="C2079" s="4">
        <v>44771.635046909723</v>
      </c>
      <c r="D2079" t="s">
        <v>1687</v>
      </c>
      <c r="E2079" t="s">
        <v>30</v>
      </c>
      <c r="F2079" t="s">
        <v>23</v>
      </c>
      <c r="G2079" t="s">
        <v>355</v>
      </c>
      <c r="H2079" t="s">
        <v>25</v>
      </c>
      <c r="I2079" t="s">
        <v>21</v>
      </c>
      <c r="J2079" t="s">
        <v>1688</v>
      </c>
    </row>
    <row r="2080" spans="1:10" x14ac:dyDescent="0.25">
      <c r="A2080">
        <v>27832786</v>
      </c>
      <c r="B2080" t="s">
        <v>17</v>
      </c>
      <c r="C2080" s="4">
        <v>44771.635379664353</v>
      </c>
      <c r="D2080" t="s">
        <v>1704</v>
      </c>
      <c r="E2080" t="s">
        <v>72</v>
      </c>
      <c r="F2080" t="s">
        <v>49</v>
      </c>
      <c r="G2080" t="s">
        <v>50</v>
      </c>
      <c r="H2080" t="s">
        <v>42</v>
      </c>
      <c r="I2080" t="s">
        <v>21</v>
      </c>
      <c r="J2080" t="s">
        <v>322</v>
      </c>
    </row>
    <row r="2081" spans="1:10" x14ac:dyDescent="0.25">
      <c r="A2081">
        <v>27832812</v>
      </c>
      <c r="B2081" t="s">
        <v>17</v>
      </c>
      <c r="C2081" s="4">
        <v>44771.635582256953</v>
      </c>
      <c r="D2081" t="s">
        <v>1689</v>
      </c>
      <c r="E2081" t="s">
        <v>62</v>
      </c>
      <c r="F2081" t="s">
        <v>45</v>
      </c>
      <c r="G2081" t="s">
        <v>327</v>
      </c>
      <c r="H2081" t="s">
        <v>25</v>
      </c>
      <c r="I2081" t="s">
        <v>21</v>
      </c>
      <c r="J2081" t="s">
        <v>1690</v>
      </c>
    </row>
    <row r="2082" spans="1:10" x14ac:dyDescent="0.25">
      <c r="A2082">
        <v>27832823</v>
      </c>
      <c r="B2082" t="s">
        <v>17</v>
      </c>
      <c r="C2082" s="4">
        <v>44771.635611284721</v>
      </c>
      <c r="D2082" t="s">
        <v>1705</v>
      </c>
      <c r="E2082" t="s">
        <v>38</v>
      </c>
      <c r="F2082" t="s">
        <v>49</v>
      </c>
      <c r="G2082" t="s">
        <v>128</v>
      </c>
      <c r="H2082" t="s">
        <v>42</v>
      </c>
      <c r="I2082" t="s">
        <v>21</v>
      </c>
      <c r="J2082" t="s">
        <v>1706</v>
      </c>
    </row>
    <row r="2083" spans="1:10" x14ac:dyDescent="0.25">
      <c r="A2083">
        <v>27832862</v>
      </c>
      <c r="B2083" t="s">
        <v>17</v>
      </c>
      <c r="C2083" s="4">
        <v>44771.636638368058</v>
      </c>
      <c r="F2083" t="s">
        <v>18</v>
      </c>
      <c r="G2083" t="s">
        <v>83</v>
      </c>
      <c r="H2083" t="s">
        <v>20</v>
      </c>
      <c r="I2083" t="s">
        <v>21</v>
      </c>
    </row>
    <row r="2084" spans="1:10" x14ac:dyDescent="0.25">
      <c r="A2084">
        <v>27832873</v>
      </c>
      <c r="B2084" t="s">
        <v>17</v>
      </c>
      <c r="C2084" s="4">
        <v>44771.636871863433</v>
      </c>
      <c r="D2084" t="s">
        <v>1697</v>
      </c>
      <c r="E2084" t="s">
        <v>129</v>
      </c>
      <c r="F2084" t="s">
        <v>49</v>
      </c>
      <c r="G2084" t="s">
        <v>50</v>
      </c>
      <c r="H2084" t="s">
        <v>239</v>
      </c>
      <c r="I2084" t="s">
        <v>21</v>
      </c>
      <c r="J2084" t="s">
        <v>1698</v>
      </c>
    </row>
    <row r="2085" spans="1:10" x14ac:dyDescent="0.25">
      <c r="A2085">
        <v>27832875</v>
      </c>
      <c r="B2085" t="s">
        <v>17</v>
      </c>
      <c r="C2085" s="4">
        <v>44771.636878576392</v>
      </c>
      <c r="D2085" t="s">
        <v>1697</v>
      </c>
      <c r="E2085" t="s">
        <v>129</v>
      </c>
      <c r="F2085" t="s">
        <v>49</v>
      </c>
      <c r="G2085" t="s">
        <v>50</v>
      </c>
      <c r="H2085" t="s">
        <v>240</v>
      </c>
      <c r="I2085" t="s">
        <v>21</v>
      </c>
      <c r="J2085" t="s">
        <v>1698</v>
      </c>
    </row>
    <row r="2086" spans="1:10" x14ac:dyDescent="0.25">
      <c r="A2086">
        <v>27832888</v>
      </c>
      <c r="B2086" t="s">
        <v>17</v>
      </c>
      <c r="C2086" s="4">
        <v>44771.637248252307</v>
      </c>
      <c r="D2086" t="s">
        <v>1705</v>
      </c>
      <c r="E2086" t="s">
        <v>38</v>
      </c>
      <c r="F2086" t="s">
        <v>49</v>
      </c>
      <c r="G2086" t="s">
        <v>128</v>
      </c>
      <c r="H2086" t="s">
        <v>54</v>
      </c>
      <c r="I2086" t="s">
        <v>21</v>
      </c>
      <c r="J2086" t="s">
        <v>1706</v>
      </c>
    </row>
    <row r="2087" spans="1:10" x14ac:dyDescent="0.25">
      <c r="A2087">
        <v>27832912</v>
      </c>
      <c r="B2087" t="s">
        <v>17</v>
      </c>
      <c r="C2087" s="4">
        <v>44771.638024537038</v>
      </c>
      <c r="E2087" t="s">
        <v>38</v>
      </c>
      <c r="F2087" t="s">
        <v>55</v>
      </c>
      <c r="G2087" t="s">
        <v>412</v>
      </c>
      <c r="H2087" t="s">
        <v>40</v>
      </c>
      <c r="I2087" t="s">
        <v>21</v>
      </c>
    </row>
    <row r="2088" spans="1:10" x14ac:dyDescent="0.25">
      <c r="A2088">
        <v>27832931</v>
      </c>
      <c r="B2088" t="s">
        <v>17</v>
      </c>
      <c r="C2088" s="4">
        <v>44771.638335023148</v>
      </c>
      <c r="D2088" t="s">
        <v>1707</v>
      </c>
      <c r="E2088" t="s">
        <v>62</v>
      </c>
      <c r="F2088" t="s">
        <v>49</v>
      </c>
      <c r="G2088" t="s">
        <v>73</v>
      </c>
      <c r="H2088" t="s">
        <v>29</v>
      </c>
      <c r="I2088" t="s">
        <v>21</v>
      </c>
      <c r="J2088" t="s">
        <v>1708</v>
      </c>
    </row>
    <row r="2089" spans="1:10" x14ac:dyDescent="0.25">
      <c r="A2089">
        <v>27832950</v>
      </c>
      <c r="B2089" t="s">
        <v>17</v>
      </c>
      <c r="C2089" s="4">
        <v>44771.63856334491</v>
      </c>
      <c r="D2089" t="s">
        <v>1704</v>
      </c>
      <c r="E2089" t="s">
        <v>72</v>
      </c>
      <c r="F2089" t="s">
        <v>49</v>
      </c>
      <c r="G2089" t="s">
        <v>50</v>
      </c>
      <c r="H2089" t="s">
        <v>239</v>
      </c>
      <c r="I2089" t="s">
        <v>21</v>
      </c>
      <c r="J2089" t="s">
        <v>322</v>
      </c>
    </row>
    <row r="2090" spans="1:10" x14ac:dyDescent="0.25">
      <c r="A2090">
        <v>27832951</v>
      </c>
      <c r="B2090" t="s">
        <v>17</v>
      </c>
      <c r="C2090" s="4">
        <v>44771.638571053241</v>
      </c>
      <c r="D2090" t="s">
        <v>1704</v>
      </c>
      <c r="E2090" t="s">
        <v>72</v>
      </c>
      <c r="F2090" t="s">
        <v>49</v>
      </c>
      <c r="G2090" t="s">
        <v>50</v>
      </c>
      <c r="H2090" t="s">
        <v>240</v>
      </c>
      <c r="I2090" t="s">
        <v>21</v>
      </c>
      <c r="J2090" t="s">
        <v>322</v>
      </c>
    </row>
    <row r="2091" spans="1:10" x14ac:dyDescent="0.25">
      <c r="A2091">
        <v>27832962</v>
      </c>
      <c r="B2091" t="s">
        <v>17</v>
      </c>
      <c r="C2091" s="4">
        <v>44771.638710949082</v>
      </c>
      <c r="E2091" t="s">
        <v>38</v>
      </c>
      <c r="F2091" t="s">
        <v>55</v>
      </c>
      <c r="G2091" t="s">
        <v>412</v>
      </c>
      <c r="H2091" t="s">
        <v>25</v>
      </c>
      <c r="I2091" t="s">
        <v>21</v>
      </c>
    </row>
    <row r="2092" spans="1:10" x14ac:dyDescent="0.25">
      <c r="A2092">
        <v>27832993</v>
      </c>
      <c r="B2092" t="s">
        <v>17</v>
      </c>
      <c r="C2092" s="4">
        <v>44771.639222638893</v>
      </c>
      <c r="D2092" t="s">
        <v>1697</v>
      </c>
      <c r="E2092" t="s">
        <v>129</v>
      </c>
      <c r="F2092" t="s">
        <v>49</v>
      </c>
      <c r="G2092" t="s">
        <v>50</v>
      </c>
      <c r="H2092" t="s">
        <v>40</v>
      </c>
      <c r="I2092" t="s">
        <v>21</v>
      </c>
      <c r="J2092" t="s">
        <v>1698</v>
      </c>
    </row>
    <row r="2093" spans="1:10" x14ac:dyDescent="0.25">
      <c r="A2093">
        <v>27832997</v>
      </c>
      <c r="B2093" t="s">
        <v>17</v>
      </c>
      <c r="C2093" s="4">
        <v>44771.639314722219</v>
      </c>
      <c r="D2093" t="s">
        <v>1699</v>
      </c>
      <c r="E2093" t="s">
        <v>38</v>
      </c>
      <c r="F2093" t="s">
        <v>23</v>
      </c>
      <c r="G2093" t="s">
        <v>178</v>
      </c>
      <c r="H2093" t="s">
        <v>40</v>
      </c>
      <c r="I2093" t="s">
        <v>21</v>
      </c>
      <c r="J2093" t="s">
        <v>1700</v>
      </c>
    </row>
    <row r="2094" spans="1:10" x14ac:dyDescent="0.25">
      <c r="A2094">
        <v>27833012</v>
      </c>
      <c r="B2094" t="s">
        <v>17</v>
      </c>
      <c r="C2094" s="4">
        <v>44771.63974712963</v>
      </c>
      <c r="D2094" t="s">
        <v>1697</v>
      </c>
      <c r="E2094" t="s">
        <v>129</v>
      </c>
      <c r="F2094" t="s">
        <v>49</v>
      </c>
      <c r="G2094" t="s">
        <v>50</v>
      </c>
      <c r="H2094" t="s">
        <v>25</v>
      </c>
      <c r="I2094" t="s">
        <v>21</v>
      </c>
      <c r="J2094" t="s">
        <v>1698</v>
      </c>
    </row>
    <row r="2095" spans="1:10" x14ac:dyDescent="0.25">
      <c r="A2095">
        <v>27833026</v>
      </c>
      <c r="B2095" t="s">
        <v>17</v>
      </c>
      <c r="C2095" s="4">
        <v>44771.639860509262</v>
      </c>
      <c r="D2095" t="s">
        <v>1699</v>
      </c>
      <c r="E2095" t="s">
        <v>38</v>
      </c>
      <c r="F2095" t="s">
        <v>23</v>
      </c>
      <c r="G2095" t="s">
        <v>178</v>
      </c>
      <c r="H2095" t="s">
        <v>25</v>
      </c>
      <c r="I2095" t="s">
        <v>21</v>
      </c>
      <c r="J2095" t="s">
        <v>1700</v>
      </c>
    </row>
    <row r="2096" spans="1:10" x14ac:dyDescent="0.25">
      <c r="A2096">
        <v>27833048</v>
      </c>
      <c r="B2096" t="s">
        <v>17</v>
      </c>
      <c r="C2096" s="4">
        <v>44771.640009120369</v>
      </c>
      <c r="D2096" t="s">
        <v>1709</v>
      </c>
      <c r="E2096" t="s">
        <v>38</v>
      </c>
      <c r="F2096" t="s">
        <v>52</v>
      </c>
      <c r="G2096" t="s">
        <v>53</v>
      </c>
      <c r="H2096" t="s">
        <v>42</v>
      </c>
      <c r="I2096" t="s">
        <v>21</v>
      </c>
      <c r="J2096" t="s">
        <v>1127</v>
      </c>
    </row>
    <row r="2097" spans="1:10" x14ac:dyDescent="0.25">
      <c r="A2097">
        <v>27833065</v>
      </c>
      <c r="B2097" t="s">
        <v>17</v>
      </c>
      <c r="C2097" s="4">
        <v>44771.641010567131</v>
      </c>
      <c r="F2097" t="s">
        <v>31</v>
      </c>
      <c r="G2097" t="s">
        <v>153</v>
      </c>
      <c r="H2097" t="s">
        <v>20</v>
      </c>
      <c r="I2097" t="s">
        <v>21</v>
      </c>
    </row>
    <row r="2098" spans="1:10" x14ac:dyDescent="0.25">
      <c r="A2098">
        <v>27833072</v>
      </c>
      <c r="B2098" t="s">
        <v>17</v>
      </c>
      <c r="C2098" s="4">
        <v>44771.641087002317</v>
      </c>
      <c r="D2098" t="s">
        <v>1710</v>
      </c>
      <c r="E2098" t="s">
        <v>27</v>
      </c>
      <c r="F2098" t="s">
        <v>57</v>
      </c>
      <c r="G2098" t="s">
        <v>182</v>
      </c>
      <c r="H2098" t="s">
        <v>29</v>
      </c>
      <c r="I2098" t="s">
        <v>21</v>
      </c>
      <c r="J2098" t="s">
        <v>1711</v>
      </c>
    </row>
    <row r="2099" spans="1:10" x14ac:dyDescent="0.25">
      <c r="A2099">
        <v>27833094</v>
      </c>
      <c r="B2099" t="s">
        <v>17</v>
      </c>
      <c r="C2099" s="4">
        <v>44771.641398437503</v>
      </c>
      <c r="D2099" t="s">
        <v>1712</v>
      </c>
      <c r="E2099" t="s">
        <v>27</v>
      </c>
      <c r="F2099" t="s">
        <v>18</v>
      </c>
      <c r="G2099" t="s">
        <v>375</v>
      </c>
      <c r="H2099" t="s">
        <v>42</v>
      </c>
      <c r="I2099" t="s">
        <v>21</v>
      </c>
      <c r="J2099" t="s">
        <v>1713</v>
      </c>
    </row>
    <row r="2100" spans="1:10" x14ac:dyDescent="0.25">
      <c r="A2100">
        <v>27833100</v>
      </c>
      <c r="B2100" t="s">
        <v>17</v>
      </c>
      <c r="C2100" s="4">
        <v>44771.641439837957</v>
      </c>
      <c r="D2100" t="s">
        <v>1712</v>
      </c>
      <c r="E2100" t="s">
        <v>27</v>
      </c>
      <c r="F2100" t="s">
        <v>18</v>
      </c>
      <c r="G2100" t="s">
        <v>375</v>
      </c>
      <c r="H2100" t="s">
        <v>54</v>
      </c>
      <c r="I2100" t="s">
        <v>21</v>
      </c>
      <c r="J2100" t="s">
        <v>1713</v>
      </c>
    </row>
    <row r="2101" spans="1:10" x14ac:dyDescent="0.25">
      <c r="A2101">
        <v>27833150</v>
      </c>
      <c r="B2101" t="s">
        <v>17</v>
      </c>
      <c r="C2101" s="4">
        <v>44771.642735312496</v>
      </c>
      <c r="D2101" t="s">
        <v>1704</v>
      </c>
      <c r="E2101" t="s">
        <v>72</v>
      </c>
      <c r="F2101" t="s">
        <v>49</v>
      </c>
      <c r="G2101" t="s">
        <v>50</v>
      </c>
      <c r="H2101" t="s">
        <v>40</v>
      </c>
      <c r="I2101" t="s">
        <v>21</v>
      </c>
      <c r="J2101" t="s">
        <v>322</v>
      </c>
    </row>
    <row r="2102" spans="1:10" x14ac:dyDescent="0.25">
      <c r="A2102">
        <v>27833163</v>
      </c>
      <c r="B2102" t="s">
        <v>17</v>
      </c>
      <c r="C2102" s="4">
        <v>44771.642960914352</v>
      </c>
      <c r="D2102" t="s">
        <v>1714</v>
      </c>
      <c r="E2102" t="s">
        <v>1330</v>
      </c>
      <c r="F2102" t="s">
        <v>49</v>
      </c>
      <c r="G2102" t="s">
        <v>213</v>
      </c>
      <c r="H2102" t="s">
        <v>42</v>
      </c>
      <c r="I2102" t="s">
        <v>21</v>
      </c>
      <c r="J2102" t="s">
        <v>1715</v>
      </c>
    </row>
    <row r="2103" spans="1:10" x14ac:dyDescent="0.25">
      <c r="A2103">
        <v>27833174</v>
      </c>
      <c r="B2103" t="s">
        <v>17</v>
      </c>
      <c r="C2103" s="4">
        <v>44771.643405590279</v>
      </c>
      <c r="D2103" t="s">
        <v>1704</v>
      </c>
      <c r="E2103" t="s">
        <v>72</v>
      </c>
      <c r="F2103" t="s">
        <v>49</v>
      </c>
      <c r="G2103" t="s">
        <v>50</v>
      </c>
      <c r="H2103" t="s">
        <v>25</v>
      </c>
      <c r="I2103" t="s">
        <v>21</v>
      </c>
      <c r="J2103" t="s">
        <v>322</v>
      </c>
    </row>
    <row r="2104" spans="1:10" x14ac:dyDescent="0.25">
      <c r="A2104">
        <v>27833187</v>
      </c>
      <c r="B2104" t="s">
        <v>17</v>
      </c>
      <c r="C2104" s="4">
        <v>44771.643655231477</v>
      </c>
      <c r="D2104" t="s">
        <v>1716</v>
      </c>
      <c r="E2104" t="s">
        <v>27</v>
      </c>
      <c r="F2104" t="s">
        <v>18</v>
      </c>
      <c r="G2104" t="s">
        <v>236</v>
      </c>
      <c r="H2104" t="s">
        <v>29</v>
      </c>
      <c r="I2104" t="s">
        <v>21</v>
      </c>
      <c r="J2104" t="s">
        <v>1717</v>
      </c>
    </row>
    <row r="2105" spans="1:10" x14ac:dyDescent="0.25">
      <c r="A2105">
        <v>27833207</v>
      </c>
      <c r="B2105" t="s">
        <v>17</v>
      </c>
      <c r="C2105" s="4">
        <v>44771.643972210652</v>
      </c>
      <c r="D2105" t="s">
        <v>1705</v>
      </c>
      <c r="E2105" t="s">
        <v>38</v>
      </c>
      <c r="F2105" t="s">
        <v>49</v>
      </c>
      <c r="G2105" t="s">
        <v>128</v>
      </c>
      <c r="H2105" t="s">
        <v>40</v>
      </c>
      <c r="I2105" t="s">
        <v>21</v>
      </c>
      <c r="J2105" t="s">
        <v>1706</v>
      </c>
    </row>
    <row r="2106" spans="1:10" x14ac:dyDescent="0.25">
      <c r="A2106">
        <v>27833208</v>
      </c>
      <c r="B2106" t="s">
        <v>17</v>
      </c>
      <c r="C2106" s="4">
        <v>44771.643995532409</v>
      </c>
      <c r="E2106" t="s">
        <v>30</v>
      </c>
      <c r="F2106" t="s">
        <v>33</v>
      </c>
      <c r="G2106" t="s">
        <v>427</v>
      </c>
      <c r="H2106" t="s">
        <v>29</v>
      </c>
      <c r="I2106" t="s">
        <v>21</v>
      </c>
    </row>
    <row r="2107" spans="1:10" x14ac:dyDescent="0.25">
      <c r="A2107">
        <v>27833212</v>
      </c>
      <c r="B2107" t="s">
        <v>17</v>
      </c>
      <c r="C2107" s="4">
        <v>44771.644042743057</v>
      </c>
      <c r="D2107" t="s">
        <v>1709</v>
      </c>
      <c r="E2107" t="s">
        <v>38</v>
      </c>
      <c r="F2107" t="s">
        <v>52</v>
      </c>
      <c r="G2107" t="s">
        <v>53</v>
      </c>
      <c r="H2107" t="s">
        <v>54</v>
      </c>
      <c r="I2107" t="s">
        <v>21</v>
      </c>
      <c r="J2107" t="s">
        <v>1127</v>
      </c>
    </row>
    <row r="2108" spans="1:10" x14ac:dyDescent="0.25">
      <c r="A2108">
        <v>27833216</v>
      </c>
      <c r="B2108" t="s">
        <v>17</v>
      </c>
      <c r="C2108" s="4">
        <v>44771.644060578707</v>
      </c>
      <c r="D2108" t="s">
        <v>1718</v>
      </c>
      <c r="E2108" t="s">
        <v>30</v>
      </c>
      <c r="F2108" t="s">
        <v>33</v>
      </c>
      <c r="G2108" t="s">
        <v>427</v>
      </c>
      <c r="H2108" t="s">
        <v>42</v>
      </c>
      <c r="I2108" t="s">
        <v>21</v>
      </c>
      <c r="J2108" t="s">
        <v>60</v>
      </c>
    </row>
    <row r="2109" spans="1:10" x14ac:dyDescent="0.25">
      <c r="A2109">
        <v>27833219</v>
      </c>
      <c r="B2109" t="s">
        <v>17</v>
      </c>
      <c r="C2109" s="4">
        <v>44771.644063993059</v>
      </c>
      <c r="E2109" t="s">
        <v>30</v>
      </c>
      <c r="F2109" t="s">
        <v>33</v>
      </c>
      <c r="G2109" t="s">
        <v>427</v>
      </c>
      <c r="H2109" t="s">
        <v>232</v>
      </c>
      <c r="I2109" t="s">
        <v>21</v>
      </c>
      <c r="J2109" t="s">
        <v>60</v>
      </c>
    </row>
    <row r="2110" spans="1:10" x14ac:dyDescent="0.25">
      <c r="A2110">
        <v>27833226</v>
      </c>
      <c r="B2110" t="s">
        <v>17</v>
      </c>
      <c r="C2110" s="4">
        <v>44771.644104814812</v>
      </c>
      <c r="D2110" t="s">
        <v>1719</v>
      </c>
      <c r="E2110" t="s">
        <v>268</v>
      </c>
      <c r="F2110" t="s">
        <v>18</v>
      </c>
      <c r="G2110" t="s">
        <v>83</v>
      </c>
      <c r="H2110" t="s">
        <v>40</v>
      </c>
      <c r="I2110" t="s">
        <v>21</v>
      </c>
      <c r="J2110" t="s">
        <v>1720</v>
      </c>
    </row>
    <row r="2111" spans="1:10" x14ac:dyDescent="0.25">
      <c r="A2111">
        <v>27833233</v>
      </c>
      <c r="B2111" t="s">
        <v>17</v>
      </c>
      <c r="C2111" s="4">
        <v>44771.644267268523</v>
      </c>
      <c r="F2111" t="s">
        <v>52</v>
      </c>
      <c r="G2111" t="s">
        <v>328</v>
      </c>
      <c r="H2111" t="s">
        <v>20</v>
      </c>
      <c r="I2111" t="s">
        <v>21</v>
      </c>
    </row>
    <row r="2112" spans="1:10" x14ac:dyDescent="0.25">
      <c r="A2112">
        <v>27833240</v>
      </c>
      <c r="B2112" t="s">
        <v>17</v>
      </c>
      <c r="C2112" s="4">
        <v>44771.644452094908</v>
      </c>
      <c r="D2112" t="s">
        <v>1719</v>
      </c>
      <c r="E2112" t="s">
        <v>268</v>
      </c>
      <c r="F2112" t="s">
        <v>18</v>
      </c>
      <c r="G2112" t="s">
        <v>83</v>
      </c>
      <c r="H2112" t="s">
        <v>25</v>
      </c>
      <c r="I2112" t="s">
        <v>21</v>
      </c>
      <c r="J2112" t="s">
        <v>1720</v>
      </c>
    </row>
    <row r="2113" spans="1:10" x14ac:dyDescent="0.25">
      <c r="A2113">
        <v>27833255</v>
      </c>
      <c r="B2113" t="s">
        <v>17</v>
      </c>
      <c r="C2113" s="4">
        <v>44771.644669675923</v>
      </c>
      <c r="D2113" t="s">
        <v>1705</v>
      </c>
      <c r="E2113" t="s">
        <v>38</v>
      </c>
      <c r="F2113" t="s">
        <v>49</v>
      </c>
      <c r="G2113" t="s">
        <v>128</v>
      </c>
      <c r="H2113" t="s">
        <v>25</v>
      </c>
      <c r="I2113" t="s">
        <v>21</v>
      </c>
      <c r="J2113" t="s">
        <v>1706</v>
      </c>
    </row>
    <row r="2114" spans="1:10" x14ac:dyDescent="0.25">
      <c r="A2114">
        <v>27833270</v>
      </c>
      <c r="B2114" t="s">
        <v>17</v>
      </c>
      <c r="C2114" s="4">
        <v>44771.645192256947</v>
      </c>
      <c r="D2114" t="s">
        <v>1721</v>
      </c>
      <c r="E2114" t="s">
        <v>38</v>
      </c>
      <c r="F2114" t="s">
        <v>52</v>
      </c>
      <c r="G2114" t="s">
        <v>145</v>
      </c>
      <c r="H2114" t="s">
        <v>29</v>
      </c>
      <c r="I2114" t="s">
        <v>21</v>
      </c>
    </row>
    <row r="2115" spans="1:10" x14ac:dyDescent="0.25">
      <c r="A2115">
        <v>27833288</v>
      </c>
      <c r="B2115" t="s">
        <v>17</v>
      </c>
      <c r="C2115" s="4">
        <v>44771.645783668981</v>
      </c>
      <c r="D2115" t="s">
        <v>1231</v>
      </c>
      <c r="E2115" t="s">
        <v>184</v>
      </c>
      <c r="F2115" t="s">
        <v>57</v>
      </c>
      <c r="G2115" t="s">
        <v>230</v>
      </c>
      <c r="H2115" t="s">
        <v>29</v>
      </c>
      <c r="I2115" t="s">
        <v>21</v>
      </c>
      <c r="J2115" t="s">
        <v>1722</v>
      </c>
    </row>
    <row r="2116" spans="1:10" x14ac:dyDescent="0.25">
      <c r="A2116">
        <v>27833307</v>
      </c>
      <c r="B2116" t="s">
        <v>17</v>
      </c>
      <c r="C2116" s="4">
        <v>44771.645869074076</v>
      </c>
      <c r="D2116" t="s">
        <v>1723</v>
      </c>
      <c r="E2116" t="s">
        <v>22</v>
      </c>
      <c r="F2116" t="s">
        <v>31</v>
      </c>
      <c r="G2116" t="s">
        <v>153</v>
      </c>
      <c r="H2116" t="s">
        <v>40</v>
      </c>
      <c r="I2116" t="s">
        <v>21</v>
      </c>
    </row>
    <row r="2117" spans="1:10" x14ac:dyDescent="0.25">
      <c r="A2117">
        <v>27833319</v>
      </c>
      <c r="B2117" t="s">
        <v>17</v>
      </c>
      <c r="C2117" s="4">
        <v>44771.646027939823</v>
      </c>
      <c r="D2117" t="s">
        <v>1724</v>
      </c>
      <c r="E2117" t="s">
        <v>27</v>
      </c>
      <c r="F2117" t="s">
        <v>18</v>
      </c>
      <c r="G2117" t="s">
        <v>260</v>
      </c>
      <c r="H2117" t="s">
        <v>42</v>
      </c>
      <c r="I2117" t="s">
        <v>21</v>
      </c>
      <c r="J2117" t="s">
        <v>1725</v>
      </c>
    </row>
    <row r="2118" spans="1:10" x14ac:dyDescent="0.25">
      <c r="A2118">
        <v>27833326</v>
      </c>
      <c r="B2118" t="s">
        <v>17</v>
      </c>
      <c r="C2118" s="4">
        <v>44771.646375324082</v>
      </c>
      <c r="D2118" t="s">
        <v>1723</v>
      </c>
      <c r="E2118" t="s">
        <v>22</v>
      </c>
      <c r="F2118" t="s">
        <v>31</v>
      </c>
      <c r="G2118" t="s">
        <v>153</v>
      </c>
      <c r="H2118" t="s">
        <v>25</v>
      </c>
      <c r="I2118" t="s">
        <v>21</v>
      </c>
    </row>
    <row r="2119" spans="1:10" x14ac:dyDescent="0.25">
      <c r="A2119">
        <v>27833343</v>
      </c>
      <c r="B2119" t="s">
        <v>17</v>
      </c>
      <c r="C2119" s="4">
        <v>44771.646789131948</v>
      </c>
      <c r="D2119" t="s">
        <v>1724</v>
      </c>
      <c r="E2119" t="s">
        <v>27</v>
      </c>
      <c r="F2119" t="s">
        <v>18</v>
      </c>
      <c r="G2119" t="s">
        <v>260</v>
      </c>
      <c r="H2119" t="s">
        <v>54</v>
      </c>
      <c r="I2119" t="s">
        <v>21</v>
      </c>
      <c r="J2119" t="s">
        <v>1725</v>
      </c>
    </row>
    <row r="2120" spans="1:10" x14ac:dyDescent="0.25">
      <c r="A2120">
        <v>27833356</v>
      </c>
      <c r="B2120" t="s">
        <v>17</v>
      </c>
      <c r="C2120" s="4">
        <v>44771.646950752307</v>
      </c>
      <c r="D2120" t="s">
        <v>1726</v>
      </c>
      <c r="E2120" t="s">
        <v>62</v>
      </c>
      <c r="F2120" t="s">
        <v>57</v>
      </c>
      <c r="G2120" t="s">
        <v>401</v>
      </c>
      <c r="H2120" t="s">
        <v>42</v>
      </c>
      <c r="I2120" t="s">
        <v>21</v>
      </c>
      <c r="J2120" t="s">
        <v>1727</v>
      </c>
    </row>
    <row r="2121" spans="1:10" x14ac:dyDescent="0.25">
      <c r="A2121">
        <v>27833386</v>
      </c>
      <c r="B2121" t="s">
        <v>17</v>
      </c>
      <c r="C2121" s="4">
        <v>44771.648046956019</v>
      </c>
      <c r="D2121" t="s">
        <v>1712</v>
      </c>
      <c r="E2121" t="s">
        <v>27</v>
      </c>
      <c r="F2121" t="s">
        <v>18</v>
      </c>
      <c r="G2121" t="s">
        <v>375</v>
      </c>
      <c r="H2121" t="s">
        <v>40</v>
      </c>
      <c r="I2121" t="s">
        <v>21</v>
      </c>
      <c r="J2121" t="s">
        <v>1713</v>
      </c>
    </row>
    <row r="2122" spans="1:10" x14ac:dyDescent="0.25">
      <c r="A2122">
        <v>27833406</v>
      </c>
      <c r="B2122" t="s">
        <v>17</v>
      </c>
      <c r="C2122" s="4">
        <v>44771.648479282398</v>
      </c>
      <c r="D2122" t="s">
        <v>1709</v>
      </c>
      <c r="E2122" t="s">
        <v>38</v>
      </c>
      <c r="F2122" t="s">
        <v>52</v>
      </c>
      <c r="G2122" t="s">
        <v>53</v>
      </c>
      <c r="H2122" t="s">
        <v>40</v>
      </c>
      <c r="I2122" t="s">
        <v>21</v>
      </c>
      <c r="J2122" t="s">
        <v>1127</v>
      </c>
    </row>
    <row r="2123" spans="1:10" x14ac:dyDescent="0.25">
      <c r="A2123">
        <v>27833410</v>
      </c>
      <c r="B2123" t="s">
        <v>17</v>
      </c>
      <c r="C2123" s="4">
        <v>44771.648566099539</v>
      </c>
      <c r="D2123" t="s">
        <v>1712</v>
      </c>
      <c r="E2123" t="s">
        <v>27</v>
      </c>
      <c r="F2123" t="s">
        <v>18</v>
      </c>
      <c r="G2123" t="s">
        <v>375</v>
      </c>
      <c r="H2123" t="s">
        <v>25</v>
      </c>
      <c r="I2123" t="s">
        <v>21</v>
      </c>
      <c r="J2123" t="s">
        <v>1713</v>
      </c>
    </row>
    <row r="2124" spans="1:10" x14ac:dyDescent="0.25">
      <c r="A2124">
        <v>27833434</v>
      </c>
      <c r="B2124" t="s">
        <v>17</v>
      </c>
      <c r="C2124" s="4">
        <v>44771.649051018518</v>
      </c>
      <c r="D2124" t="s">
        <v>1709</v>
      </c>
      <c r="E2124" t="s">
        <v>38</v>
      </c>
      <c r="F2124" t="s">
        <v>52</v>
      </c>
      <c r="G2124" t="s">
        <v>53</v>
      </c>
      <c r="H2124" t="s">
        <v>25</v>
      </c>
      <c r="I2124" t="s">
        <v>21</v>
      </c>
      <c r="J2124" t="s">
        <v>1127</v>
      </c>
    </row>
    <row r="2125" spans="1:10" x14ac:dyDescent="0.25">
      <c r="A2125">
        <v>27833457</v>
      </c>
      <c r="B2125" t="s">
        <v>17</v>
      </c>
      <c r="C2125" s="4">
        <v>44771.649365104167</v>
      </c>
      <c r="D2125" t="s">
        <v>1479</v>
      </c>
      <c r="E2125" t="s">
        <v>38</v>
      </c>
      <c r="F2125" t="s">
        <v>23</v>
      </c>
      <c r="G2125" t="s">
        <v>224</v>
      </c>
      <c r="H2125" t="s">
        <v>93</v>
      </c>
      <c r="I2125" t="s">
        <v>21</v>
      </c>
    </row>
    <row r="2126" spans="1:10" x14ac:dyDescent="0.25">
      <c r="A2126">
        <v>27833475</v>
      </c>
      <c r="B2126" t="s">
        <v>17</v>
      </c>
      <c r="C2126" s="4">
        <v>44771.649990254627</v>
      </c>
      <c r="D2126" t="s">
        <v>1714</v>
      </c>
      <c r="E2126" t="s">
        <v>1330</v>
      </c>
      <c r="F2126" t="s">
        <v>49</v>
      </c>
      <c r="G2126" t="s">
        <v>213</v>
      </c>
      <c r="H2126" t="s">
        <v>54</v>
      </c>
      <c r="I2126" t="s">
        <v>21</v>
      </c>
      <c r="J2126" t="s">
        <v>1715</v>
      </c>
    </row>
    <row r="2127" spans="1:10" x14ac:dyDescent="0.25">
      <c r="A2127">
        <v>27833506</v>
      </c>
      <c r="B2127" t="s">
        <v>17</v>
      </c>
      <c r="C2127" s="4">
        <v>44771.650948148148</v>
      </c>
      <c r="F2127" t="s">
        <v>23</v>
      </c>
      <c r="G2127" t="s">
        <v>224</v>
      </c>
      <c r="H2127" t="s">
        <v>67</v>
      </c>
      <c r="I2127" t="s">
        <v>21</v>
      </c>
    </row>
    <row r="2128" spans="1:10" x14ac:dyDescent="0.25">
      <c r="A2128">
        <v>27833524</v>
      </c>
      <c r="B2128" t="s">
        <v>17</v>
      </c>
      <c r="C2128" s="4">
        <v>44771.651707060177</v>
      </c>
      <c r="D2128" t="s">
        <v>1714</v>
      </c>
      <c r="E2128" t="s">
        <v>1330</v>
      </c>
      <c r="F2128" t="s">
        <v>49</v>
      </c>
      <c r="G2128" t="s">
        <v>213</v>
      </c>
      <c r="H2128" t="s">
        <v>40</v>
      </c>
      <c r="I2128" t="s">
        <v>21</v>
      </c>
      <c r="J2128" t="s">
        <v>1715</v>
      </c>
    </row>
    <row r="2129" spans="1:10" x14ac:dyDescent="0.25">
      <c r="A2129">
        <v>27833536</v>
      </c>
      <c r="B2129" t="s">
        <v>17</v>
      </c>
      <c r="C2129" s="4">
        <v>44771.65198347222</v>
      </c>
      <c r="F2129" t="s">
        <v>55</v>
      </c>
      <c r="G2129" t="s">
        <v>394</v>
      </c>
      <c r="H2129" t="s">
        <v>20</v>
      </c>
      <c r="I2129" t="s">
        <v>21</v>
      </c>
    </row>
    <row r="2130" spans="1:10" x14ac:dyDescent="0.25">
      <c r="A2130">
        <v>27833549</v>
      </c>
      <c r="B2130" t="s">
        <v>17</v>
      </c>
      <c r="C2130" s="4">
        <v>44771.652458715267</v>
      </c>
      <c r="D2130" t="s">
        <v>1714</v>
      </c>
      <c r="E2130" t="s">
        <v>1330</v>
      </c>
      <c r="F2130" t="s">
        <v>49</v>
      </c>
      <c r="G2130" t="s">
        <v>213</v>
      </c>
      <c r="H2130" t="s">
        <v>25</v>
      </c>
      <c r="I2130" t="s">
        <v>21</v>
      </c>
      <c r="J2130" t="s">
        <v>1715</v>
      </c>
    </row>
    <row r="2131" spans="1:10" x14ac:dyDescent="0.25">
      <c r="A2131">
        <v>27833561</v>
      </c>
      <c r="B2131" t="s">
        <v>17</v>
      </c>
      <c r="C2131" s="4">
        <v>44771.652540474533</v>
      </c>
      <c r="D2131" t="s">
        <v>1728</v>
      </c>
      <c r="E2131" t="s">
        <v>27</v>
      </c>
      <c r="F2131" t="s">
        <v>18</v>
      </c>
      <c r="G2131" t="s">
        <v>273</v>
      </c>
      <c r="H2131" t="s">
        <v>29</v>
      </c>
      <c r="I2131" t="s">
        <v>21</v>
      </c>
      <c r="J2131" t="s">
        <v>471</v>
      </c>
    </row>
    <row r="2132" spans="1:10" x14ac:dyDescent="0.25">
      <c r="A2132">
        <v>27833572</v>
      </c>
      <c r="B2132" t="s">
        <v>17</v>
      </c>
      <c r="C2132" s="4">
        <v>44771.652625185183</v>
      </c>
      <c r="D2132" t="s">
        <v>1729</v>
      </c>
      <c r="E2132" t="s">
        <v>975</v>
      </c>
      <c r="F2132" t="s">
        <v>49</v>
      </c>
      <c r="G2132" t="s">
        <v>247</v>
      </c>
      <c r="H2132" t="s">
        <v>42</v>
      </c>
      <c r="I2132" t="s">
        <v>21</v>
      </c>
      <c r="J2132" t="s">
        <v>1730</v>
      </c>
    </row>
    <row r="2133" spans="1:10" x14ac:dyDescent="0.25">
      <c r="A2133">
        <v>27833592</v>
      </c>
      <c r="B2133" t="s">
        <v>17</v>
      </c>
      <c r="C2133" s="4">
        <v>44771.652846898149</v>
      </c>
      <c r="F2133" t="s">
        <v>23</v>
      </c>
      <c r="G2133" t="s">
        <v>224</v>
      </c>
      <c r="H2133" t="s">
        <v>68</v>
      </c>
      <c r="I2133" t="s">
        <v>21</v>
      </c>
    </row>
    <row r="2134" spans="1:10" x14ac:dyDescent="0.25">
      <c r="A2134">
        <v>27833599</v>
      </c>
      <c r="B2134" t="s">
        <v>17</v>
      </c>
      <c r="C2134" s="4">
        <v>44771.652857037043</v>
      </c>
      <c r="D2134" t="s">
        <v>1731</v>
      </c>
      <c r="E2134" t="s">
        <v>27</v>
      </c>
      <c r="F2134" t="s">
        <v>18</v>
      </c>
      <c r="G2134" t="s">
        <v>273</v>
      </c>
      <c r="H2134" t="s">
        <v>42</v>
      </c>
      <c r="I2134" t="s">
        <v>21</v>
      </c>
      <c r="J2134" t="s">
        <v>1732</v>
      </c>
    </row>
    <row r="2135" spans="1:10" x14ac:dyDescent="0.25">
      <c r="A2135">
        <v>27833608</v>
      </c>
      <c r="B2135" t="s">
        <v>17</v>
      </c>
      <c r="C2135" s="4">
        <v>44771.65294255787</v>
      </c>
      <c r="F2135" t="s">
        <v>23</v>
      </c>
      <c r="G2135" t="s">
        <v>224</v>
      </c>
      <c r="H2135" t="s">
        <v>67</v>
      </c>
      <c r="I2135" t="s">
        <v>21</v>
      </c>
    </row>
    <row r="2136" spans="1:10" x14ac:dyDescent="0.25">
      <c r="A2136">
        <v>27833616</v>
      </c>
      <c r="B2136" t="s">
        <v>17</v>
      </c>
      <c r="C2136" s="4">
        <v>44771.652972766213</v>
      </c>
      <c r="D2136" t="s">
        <v>1733</v>
      </c>
      <c r="E2136" t="s">
        <v>27</v>
      </c>
      <c r="F2136" t="s">
        <v>18</v>
      </c>
      <c r="G2136" t="s">
        <v>265</v>
      </c>
      <c r="H2136" t="s">
        <v>42</v>
      </c>
      <c r="I2136" t="s">
        <v>21</v>
      </c>
      <c r="J2136" t="s">
        <v>1734</v>
      </c>
    </row>
    <row r="2137" spans="1:10" x14ac:dyDescent="0.25">
      <c r="A2137">
        <v>27833629</v>
      </c>
      <c r="B2137" t="s">
        <v>17</v>
      </c>
      <c r="C2137" s="4">
        <v>44771.65313810185</v>
      </c>
      <c r="D2137" t="s">
        <v>1724</v>
      </c>
      <c r="E2137" t="s">
        <v>27</v>
      </c>
      <c r="F2137" t="s">
        <v>18</v>
      </c>
      <c r="G2137" t="s">
        <v>260</v>
      </c>
      <c r="H2137" t="s">
        <v>40</v>
      </c>
      <c r="I2137" t="s">
        <v>21</v>
      </c>
      <c r="J2137" t="s">
        <v>1725</v>
      </c>
    </row>
    <row r="2138" spans="1:10" x14ac:dyDescent="0.25">
      <c r="A2138">
        <v>27833638</v>
      </c>
      <c r="B2138" t="s">
        <v>17</v>
      </c>
      <c r="C2138" s="4">
        <v>44771.653430127313</v>
      </c>
      <c r="D2138" t="s">
        <v>1733</v>
      </c>
      <c r="E2138" t="s">
        <v>27</v>
      </c>
      <c r="F2138" t="s">
        <v>18</v>
      </c>
      <c r="G2138" t="s">
        <v>265</v>
      </c>
      <c r="H2138" t="s">
        <v>54</v>
      </c>
      <c r="I2138" t="s">
        <v>21</v>
      </c>
      <c r="J2138" t="s">
        <v>1734</v>
      </c>
    </row>
    <row r="2139" spans="1:10" x14ac:dyDescent="0.25">
      <c r="A2139">
        <v>27833640</v>
      </c>
      <c r="B2139" t="s">
        <v>17</v>
      </c>
      <c r="C2139" s="4">
        <v>44771.653432708343</v>
      </c>
      <c r="D2139" t="s">
        <v>1731</v>
      </c>
      <c r="E2139" t="s">
        <v>27</v>
      </c>
      <c r="F2139" t="s">
        <v>18</v>
      </c>
      <c r="G2139" t="s">
        <v>273</v>
      </c>
      <c r="H2139" t="s">
        <v>54</v>
      </c>
      <c r="I2139" t="s">
        <v>21</v>
      </c>
      <c r="J2139" t="s">
        <v>1732</v>
      </c>
    </row>
    <row r="2140" spans="1:10" x14ac:dyDescent="0.25">
      <c r="A2140">
        <v>27833657</v>
      </c>
      <c r="B2140" t="s">
        <v>17</v>
      </c>
      <c r="C2140" s="4">
        <v>44771.653626273153</v>
      </c>
      <c r="D2140" t="s">
        <v>1724</v>
      </c>
      <c r="E2140" t="s">
        <v>27</v>
      </c>
      <c r="F2140" t="s">
        <v>18</v>
      </c>
      <c r="G2140" t="s">
        <v>260</v>
      </c>
      <c r="H2140" t="s">
        <v>25</v>
      </c>
      <c r="I2140" t="s">
        <v>21</v>
      </c>
      <c r="J2140" t="s">
        <v>1725</v>
      </c>
    </row>
    <row r="2141" spans="1:10" x14ac:dyDescent="0.25">
      <c r="A2141">
        <v>27833669</v>
      </c>
      <c r="B2141" t="s">
        <v>17</v>
      </c>
      <c r="C2141" s="4">
        <v>44771.653667222221</v>
      </c>
      <c r="D2141" t="s">
        <v>1735</v>
      </c>
      <c r="E2141" t="s">
        <v>254</v>
      </c>
      <c r="F2141" t="s">
        <v>57</v>
      </c>
      <c r="G2141" t="s">
        <v>419</v>
      </c>
      <c r="H2141" t="s">
        <v>42</v>
      </c>
      <c r="I2141" t="s">
        <v>21</v>
      </c>
      <c r="J2141" t="s">
        <v>1736</v>
      </c>
    </row>
    <row r="2142" spans="1:10" x14ac:dyDescent="0.25">
      <c r="A2142">
        <v>27833674</v>
      </c>
      <c r="B2142" t="s">
        <v>17</v>
      </c>
      <c r="C2142" s="4">
        <v>44771.653915034723</v>
      </c>
      <c r="D2142" t="s">
        <v>1729</v>
      </c>
      <c r="E2142" t="s">
        <v>975</v>
      </c>
      <c r="F2142" t="s">
        <v>49</v>
      </c>
      <c r="G2142" t="s">
        <v>247</v>
      </c>
      <c r="H2142" t="s">
        <v>54</v>
      </c>
      <c r="I2142" t="s">
        <v>21</v>
      </c>
      <c r="J2142" t="s">
        <v>1730</v>
      </c>
    </row>
    <row r="2143" spans="1:10" x14ac:dyDescent="0.25">
      <c r="A2143">
        <v>27833689</v>
      </c>
      <c r="B2143" t="s">
        <v>17</v>
      </c>
      <c r="C2143" s="4">
        <v>44771.654225763887</v>
      </c>
      <c r="D2143" t="s">
        <v>1737</v>
      </c>
      <c r="E2143" t="s">
        <v>129</v>
      </c>
      <c r="F2143" t="s">
        <v>49</v>
      </c>
      <c r="G2143" t="s">
        <v>130</v>
      </c>
      <c r="H2143" t="s">
        <v>29</v>
      </c>
      <c r="I2143" t="s">
        <v>21</v>
      </c>
      <c r="J2143" t="s">
        <v>1738</v>
      </c>
    </row>
    <row r="2144" spans="1:10" x14ac:dyDescent="0.25">
      <c r="A2144">
        <v>27833706</v>
      </c>
      <c r="B2144" t="s">
        <v>17</v>
      </c>
      <c r="C2144" s="4">
        <v>44771.654582835647</v>
      </c>
      <c r="D2144" t="s">
        <v>1735</v>
      </c>
      <c r="E2144" t="s">
        <v>254</v>
      </c>
      <c r="F2144" t="s">
        <v>57</v>
      </c>
      <c r="G2144" t="s">
        <v>419</v>
      </c>
      <c r="H2144" t="s">
        <v>54</v>
      </c>
      <c r="I2144" t="s">
        <v>21</v>
      </c>
      <c r="J2144" t="s">
        <v>1736</v>
      </c>
    </row>
    <row r="2145" spans="1:10" x14ac:dyDescent="0.25">
      <c r="A2145">
        <v>27833722</v>
      </c>
      <c r="B2145" t="s">
        <v>17</v>
      </c>
      <c r="C2145" s="4">
        <v>44771.654997835649</v>
      </c>
      <c r="D2145" t="s">
        <v>1739</v>
      </c>
      <c r="E2145" t="s">
        <v>27</v>
      </c>
      <c r="F2145" t="s">
        <v>18</v>
      </c>
      <c r="G2145" t="s">
        <v>377</v>
      </c>
      <c r="H2145" t="s">
        <v>42</v>
      </c>
      <c r="I2145" t="s">
        <v>21</v>
      </c>
      <c r="J2145" t="s">
        <v>1740</v>
      </c>
    </row>
    <row r="2146" spans="1:10" x14ac:dyDescent="0.25">
      <c r="A2146">
        <v>27833730</v>
      </c>
      <c r="B2146" t="s">
        <v>17</v>
      </c>
      <c r="C2146" s="4">
        <v>44771.655100729156</v>
      </c>
      <c r="F2146" t="s">
        <v>23</v>
      </c>
      <c r="G2146" t="s">
        <v>224</v>
      </c>
      <c r="H2146" t="s">
        <v>68</v>
      </c>
      <c r="I2146" t="s">
        <v>21</v>
      </c>
    </row>
    <row r="2147" spans="1:10" x14ac:dyDescent="0.25">
      <c r="A2147">
        <v>27833739</v>
      </c>
      <c r="B2147" t="s">
        <v>17</v>
      </c>
      <c r="C2147" s="4">
        <v>44771.655432118052</v>
      </c>
      <c r="D2147" t="s">
        <v>1741</v>
      </c>
      <c r="E2147" t="s">
        <v>430</v>
      </c>
      <c r="F2147" t="s">
        <v>18</v>
      </c>
      <c r="G2147" t="s">
        <v>186</v>
      </c>
      <c r="H2147" t="s">
        <v>29</v>
      </c>
      <c r="I2147" t="s">
        <v>21</v>
      </c>
      <c r="J2147" t="s">
        <v>1742</v>
      </c>
    </row>
    <row r="2148" spans="1:10" x14ac:dyDescent="0.25">
      <c r="A2148">
        <v>27833750</v>
      </c>
      <c r="B2148" t="s">
        <v>17</v>
      </c>
      <c r="C2148" s="4">
        <v>44771.65548854167</v>
      </c>
      <c r="F2148" t="s">
        <v>23</v>
      </c>
      <c r="G2148" t="s">
        <v>224</v>
      </c>
      <c r="H2148" t="s">
        <v>67</v>
      </c>
      <c r="I2148" t="s">
        <v>21</v>
      </c>
    </row>
    <row r="2149" spans="1:10" x14ac:dyDescent="0.25">
      <c r="A2149">
        <v>27833763</v>
      </c>
      <c r="B2149" t="s">
        <v>17</v>
      </c>
      <c r="C2149" s="4">
        <v>44771.655927280102</v>
      </c>
      <c r="D2149" t="s">
        <v>1726</v>
      </c>
      <c r="E2149" t="s">
        <v>62</v>
      </c>
      <c r="F2149" t="s">
        <v>57</v>
      </c>
      <c r="G2149" t="s">
        <v>401</v>
      </c>
      <c r="H2149" t="s">
        <v>54</v>
      </c>
      <c r="I2149" t="s">
        <v>21</v>
      </c>
      <c r="J2149" t="s">
        <v>1727</v>
      </c>
    </row>
    <row r="2150" spans="1:10" x14ac:dyDescent="0.25">
      <c r="A2150">
        <v>27833781</v>
      </c>
      <c r="B2150" t="s">
        <v>17</v>
      </c>
      <c r="C2150" s="4">
        <v>44771.656097557869</v>
      </c>
      <c r="D2150" t="s">
        <v>1743</v>
      </c>
      <c r="E2150" t="s">
        <v>129</v>
      </c>
      <c r="F2150" t="s">
        <v>49</v>
      </c>
      <c r="G2150" t="s">
        <v>250</v>
      </c>
      <c r="H2150" t="s">
        <v>42</v>
      </c>
      <c r="I2150" t="s">
        <v>21</v>
      </c>
      <c r="J2150" t="s">
        <v>1744</v>
      </c>
    </row>
    <row r="2151" spans="1:10" x14ac:dyDescent="0.25">
      <c r="A2151">
        <v>27833784</v>
      </c>
      <c r="B2151" t="s">
        <v>17</v>
      </c>
      <c r="C2151" s="4">
        <v>44771.656099004627</v>
      </c>
      <c r="D2151" t="s">
        <v>1745</v>
      </c>
      <c r="E2151" t="s">
        <v>38</v>
      </c>
      <c r="F2151" t="s">
        <v>55</v>
      </c>
      <c r="G2151" t="s">
        <v>394</v>
      </c>
      <c r="H2151" t="s">
        <v>40</v>
      </c>
      <c r="I2151" t="s">
        <v>21</v>
      </c>
    </row>
    <row r="2152" spans="1:10" x14ac:dyDescent="0.25">
      <c r="A2152">
        <v>27833815</v>
      </c>
      <c r="B2152" t="s">
        <v>17</v>
      </c>
      <c r="C2152" s="4">
        <v>44771.656486481479</v>
      </c>
      <c r="D2152" t="s">
        <v>1726</v>
      </c>
      <c r="E2152" t="s">
        <v>62</v>
      </c>
      <c r="F2152" t="s">
        <v>57</v>
      </c>
      <c r="G2152" t="s">
        <v>401</v>
      </c>
      <c r="H2152" t="s">
        <v>40</v>
      </c>
      <c r="I2152" t="s">
        <v>21</v>
      </c>
      <c r="J2152" t="s">
        <v>1727</v>
      </c>
    </row>
    <row r="2153" spans="1:10" x14ac:dyDescent="0.25">
      <c r="A2153">
        <v>27833816</v>
      </c>
      <c r="B2153" t="s">
        <v>17</v>
      </c>
      <c r="C2153" s="4">
        <v>44771.656595312503</v>
      </c>
      <c r="D2153" t="s">
        <v>1726</v>
      </c>
      <c r="E2153" t="s">
        <v>62</v>
      </c>
      <c r="F2153" t="s">
        <v>57</v>
      </c>
      <c r="G2153" t="s">
        <v>401</v>
      </c>
      <c r="H2153" t="s">
        <v>581</v>
      </c>
      <c r="I2153" t="s">
        <v>36</v>
      </c>
      <c r="J2153" t="s">
        <v>1727</v>
      </c>
    </row>
    <row r="2154" spans="1:10" x14ac:dyDescent="0.25">
      <c r="A2154">
        <v>27833819</v>
      </c>
      <c r="B2154" t="s">
        <v>17</v>
      </c>
      <c r="C2154" s="4">
        <v>44771.656631562502</v>
      </c>
      <c r="D2154" t="s">
        <v>1726</v>
      </c>
      <c r="E2154" t="s">
        <v>62</v>
      </c>
      <c r="F2154" t="s">
        <v>57</v>
      </c>
      <c r="G2154" t="s">
        <v>401</v>
      </c>
      <c r="H2154" t="s">
        <v>122</v>
      </c>
      <c r="I2154" t="s">
        <v>36</v>
      </c>
      <c r="J2154" t="s">
        <v>1727</v>
      </c>
    </row>
    <row r="2155" spans="1:10" x14ac:dyDescent="0.25">
      <c r="A2155">
        <v>27833827</v>
      </c>
      <c r="B2155" t="s">
        <v>17</v>
      </c>
      <c r="C2155" s="4">
        <v>44771.656672835648</v>
      </c>
      <c r="D2155" t="s">
        <v>1726</v>
      </c>
      <c r="E2155" t="s">
        <v>62</v>
      </c>
      <c r="F2155" t="s">
        <v>57</v>
      </c>
      <c r="G2155" t="s">
        <v>401</v>
      </c>
      <c r="H2155" t="s">
        <v>42</v>
      </c>
      <c r="I2155" t="s">
        <v>21</v>
      </c>
      <c r="J2155" t="s">
        <v>1727</v>
      </c>
    </row>
    <row r="2156" spans="1:10" x14ac:dyDescent="0.25">
      <c r="A2156">
        <v>27833832</v>
      </c>
      <c r="B2156" t="s">
        <v>17</v>
      </c>
      <c r="C2156" s="4">
        <v>44771.656790185189</v>
      </c>
      <c r="D2156" t="s">
        <v>1745</v>
      </c>
      <c r="E2156" t="s">
        <v>38</v>
      </c>
      <c r="F2156" t="s">
        <v>55</v>
      </c>
      <c r="G2156" t="s">
        <v>394</v>
      </c>
      <c r="H2156" t="s">
        <v>25</v>
      </c>
      <c r="I2156" t="s">
        <v>21</v>
      </c>
    </row>
    <row r="2157" spans="1:10" x14ac:dyDescent="0.25">
      <c r="A2157">
        <v>27833854</v>
      </c>
      <c r="B2157" t="s">
        <v>17</v>
      </c>
      <c r="C2157" s="4">
        <v>44771.657139282397</v>
      </c>
      <c r="D2157" t="s">
        <v>1746</v>
      </c>
      <c r="E2157" t="s">
        <v>22</v>
      </c>
      <c r="F2157" t="s">
        <v>23</v>
      </c>
      <c r="G2157" t="s">
        <v>225</v>
      </c>
      <c r="H2157" t="s">
        <v>42</v>
      </c>
      <c r="I2157" t="s">
        <v>21</v>
      </c>
      <c r="J2157" t="s">
        <v>1747</v>
      </c>
    </row>
    <row r="2158" spans="1:10" x14ac:dyDescent="0.25">
      <c r="A2158">
        <v>27833863</v>
      </c>
      <c r="B2158" t="s">
        <v>17</v>
      </c>
      <c r="C2158" s="4">
        <v>44771.65758259259</v>
      </c>
      <c r="D2158" t="s">
        <v>1748</v>
      </c>
      <c r="E2158" t="s">
        <v>22</v>
      </c>
      <c r="F2158" t="s">
        <v>52</v>
      </c>
      <c r="G2158" t="s">
        <v>328</v>
      </c>
      <c r="H2158" t="s">
        <v>40</v>
      </c>
      <c r="I2158" t="s">
        <v>21</v>
      </c>
    </row>
    <row r="2159" spans="1:10" x14ac:dyDescent="0.25">
      <c r="A2159">
        <v>27833871</v>
      </c>
      <c r="B2159" t="s">
        <v>17</v>
      </c>
      <c r="C2159" s="4">
        <v>44771.657884525463</v>
      </c>
      <c r="D2159" t="s">
        <v>1746</v>
      </c>
      <c r="E2159" t="s">
        <v>22</v>
      </c>
      <c r="F2159" t="s">
        <v>23</v>
      </c>
      <c r="G2159" t="s">
        <v>225</v>
      </c>
      <c r="H2159" t="s">
        <v>54</v>
      </c>
      <c r="I2159" t="s">
        <v>21</v>
      </c>
      <c r="J2159" t="s">
        <v>1747</v>
      </c>
    </row>
    <row r="2160" spans="1:10" x14ac:dyDescent="0.25">
      <c r="A2160">
        <v>27833884</v>
      </c>
      <c r="B2160" t="s">
        <v>17</v>
      </c>
      <c r="C2160" s="4">
        <v>44771.658206886583</v>
      </c>
      <c r="D2160" t="s">
        <v>1748</v>
      </c>
      <c r="E2160" t="s">
        <v>22</v>
      </c>
      <c r="F2160" t="s">
        <v>52</v>
      </c>
      <c r="G2160" t="s">
        <v>328</v>
      </c>
      <c r="H2160" t="s">
        <v>25</v>
      </c>
      <c r="I2160" t="s">
        <v>21</v>
      </c>
    </row>
    <row r="2161" spans="1:10" x14ac:dyDescent="0.25">
      <c r="A2161">
        <v>27833899</v>
      </c>
      <c r="B2161" t="s">
        <v>17</v>
      </c>
      <c r="C2161" s="4">
        <v>44771.658370150457</v>
      </c>
      <c r="D2161" t="s">
        <v>1731</v>
      </c>
      <c r="E2161" t="s">
        <v>27</v>
      </c>
      <c r="F2161" t="s">
        <v>18</v>
      </c>
      <c r="G2161" t="s">
        <v>273</v>
      </c>
      <c r="H2161" t="s">
        <v>40</v>
      </c>
      <c r="I2161" t="s">
        <v>21</v>
      </c>
      <c r="J2161" t="s">
        <v>1732</v>
      </c>
    </row>
    <row r="2162" spans="1:10" x14ac:dyDescent="0.25">
      <c r="A2162">
        <v>27833901</v>
      </c>
      <c r="B2162" t="s">
        <v>17</v>
      </c>
      <c r="C2162" s="4">
        <v>44771.658413055557</v>
      </c>
      <c r="D2162" t="s">
        <v>1749</v>
      </c>
      <c r="E2162" t="s">
        <v>38</v>
      </c>
      <c r="F2162" t="s">
        <v>49</v>
      </c>
      <c r="G2162" t="s">
        <v>106</v>
      </c>
      <c r="H2162" t="s">
        <v>42</v>
      </c>
      <c r="I2162" t="s">
        <v>21</v>
      </c>
      <c r="J2162" t="s">
        <v>1750</v>
      </c>
    </row>
    <row r="2163" spans="1:10" x14ac:dyDescent="0.25">
      <c r="A2163">
        <v>27833932</v>
      </c>
      <c r="B2163" t="s">
        <v>17</v>
      </c>
      <c r="C2163" s="4">
        <v>44771.658804398146</v>
      </c>
      <c r="D2163" t="s">
        <v>1731</v>
      </c>
      <c r="E2163" t="s">
        <v>27</v>
      </c>
      <c r="F2163" t="s">
        <v>18</v>
      </c>
      <c r="G2163" t="s">
        <v>273</v>
      </c>
      <c r="H2163" t="s">
        <v>25</v>
      </c>
      <c r="I2163" t="s">
        <v>21</v>
      </c>
      <c r="J2163" t="s">
        <v>1732</v>
      </c>
    </row>
    <row r="2164" spans="1:10" x14ac:dyDescent="0.25">
      <c r="A2164">
        <v>27833960</v>
      </c>
      <c r="B2164" t="s">
        <v>17</v>
      </c>
      <c r="C2164" s="4">
        <v>44771.659412349538</v>
      </c>
      <c r="D2164" t="s">
        <v>1751</v>
      </c>
      <c r="E2164" t="s">
        <v>129</v>
      </c>
      <c r="F2164" t="s">
        <v>49</v>
      </c>
      <c r="G2164" t="s">
        <v>74</v>
      </c>
      <c r="H2164" t="s">
        <v>29</v>
      </c>
      <c r="I2164" t="s">
        <v>21</v>
      </c>
      <c r="J2164" t="s">
        <v>1752</v>
      </c>
    </row>
    <row r="2165" spans="1:10" x14ac:dyDescent="0.25">
      <c r="A2165">
        <v>27833978</v>
      </c>
      <c r="B2165" t="s">
        <v>17</v>
      </c>
      <c r="C2165" s="4">
        <v>44771.659569641197</v>
      </c>
      <c r="D2165" t="s">
        <v>1753</v>
      </c>
      <c r="E2165" t="s">
        <v>38</v>
      </c>
      <c r="F2165" t="s">
        <v>52</v>
      </c>
      <c r="G2165" t="s">
        <v>100</v>
      </c>
      <c r="H2165" t="s">
        <v>42</v>
      </c>
      <c r="I2165" t="s">
        <v>21</v>
      </c>
      <c r="J2165" t="s">
        <v>1754</v>
      </c>
    </row>
    <row r="2166" spans="1:10" x14ac:dyDescent="0.25">
      <c r="A2166">
        <v>27833991</v>
      </c>
      <c r="B2166" t="s">
        <v>17</v>
      </c>
      <c r="C2166" s="4">
        <v>44771.659914768519</v>
      </c>
      <c r="D2166" t="s">
        <v>1733</v>
      </c>
      <c r="E2166" t="s">
        <v>27</v>
      </c>
      <c r="F2166" t="s">
        <v>18</v>
      </c>
      <c r="G2166" t="s">
        <v>265</v>
      </c>
      <c r="H2166" t="s">
        <v>40</v>
      </c>
      <c r="I2166" t="s">
        <v>21</v>
      </c>
      <c r="J2166" t="s">
        <v>1734</v>
      </c>
    </row>
    <row r="2167" spans="1:10" x14ac:dyDescent="0.25">
      <c r="A2167">
        <v>27834017</v>
      </c>
      <c r="B2167" t="s">
        <v>17</v>
      </c>
      <c r="C2167" s="4">
        <v>44771.660464780092</v>
      </c>
      <c r="D2167" t="s">
        <v>1733</v>
      </c>
      <c r="E2167" t="s">
        <v>27</v>
      </c>
      <c r="F2167" t="s">
        <v>18</v>
      </c>
      <c r="G2167" t="s">
        <v>265</v>
      </c>
      <c r="H2167" t="s">
        <v>25</v>
      </c>
      <c r="I2167" t="s">
        <v>21</v>
      </c>
      <c r="J2167" t="s">
        <v>1734</v>
      </c>
    </row>
    <row r="2168" spans="1:10" x14ac:dyDescent="0.25">
      <c r="A2168">
        <v>27834033</v>
      </c>
      <c r="B2168" t="s">
        <v>17</v>
      </c>
      <c r="C2168" s="4">
        <v>44771.660553946756</v>
      </c>
      <c r="D2168" t="s">
        <v>1755</v>
      </c>
      <c r="E2168" t="s">
        <v>27</v>
      </c>
      <c r="F2168" t="s">
        <v>18</v>
      </c>
      <c r="G2168" t="s">
        <v>396</v>
      </c>
      <c r="H2168" t="s">
        <v>42</v>
      </c>
      <c r="I2168" t="s">
        <v>21</v>
      </c>
      <c r="J2168" t="s">
        <v>1756</v>
      </c>
    </row>
    <row r="2169" spans="1:10" x14ac:dyDescent="0.25">
      <c r="A2169">
        <v>27834036</v>
      </c>
      <c r="B2169" t="s">
        <v>17</v>
      </c>
      <c r="C2169" s="4">
        <v>44771.660587337959</v>
      </c>
      <c r="D2169" t="s">
        <v>1755</v>
      </c>
      <c r="E2169" t="s">
        <v>27</v>
      </c>
      <c r="F2169" t="s">
        <v>18</v>
      </c>
      <c r="G2169" t="s">
        <v>396</v>
      </c>
      <c r="H2169" t="s">
        <v>54</v>
      </c>
      <c r="I2169" t="s">
        <v>21</v>
      </c>
      <c r="J2169" t="s">
        <v>1756</v>
      </c>
    </row>
    <row r="2170" spans="1:10" x14ac:dyDescent="0.25">
      <c r="A2170">
        <v>27834044</v>
      </c>
      <c r="B2170" t="s">
        <v>17</v>
      </c>
      <c r="C2170" s="4">
        <v>44771.660700208333</v>
      </c>
      <c r="D2170" t="s">
        <v>1729</v>
      </c>
      <c r="E2170" t="s">
        <v>975</v>
      </c>
      <c r="F2170" t="s">
        <v>49</v>
      </c>
      <c r="G2170" t="s">
        <v>247</v>
      </c>
      <c r="H2170" t="s">
        <v>40</v>
      </c>
      <c r="I2170" t="s">
        <v>21</v>
      </c>
      <c r="J2170" t="s">
        <v>1730</v>
      </c>
    </row>
    <row r="2171" spans="1:10" x14ac:dyDescent="0.25">
      <c r="A2171">
        <v>27834048</v>
      </c>
      <c r="B2171" t="s">
        <v>17</v>
      </c>
      <c r="C2171" s="4">
        <v>44771.660759004633</v>
      </c>
      <c r="D2171" t="s">
        <v>1757</v>
      </c>
      <c r="E2171" t="s">
        <v>62</v>
      </c>
      <c r="F2171" t="s">
        <v>18</v>
      </c>
      <c r="G2171" t="s">
        <v>183</v>
      </c>
      <c r="H2171" t="s">
        <v>29</v>
      </c>
      <c r="I2171" t="s">
        <v>21</v>
      </c>
      <c r="J2171" t="s">
        <v>1758</v>
      </c>
    </row>
    <row r="2172" spans="1:10" x14ac:dyDescent="0.25">
      <c r="A2172">
        <v>27834064</v>
      </c>
      <c r="B2172" t="s">
        <v>17</v>
      </c>
      <c r="C2172" s="4">
        <v>44771.661175138892</v>
      </c>
      <c r="F2172" t="s">
        <v>52</v>
      </c>
      <c r="G2172" t="s">
        <v>89</v>
      </c>
      <c r="H2172" t="s">
        <v>20</v>
      </c>
      <c r="I2172" t="s">
        <v>21</v>
      </c>
    </row>
    <row r="2173" spans="1:10" x14ac:dyDescent="0.25">
      <c r="A2173">
        <v>27834079</v>
      </c>
      <c r="B2173" t="s">
        <v>17</v>
      </c>
      <c r="C2173" s="4">
        <v>44771.661316655103</v>
      </c>
      <c r="D2173" t="s">
        <v>1729</v>
      </c>
      <c r="E2173" t="s">
        <v>975</v>
      </c>
      <c r="F2173" t="s">
        <v>49</v>
      </c>
      <c r="G2173" t="s">
        <v>247</v>
      </c>
      <c r="H2173" t="s">
        <v>25</v>
      </c>
      <c r="I2173" t="s">
        <v>21</v>
      </c>
      <c r="J2173" t="s">
        <v>1730</v>
      </c>
    </row>
    <row r="2174" spans="1:10" x14ac:dyDescent="0.25">
      <c r="A2174">
        <v>27834088</v>
      </c>
      <c r="B2174" t="s">
        <v>17</v>
      </c>
      <c r="C2174" s="4">
        <v>44771.661325011577</v>
      </c>
      <c r="D2174" t="s">
        <v>1759</v>
      </c>
      <c r="E2174" t="s">
        <v>129</v>
      </c>
      <c r="F2174" t="s">
        <v>18</v>
      </c>
      <c r="G2174" t="s">
        <v>28</v>
      </c>
      <c r="H2174" t="s">
        <v>29</v>
      </c>
      <c r="I2174" t="s">
        <v>21</v>
      </c>
      <c r="J2174" t="s">
        <v>1760</v>
      </c>
    </row>
    <row r="2175" spans="1:10" x14ac:dyDescent="0.25">
      <c r="A2175">
        <v>27834106</v>
      </c>
      <c r="B2175" t="s">
        <v>17</v>
      </c>
      <c r="C2175" s="4">
        <v>44771.661615983787</v>
      </c>
      <c r="D2175" t="s">
        <v>1753</v>
      </c>
      <c r="E2175" t="s">
        <v>38</v>
      </c>
      <c r="F2175" t="s">
        <v>52</v>
      </c>
      <c r="G2175" t="s">
        <v>100</v>
      </c>
      <c r="H2175" t="s">
        <v>54</v>
      </c>
      <c r="I2175" t="s">
        <v>21</v>
      </c>
      <c r="J2175" t="s">
        <v>1754</v>
      </c>
    </row>
    <row r="2176" spans="1:10" x14ac:dyDescent="0.25">
      <c r="A2176">
        <v>27834129</v>
      </c>
      <c r="B2176" t="s">
        <v>17</v>
      </c>
      <c r="C2176" s="4">
        <v>44771.662512442133</v>
      </c>
      <c r="D2176" t="s">
        <v>1739</v>
      </c>
      <c r="E2176" t="s">
        <v>27</v>
      </c>
      <c r="F2176" t="s">
        <v>18</v>
      </c>
      <c r="G2176" t="s">
        <v>377</v>
      </c>
      <c r="H2176" t="s">
        <v>54</v>
      </c>
      <c r="I2176" t="s">
        <v>21</v>
      </c>
      <c r="J2176" t="s">
        <v>1740</v>
      </c>
    </row>
    <row r="2177" spans="1:10" x14ac:dyDescent="0.25">
      <c r="A2177">
        <v>27834144</v>
      </c>
      <c r="B2177" t="s">
        <v>17</v>
      </c>
      <c r="C2177" s="4">
        <v>44771.663043749999</v>
      </c>
      <c r="D2177" t="s">
        <v>1739</v>
      </c>
      <c r="E2177" t="s">
        <v>27</v>
      </c>
      <c r="F2177" t="s">
        <v>18</v>
      </c>
      <c r="G2177" t="s">
        <v>377</v>
      </c>
      <c r="H2177" t="s">
        <v>40</v>
      </c>
      <c r="I2177" t="s">
        <v>21</v>
      </c>
      <c r="J2177" t="s">
        <v>1740</v>
      </c>
    </row>
    <row r="2178" spans="1:10" x14ac:dyDescent="0.25">
      <c r="A2178">
        <v>27834159</v>
      </c>
      <c r="B2178" t="s">
        <v>17</v>
      </c>
      <c r="C2178" s="4">
        <v>44771.663326284717</v>
      </c>
      <c r="D2178" t="s">
        <v>1743</v>
      </c>
      <c r="E2178" t="s">
        <v>129</v>
      </c>
      <c r="F2178" t="s">
        <v>49</v>
      </c>
      <c r="G2178" t="s">
        <v>250</v>
      </c>
      <c r="H2178" t="s">
        <v>54</v>
      </c>
      <c r="I2178" t="s">
        <v>21</v>
      </c>
      <c r="J2178" t="s">
        <v>1744</v>
      </c>
    </row>
    <row r="2179" spans="1:10" x14ac:dyDescent="0.25">
      <c r="A2179">
        <v>27834169</v>
      </c>
      <c r="B2179" t="s">
        <v>17</v>
      </c>
      <c r="C2179" s="4">
        <v>44771.663391643517</v>
      </c>
      <c r="D2179" t="s">
        <v>1726</v>
      </c>
      <c r="E2179" t="s">
        <v>62</v>
      </c>
      <c r="F2179" t="s">
        <v>57</v>
      </c>
      <c r="G2179" t="s">
        <v>401</v>
      </c>
      <c r="H2179" t="s">
        <v>64</v>
      </c>
      <c r="I2179" t="s">
        <v>21</v>
      </c>
      <c r="J2179" t="s">
        <v>1727</v>
      </c>
    </row>
    <row r="2180" spans="1:10" x14ac:dyDescent="0.25">
      <c r="A2180">
        <v>27834184</v>
      </c>
      <c r="B2180" t="s">
        <v>17</v>
      </c>
      <c r="C2180" s="4">
        <v>44771.663649305563</v>
      </c>
      <c r="D2180" t="s">
        <v>1739</v>
      </c>
      <c r="E2180" t="s">
        <v>27</v>
      </c>
      <c r="F2180" t="s">
        <v>18</v>
      </c>
      <c r="G2180" t="s">
        <v>377</v>
      </c>
      <c r="H2180" t="s">
        <v>25</v>
      </c>
      <c r="I2180" t="s">
        <v>21</v>
      </c>
      <c r="J2180" t="s">
        <v>1740</v>
      </c>
    </row>
    <row r="2181" spans="1:10" x14ac:dyDescent="0.25">
      <c r="A2181">
        <v>27834211</v>
      </c>
      <c r="B2181" t="s">
        <v>17</v>
      </c>
      <c r="C2181" s="4">
        <v>44771.663892256947</v>
      </c>
      <c r="D2181" t="s">
        <v>1746</v>
      </c>
      <c r="E2181" t="s">
        <v>22</v>
      </c>
      <c r="F2181" t="s">
        <v>23</v>
      </c>
      <c r="G2181" t="s">
        <v>225</v>
      </c>
      <c r="H2181" t="s">
        <v>40</v>
      </c>
      <c r="I2181" t="s">
        <v>21</v>
      </c>
      <c r="J2181" t="s">
        <v>1747</v>
      </c>
    </row>
    <row r="2182" spans="1:10" x14ac:dyDescent="0.25">
      <c r="A2182">
        <v>27834216</v>
      </c>
      <c r="B2182" t="s">
        <v>17</v>
      </c>
      <c r="C2182" s="4">
        <v>44771.66399523148</v>
      </c>
      <c r="D2182" t="s">
        <v>1735</v>
      </c>
      <c r="E2182" t="s">
        <v>254</v>
      </c>
      <c r="F2182" t="s">
        <v>57</v>
      </c>
      <c r="G2182" t="s">
        <v>419</v>
      </c>
      <c r="H2182" t="s">
        <v>40</v>
      </c>
      <c r="I2182" t="s">
        <v>21</v>
      </c>
      <c r="J2182" t="s">
        <v>1736</v>
      </c>
    </row>
    <row r="2183" spans="1:10" x14ac:dyDescent="0.25">
      <c r="A2183">
        <v>27834224</v>
      </c>
      <c r="B2183" t="s">
        <v>17</v>
      </c>
      <c r="C2183" s="4">
        <v>44771.664199560182</v>
      </c>
      <c r="D2183" t="s">
        <v>1761</v>
      </c>
      <c r="E2183" t="s">
        <v>38</v>
      </c>
      <c r="F2183" t="s">
        <v>23</v>
      </c>
      <c r="G2183" t="s">
        <v>149</v>
      </c>
      <c r="H2183" t="s">
        <v>42</v>
      </c>
      <c r="I2183" t="s">
        <v>21</v>
      </c>
      <c r="J2183" t="s">
        <v>436</v>
      </c>
    </row>
    <row r="2184" spans="1:10" x14ac:dyDescent="0.25">
      <c r="A2184">
        <v>27834229</v>
      </c>
      <c r="B2184" t="s">
        <v>17</v>
      </c>
      <c r="C2184" s="4">
        <v>44771.664247071763</v>
      </c>
      <c r="D2184" t="s">
        <v>1746</v>
      </c>
      <c r="E2184" t="s">
        <v>22</v>
      </c>
      <c r="F2184" t="s">
        <v>23</v>
      </c>
      <c r="G2184" t="s">
        <v>225</v>
      </c>
      <c r="H2184" t="s">
        <v>25</v>
      </c>
      <c r="I2184" t="s">
        <v>21</v>
      </c>
      <c r="J2184" t="s">
        <v>1747</v>
      </c>
    </row>
    <row r="2185" spans="1:10" x14ac:dyDescent="0.25">
      <c r="A2185">
        <v>27834241</v>
      </c>
      <c r="B2185" t="s">
        <v>17</v>
      </c>
      <c r="C2185" s="4">
        <v>44771.664344097233</v>
      </c>
      <c r="D2185" t="s">
        <v>1735</v>
      </c>
      <c r="E2185" t="s">
        <v>254</v>
      </c>
      <c r="F2185" t="s">
        <v>57</v>
      </c>
      <c r="G2185" t="s">
        <v>419</v>
      </c>
      <c r="H2185" t="s">
        <v>25</v>
      </c>
      <c r="I2185" t="s">
        <v>21</v>
      </c>
      <c r="J2185" t="s">
        <v>1736</v>
      </c>
    </row>
    <row r="2186" spans="1:10" x14ac:dyDescent="0.25">
      <c r="A2186">
        <v>27834264</v>
      </c>
      <c r="B2186" t="s">
        <v>17</v>
      </c>
      <c r="C2186" s="4">
        <v>44771.664834664349</v>
      </c>
      <c r="D2186" t="s">
        <v>1762</v>
      </c>
      <c r="E2186" t="s">
        <v>27</v>
      </c>
      <c r="F2186" t="s">
        <v>57</v>
      </c>
      <c r="G2186" t="s">
        <v>244</v>
      </c>
      <c r="H2186" t="s">
        <v>29</v>
      </c>
      <c r="I2186" t="s">
        <v>21</v>
      </c>
      <c r="J2186" t="s">
        <v>1763</v>
      </c>
    </row>
    <row r="2187" spans="1:10" x14ac:dyDescent="0.25">
      <c r="A2187">
        <v>27834278</v>
      </c>
      <c r="B2187" t="s">
        <v>17</v>
      </c>
      <c r="C2187" s="4">
        <v>44771.66496170139</v>
      </c>
      <c r="D2187" t="s">
        <v>1764</v>
      </c>
      <c r="E2187" t="s">
        <v>105</v>
      </c>
      <c r="F2187" t="s">
        <v>49</v>
      </c>
      <c r="G2187" t="s">
        <v>192</v>
      </c>
      <c r="H2187" t="s">
        <v>29</v>
      </c>
      <c r="I2187" t="s">
        <v>21</v>
      </c>
      <c r="J2187" t="s">
        <v>1765</v>
      </c>
    </row>
    <row r="2188" spans="1:10" x14ac:dyDescent="0.25">
      <c r="A2188">
        <v>27834290</v>
      </c>
      <c r="B2188" t="s">
        <v>17</v>
      </c>
      <c r="C2188" s="4">
        <v>44771.665062789347</v>
      </c>
      <c r="D2188" t="s">
        <v>1761</v>
      </c>
      <c r="E2188" t="s">
        <v>38</v>
      </c>
      <c r="F2188" t="s">
        <v>23</v>
      </c>
      <c r="G2188" t="s">
        <v>149</v>
      </c>
      <c r="H2188" t="s">
        <v>54</v>
      </c>
      <c r="I2188" t="s">
        <v>21</v>
      </c>
      <c r="J2188" t="s">
        <v>436</v>
      </c>
    </row>
    <row r="2189" spans="1:10" x14ac:dyDescent="0.25">
      <c r="A2189">
        <v>27834297</v>
      </c>
      <c r="B2189" t="s">
        <v>17</v>
      </c>
      <c r="C2189" s="4">
        <v>44771.665313912039</v>
      </c>
      <c r="D2189" t="s">
        <v>1749</v>
      </c>
      <c r="E2189" t="s">
        <v>38</v>
      </c>
      <c r="F2189" t="s">
        <v>49</v>
      </c>
      <c r="G2189" t="s">
        <v>106</v>
      </c>
      <c r="H2189" t="s">
        <v>54</v>
      </c>
      <c r="I2189" t="s">
        <v>21</v>
      </c>
      <c r="J2189" t="s">
        <v>1750</v>
      </c>
    </row>
    <row r="2190" spans="1:10" x14ac:dyDescent="0.25">
      <c r="A2190">
        <v>27834306</v>
      </c>
      <c r="B2190" t="s">
        <v>17</v>
      </c>
      <c r="C2190" s="4">
        <v>44771.665380543978</v>
      </c>
      <c r="D2190" t="s">
        <v>1749</v>
      </c>
      <c r="E2190" t="s">
        <v>38</v>
      </c>
      <c r="F2190" t="s">
        <v>49</v>
      </c>
      <c r="G2190" t="s">
        <v>106</v>
      </c>
      <c r="H2190" t="s">
        <v>118</v>
      </c>
      <c r="I2190" t="s">
        <v>36</v>
      </c>
      <c r="J2190" t="s">
        <v>1750</v>
      </c>
    </row>
    <row r="2191" spans="1:10" x14ac:dyDescent="0.25">
      <c r="A2191">
        <v>27834311</v>
      </c>
      <c r="B2191" t="s">
        <v>17</v>
      </c>
      <c r="C2191" s="4">
        <v>44771.665457916657</v>
      </c>
      <c r="D2191" t="s">
        <v>1749</v>
      </c>
      <c r="E2191" t="s">
        <v>38</v>
      </c>
      <c r="F2191" t="s">
        <v>49</v>
      </c>
      <c r="G2191" t="s">
        <v>106</v>
      </c>
      <c r="H2191" t="s">
        <v>35</v>
      </c>
      <c r="I2191" t="s">
        <v>36</v>
      </c>
      <c r="J2191" t="s">
        <v>1750</v>
      </c>
    </row>
    <row r="2192" spans="1:10" x14ac:dyDescent="0.25">
      <c r="A2192">
        <v>27834329</v>
      </c>
      <c r="B2192" t="s">
        <v>17</v>
      </c>
      <c r="C2192" s="4">
        <v>44771.666151458332</v>
      </c>
      <c r="D2192" t="s">
        <v>1743</v>
      </c>
      <c r="E2192" t="s">
        <v>129</v>
      </c>
      <c r="F2192" t="s">
        <v>49</v>
      </c>
      <c r="G2192" t="s">
        <v>250</v>
      </c>
      <c r="H2192" t="s">
        <v>40</v>
      </c>
      <c r="I2192" t="s">
        <v>21</v>
      </c>
      <c r="J2192" t="s">
        <v>1744</v>
      </c>
    </row>
    <row r="2193" spans="1:10" x14ac:dyDescent="0.25">
      <c r="A2193">
        <v>27834345</v>
      </c>
      <c r="B2193" t="s">
        <v>17</v>
      </c>
      <c r="C2193" s="4">
        <v>44771.666506817128</v>
      </c>
      <c r="D2193" t="s">
        <v>1766</v>
      </c>
      <c r="E2193" t="s">
        <v>48</v>
      </c>
      <c r="F2193" t="s">
        <v>49</v>
      </c>
      <c r="G2193" t="s">
        <v>359</v>
      </c>
      <c r="H2193" t="s">
        <v>29</v>
      </c>
      <c r="I2193" t="s">
        <v>21</v>
      </c>
      <c r="J2193" t="s">
        <v>393</v>
      </c>
    </row>
    <row r="2194" spans="1:10" x14ac:dyDescent="0.25">
      <c r="A2194">
        <v>27834352</v>
      </c>
      <c r="B2194" t="s">
        <v>17</v>
      </c>
      <c r="C2194" s="4">
        <v>44771.666572418981</v>
      </c>
      <c r="D2194" t="s">
        <v>1767</v>
      </c>
      <c r="E2194" t="s">
        <v>129</v>
      </c>
      <c r="F2194" t="s">
        <v>49</v>
      </c>
      <c r="G2194" t="s">
        <v>359</v>
      </c>
      <c r="H2194" t="s">
        <v>42</v>
      </c>
      <c r="I2194" t="s">
        <v>21</v>
      </c>
      <c r="J2194" t="s">
        <v>1768</v>
      </c>
    </row>
    <row r="2195" spans="1:10" x14ac:dyDescent="0.25">
      <c r="A2195">
        <v>27834365</v>
      </c>
      <c r="B2195" t="s">
        <v>17</v>
      </c>
      <c r="C2195" s="4">
        <v>44771.666728032411</v>
      </c>
      <c r="D2195" t="s">
        <v>1743</v>
      </c>
      <c r="E2195" t="s">
        <v>129</v>
      </c>
      <c r="F2195" t="s">
        <v>49</v>
      </c>
      <c r="G2195" t="s">
        <v>250</v>
      </c>
      <c r="H2195" t="s">
        <v>25</v>
      </c>
      <c r="I2195" t="s">
        <v>21</v>
      </c>
      <c r="J2195" t="s">
        <v>1744</v>
      </c>
    </row>
    <row r="2196" spans="1:10" x14ac:dyDescent="0.25">
      <c r="A2196">
        <v>27834386</v>
      </c>
      <c r="B2196" t="s">
        <v>17</v>
      </c>
      <c r="C2196" s="4">
        <v>44771.66706699074</v>
      </c>
      <c r="D2196" t="s">
        <v>1753</v>
      </c>
      <c r="E2196" t="s">
        <v>38</v>
      </c>
      <c r="F2196" t="s">
        <v>52</v>
      </c>
      <c r="G2196" t="s">
        <v>100</v>
      </c>
      <c r="H2196" t="s">
        <v>40</v>
      </c>
      <c r="I2196" t="s">
        <v>21</v>
      </c>
      <c r="J2196" t="s">
        <v>1754</v>
      </c>
    </row>
    <row r="2197" spans="1:10" x14ac:dyDescent="0.25">
      <c r="A2197">
        <v>27834395</v>
      </c>
      <c r="B2197" t="s">
        <v>17</v>
      </c>
      <c r="C2197" s="4">
        <v>44771.667424803243</v>
      </c>
      <c r="D2197" t="s">
        <v>1753</v>
      </c>
      <c r="E2197" t="s">
        <v>38</v>
      </c>
      <c r="F2197" t="s">
        <v>52</v>
      </c>
      <c r="G2197" t="s">
        <v>100</v>
      </c>
      <c r="H2197" t="s">
        <v>25</v>
      </c>
      <c r="I2197" t="s">
        <v>21</v>
      </c>
      <c r="J2197" t="s">
        <v>1754</v>
      </c>
    </row>
    <row r="2198" spans="1:10" x14ac:dyDescent="0.25">
      <c r="A2198">
        <v>27834420</v>
      </c>
      <c r="B2198" t="s">
        <v>17</v>
      </c>
      <c r="C2198" s="4">
        <v>44771.667787615741</v>
      </c>
      <c r="D2198" t="s">
        <v>1769</v>
      </c>
      <c r="E2198" t="s">
        <v>22</v>
      </c>
      <c r="F2198" t="s">
        <v>23</v>
      </c>
      <c r="G2198" t="s">
        <v>98</v>
      </c>
      <c r="H2198" t="s">
        <v>42</v>
      </c>
      <c r="I2198" t="s">
        <v>21</v>
      </c>
      <c r="J2198" t="s">
        <v>1770</v>
      </c>
    </row>
    <row r="2199" spans="1:10" x14ac:dyDescent="0.25">
      <c r="A2199">
        <v>27834430</v>
      </c>
      <c r="B2199" t="s">
        <v>17</v>
      </c>
      <c r="C2199" s="4">
        <v>44771.668057280091</v>
      </c>
      <c r="D2199" t="s">
        <v>1771</v>
      </c>
      <c r="E2199" t="s">
        <v>129</v>
      </c>
      <c r="F2199" t="s">
        <v>49</v>
      </c>
      <c r="G2199" t="s">
        <v>250</v>
      </c>
      <c r="H2199" t="s">
        <v>155</v>
      </c>
      <c r="I2199" t="s">
        <v>21</v>
      </c>
    </row>
    <row r="2200" spans="1:10" x14ac:dyDescent="0.25">
      <c r="A2200">
        <v>27834438</v>
      </c>
      <c r="B2200" t="s">
        <v>17</v>
      </c>
      <c r="C2200" s="4">
        <v>44771.668095659719</v>
      </c>
      <c r="D2200" t="s">
        <v>1749</v>
      </c>
      <c r="E2200" t="s">
        <v>38</v>
      </c>
      <c r="F2200" t="s">
        <v>49</v>
      </c>
      <c r="G2200" t="s">
        <v>106</v>
      </c>
      <c r="H2200" t="s">
        <v>40</v>
      </c>
      <c r="I2200" t="s">
        <v>21</v>
      </c>
      <c r="J2200" t="s">
        <v>1750</v>
      </c>
    </row>
    <row r="2201" spans="1:10" x14ac:dyDescent="0.25">
      <c r="A2201">
        <v>27834447</v>
      </c>
      <c r="B2201" t="s">
        <v>17</v>
      </c>
      <c r="C2201" s="4">
        <v>44771.668243611108</v>
      </c>
      <c r="F2201" t="s">
        <v>49</v>
      </c>
      <c r="G2201" t="s">
        <v>250</v>
      </c>
      <c r="H2201" t="s">
        <v>156</v>
      </c>
      <c r="I2201" t="s">
        <v>21</v>
      </c>
    </row>
    <row r="2202" spans="1:10" x14ac:dyDescent="0.25">
      <c r="A2202">
        <v>27834460</v>
      </c>
      <c r="B2202" t="s">
        <v>17</v>
      </c>
      <c r="C2202" s="4">
        <v>44771.668548506947</v>
      </c>
      <c r="D2202" t="s">
        <v>1769</v>
      </c>
      <c r="E2202" t="s">
        <v>22</v>
      </c>
      <c r="F2202" t="s">
        <v>23</v>
      </c>
      <c r="G2202" t="s">
        <v>98</v>
      </c>
      <c r="H2202" t="s">
        <v>54</v>
      </c>
      <c r="I2202" t="s">
        <v>21</v>
      </c>
      <c r="J2202" t="s">
        <v>1770</v>
      </c>
    </row>
    <row r="2203" spans="1:10" x14ac:dyDescent="0.25">
      <c r="A2203">
        <v>27834478</v>
      </c>
      <c r="B2203" t="s">
        <v>17</v>
      </c>
      <c r="C2203" s="4">
        <v>44771.668912233799</v>
      </c>
      <c r="D2203" t="s">
        <v>1749</v>
      </c>
      <c r="E2203" t="s">
        <v>38</v>
      </c>
      <c r="F2203" t="s">
        <v>49</v>
      </c>
      <c r="G2203" t="s">
        <v>106</v>
      </c>
      <c r="H2203" t="s">
        <v>25</v>
      </c>
      <c r="I2203" t="s">
        <v>21</v>
      </c>
      <c r="J2203" t="s">
        <v>1750</v>
      </c>
    </row>
    <row r="2204" spans="1:10" x14ac:dyDescent="0.25">
      <c r="A2204">
        <v>27834498</v>
      </c>
      <c r="B2204" t="s">
        <v>17</v>
      </c>
      <c r="C2204" s="4">
        <v>44771.669358298612</v>
      </c>
      <c r="D2204" t="s">
        <v>1755</v>
      </c>
      <c r="E2204" t="s">
        <v>27</v>
      </c>
      <c r="F2204" t="s">
        <v>18</v>
      </c>
      <c r="G2204" t="s">
        <v>396</v>
      </c>
      <c r="H2204" t="s">
        <v>40</v>
      </c>
      <c r="I2204" t="s">
        <v>21</v>
      </c>
      <c r="J2204" t="s">
        <v>1756</v>
      </c>
    </row>
    <row r="2205" spans="1:10" x14ac:dyDescent="0.25">
      <c r="A2205">
        <v>27834513</v>
      </c>
      <c r="B2205" t="s">
        <v>17</v>
      </c>
      <c r="C2205" s="4">
        <v>44771.669657025457</v>
      </c>
      <c r="D2205" t="s">
        <v>1772</v>
      </c>
      <c r="E2205" t="s">
        <v>27</v>
      </c>
      <c r="F2205" t="s">
        <v>18</v>
      </c>
      <c r="G2205" t="s">
        <v>226</v>
      </c>
      <c r="H2205" t="s">
        <v>29</v>
      </c>
      <c r="I2205" t="s">
        <v>21</v>
      </c>
      <c r="J2205" t="s">
        <v>1773</v>
      </c>
    </row>
    <row r="2206" spans="1:10" x14ac:dyDescent="0.25">
      <c r="A2206">
        <v>27834530</v>
      </c>
      <c r="B2206" t="s">
        <v>17</v>
      </c>
      <c r="C2206" s="4">
        <v>44771.669972187497</v>
      </c>
      <c r="D2206" t="s">
        <v>1755</v>
      </c>
      <c r="E2206" t="s">
        <v>27</v>
      </c>
      <c r="F2206" t="s">
        <v>18</v>
      </c>
      <c r="G2206" t="s">
        <v>396</v>
      </c>
      <c r="H2206" t="s">
        <v>25</v>
      </c>
      <c r="I2206" t="s">
        <v>21</v>
      </c>
      <c r="J2206" t="s">
        <v>1756</v>
      </c>
    </row>
    <row r="2207" spans="1:10" x14ac:dyDescent="0.25">
      <c r="A2207">
        <v>27834546</v>
      </c>
      <c r="B2207" t="s">
        <v>17</v>
      </c>
      <c r="C2207" s="4">
        <v>44771.670044814811</v>
      </c>
      <c r="D2207" t="s">
        <v>1774</v>
      </c>
      <c r="E2207" t="s">
        <v>430</v>
      </c>
      <c r="F2207" t="s">
        <v>18</v>
      </c>
      <c r="G2207" t="s">
        <v>154</v>
      </c>
      <c r="H2207" t="s">
        <v>42</v>
      </c>
      <c r="I2207" t="s">
        <v>21</v>
      </c>
      <c r="J2207" t="s">
        <v>1775</v>
      </c>
    </row>
    <row r="2208" spans="1:10" x14ac:dyDescent="0.25">
      <c r="A2208">
        <v>27834558</v>
      </c>
      <c r="B2208" t="s">
        <v>17</v>
      </c>
      <c r="C2208" s="4">
        <v>44771.670419745373</v>
      </c>
      <c r="D2208" t="s">
        <v>1776</v>
      </c>
      <c r="E2208" t="s">
        <v>22</v>
      </c>
      <c r="F2208" t="s">
        <v>52</v>
      </c>
      <c r="G2208" t="s">
        <v>89</v>
      </c>
      <c r="H2208" t="s">
        <v>40</v>
      </c>
      <c r="I2208" t="s">
        <v>21</v>
      </c>
      <c r="J2208" t="s">
        <v>1777</v>
      </c>
    </row>
    <row r="2209" spans="1:10" x14ac:dyDescent="0.25">
      <c r="A2209">
        <v>27834568</v>
      </c>
      <c r="B2209" t="s">
        <v>17</v>
      </c>
      <c r="C2209" s="4">
        <v>44771.670959374998</v>
      </c>
      <c r="D2209" t="s">
        <v>1761</v>
      </c>
      <c r="E2209" t="s">
        <v>38</v>
      </c>
      <c r="F2209" t="s">
        <v>23</v>
      </c>
      <c r="G2209" t="s">
        <v>149</v>
      </c>
      <c r="H2209" t="s">
        <v>40</v>
      </c>
      <c r="I2209" t="s">
        <v>21</v>
      </c>
      <c r="J2209" t="s">
        <v>436</v>
      </c>
    </row>
    <row r="2210" spans="1:10" x14ac:dyDescent="0.25">
      <c r="A2210">
        <v>27834581</v>
      </c>
      <c r="B2210" t="s">
        <v>17</v>
      </c>
      <c r="C2210" s="4">
        <v>44771.671323125003</v>
      </c>
      <c r="D2210" t="s">
        <v>1774</v>
      </c>
      <c r="E2210" t="s">
        <v>430</v>
      </c>
      <c r="F2210" t="s">
        <v>18</v>
      </c>
      <c r="G2210" t="s">
        <v>154</v>
      </c>
      <c r="H2210" t="s">
        <v>54</v>
      </c>
      <c r="I2210" t="s">
        <v>21</v>
      </c>
      <c r="J2210" t="s">
        <v>1775</v>
      </c>
    </row>
    <row r="2211" spans="1:10" x14ac:dyDescent="0.25">
      <c r="A2211">
        <v>27834587</v>
      </c>
      <c r="B2211" t="s">
        <v>17</v>
      </c>
      <c r="C2211" s="4">
        <v>44771.671393055563</v>
      </c>
      <c r="D2211" t="s">
        <v>1776</v>
      </c>
      <c r="E2211" t="s">
        <v>22</v>
      </c>
      <c r="F2211" t="s">
        <v>52</v>
      </c>
      <c r="G2211" t="s">
        <v>89</v>
      </c>
      <c r="H2211" t="s">
        <v>25</v>
      </c>
      <c r="I2211" t="s">
        <v>21</v>
      </c>
      <c r="J2211" t="s">
        <v>1777</v>
      </c>
    </row>
    <row r="2212" spans="1:10" x14ac:dyDescent="0.25">
      <c r="A2212">
        <v>27834592</v>
      </c>
      <c r="B2212" t="s">
        <v>17</v>
      </c>
      <c r="C2212" s="4">
        <v>44771.671410682873</v>
      </c>
      <c r="D2212" t="s">
        <v>1774</v>
      </c>
      <c r="E2212" t="s">
        <v>430</v>
      </c>
      <c r="F2212" t="s">
        <v>18</v>
      </c>
      <c r="G2212" t="s">
        <v>154</v>
      </c>
      <c r="H2212" t="s">
        <v>118</v>
      </c>
      <c r="I2212" t="s">
        <v>36</v>
      </c>
      <c r="J2212" t="s">
        <v>1775</v>
      </c>
    </row>
    <row r="2213" spans="1:10" x14ac:dyDescent="0.25">
      <c r="A2213">
        <v>27834598</v>
      </c>
      <c r="B2213" t="s">
        <v>17</v>
      </c>
      <c r="C2213" s="4">
        <v>44771.67142979167</v>
      </c>
      <c r="D2213" t="s">
        <v>1761</v>
      </c>
      <c r="E2213" t="s">
        <v>38</v>
      </c>
      <c r="F2213" t="s">
        <v>23</v>
      </c>
      <c r="G2213" t="s">
        <v>149</v>
      </c>
      <c r="H2213" t="s">
        <v>25</v>
      </c>
      <c r="I2213" t="s">
        <v>21</v>
      </c>
      <c r="J2213" t="s">
        <v>436</v>
      </c>
    </row>
    <row r="2214" spans="1:10" x14ac:dyDescent="0.25">
      <c r="A2214">
        <v>27834634</v>
      </c>
      <c r="B2214" t="s">
        <v>17</v>
      </c>
      <c r="C2214" s="4">
        <v>44771.671954398153</v>
      </c>
      <c r="D2214" t="s">
        <v>1778</v>
      </c>
      <c r="E2214" t="s">
        <v>38</v>
      </c>
      <c r="F2214" t="s">
        <v>23</v>
      </c>
      <c r="G2214" t="s">
        <v>51</v>
      </c>
      <c r="H2214" t="s">
        <v>42</v>
      </c>
      <c r="I2214" t="s">
        <v>21</v>
      </c>
      <c r="J2214" t="s">
        <v>1779</v>
      </c>
    </row>
    <row r="2215" spans="1:10" x14ac:dyDescent="0.25">
      <c r="A2215">
        <v>27834644</v>
      </c>
      <c r="B2215" t="s">
        <v>17</v>
      </c>
      <c r="C2215" s="4">
        <v>44771.672064328697</v>
      </c>
      <c r="D2215" t="s">
        <v>1780</v>
      </c>
      <c r="E2215" t="s">
        <v>371</v>
      </c>
      <c r="F2215" t="s">
        <v>49</v>
      </c>
      <c r="G2215" t="s">
        <v>146</v>
      </c>
      <c r="H2215" t="s">
        <v>29</v>
      </c>
      <c r="I2215" t="s">
        <v>21</v>
      </c>
      <c r="J2215" t="s">
        <v>1781</v>
      </c>
    </row>
    <row r="2216" spans="1:10" x14ac:dyDescent="0.25">
      <c r="A2216">
        <v>27834654</v>
      </c>
      <c r="B2216" t="s">
        <v>17</v>
      </c>
      <c r="C2216" s="4">
        <v>44771.672212453697</v>
      </c>
      <c r="D2216" t="s">
        <v>1782</v>
      </c>
      <c r="E2216" t="s">
        <v>72</v>
      </c>
      <c r="F2216" t="s">
        <v>49</v>
      </c>
      <c r="G2216" t="s">
        <v>359</v>
      </c>
      <c r="H2216" t="s">
        <v>29</v>
      </c>
      <c r="I2216" t="s">
        <v>21</v>
      </c>
      <c r="J2216" t="s">
        <v>1783</v>
      </c>
    </row>
    <row r="2217" spans="1:10" x14ac:dyDescent="0.25">
      <c r="A2217">
        <v>27834671</v>
      </c>
      <c r="B2217" t="s">
        <v>17</v>
      </c>
      <c r="C2217" s="4">
        <v>44771.672525810187</v>
      </c>
      <c r="D2217" t="s">
        <v>1767</v>
      </c>
      <c r="E2217" t="s">
        <v>129</v>
      </c>
      <c r="F2217" t="s">
        <v>49</v>
      </c>
      <c r="G2217" t="s">
        <v>359</v>
      </c>
      <c r="H2217" t="s">
        <v>239</v>
      </c>
      <c r="I2217" t="s">
        <v>21</v>
      </c>
      <c r="J2217" t="s">
        <v>1768</v>
      </c>
    </row>
    <row r="2218" spans="1:10" x14ac:dyDescent="0.25">
      <c r="A2218">
        <v>27834672</v>
      </c>
      <c r="B2218" t="s">
        <v>17</v>
      </c>
      <c r="C2218" s="4">
        <v>44771.67253747685</v>
      </c>
      <c r="D2218" t="s">
        <v>1767</v>
      </c>
      <c r="E2218" t="s">
        <v>129</v>
      </c>
      <c r="F2218" t="s">
        <v>49</v>
      </c>
      <c r="G2218" t="s">
        <v>359</v>
      </c>
      <c r="H2218" t="s">
        <v>240</v>
      </c>
      <c r="I2218" t="s">
        <v>21</v>
      </c>
      <c r="J2218" t="s">
        <v>1768</v>
      </c>
    </row>
    <row r="2219" spans="1:10" x14ac:dyDescent="0.25">
      <c r="A2219">
        <v>27834682</v>
      </c>
      <c r="B2219" t="s">
        <v>17</v>
      </c>
      <c r="C2219" s="4">
        <v>44771.672761469898</v>
      </c>
      <c r="D2219" t="s">
        <v>1774</v>
      </c>
      <c r="E2219" t="s">
        <v>430</v>
      </c>
      <c r="F2219" t="s">
        <v>18</v>
      </c>
      <c r="G2219" t="s">
        <v>154</v>
      </c>
      <c r="H2219" t="s">
        <v>35</v>
      </c>
      <c r="I2219" t="s">
        <v>36</v>
      </c>
      <c r="J2219" t="s">
        <v>1775</v>
      </c>
    </row>
    <row r="2220" spans="1:10" x14ac:dyDescent="0.25">
      <c r="A2220">
        <v>27834694</v>
      </c>
      <c r="B2220" t="s">
        <v>17</v>
      </c>
      <c r="C2220" s="4">
        <v>44771.672943912039</v>
      </c>
      <c r="D2220" t="s">
        <v>1784</v>
      </c>
      <c r="E2220" t="s">
        <v>62</v>
      </c>
      <c r="F2220" t="s">
        <v>57</v>
      </c>
      <c r="G2220" t="s">
        <v>286</v>
      </c>
      <c r="H2220" t="s">
        <v>42</v>
      </c>
      <c r="I2220" t="s">
        <v>21</v>
      </c>
      <c r="J2220" t="s">
        <v>1785</v>
      </c>
    </row>
    <row r="2221" spans="1:10" x14ac:dyDescent="0.25">
      <c r="A2221">
        <v>27834697</v>
      </c>
      <c r="B2221" t="s">
        <v>17</v>
      </c>
      <c r="C2221" s="4">
        <v>44771.672976747694</v>
      </c>
      <c r="F2221" t="s">
        <v>33</v>
      </c>
      <c r="G2221" t="s">
        <v>425</v>
      </c>
      <c r="H2221" t="s">
        <v>81</v>
      </c>
      <c r="I2221" t="s">
        <v>21</v>
      </c>
      <c r="J2221" t="s">
        <v>353</v>
      </c>
    </row>
    <row r="2222" spans="1:10" x14ac:dyDescent="0.25">
      <c r="A2222">
        <v>27834720</v>
      </c>
      <c r="B2222" t="s">
        <v>17</v>
      </c>
      <c r="C2222" s="4">
        <v>44771.673734189812</v>
      </c>
      <c r="F2222" t="s">
        <v>33</v>
      </c>
      <c r="G2222" t="s">
        <v>425</v>
      </c>
      <c r="H2222" t="s">
        <v>93</v>
      </c>
      <c r="I2222" t="s">
        <v>21</v>
      </c>
    </row>
    <row r="2223" spans="1:10" x14ac:dyDescent="0.25">
      <c r="A2223">
        <v>27834724</v>
      </c>
      <c r="B2223" t="s">
        <v>17</v>
      </c>
      <c r="C2223" s="4">
        <v>44771.673796921299</v>
      </c>
      <c r="F2223" t="s">
        <v>33</v>
      </c>
      <c r="G2223" t="s">
        <v>425</v>
      </c>
      <c r="H2223" t="s">
        <v>67</v>
      </c>
      <c r="I2223" t="s">
        <v>21</v>
      </c>
    </row>
    <row r="2224" spans="1:10" x14ac:dyDescent="0.25">
      <c r="A2224">
        <v>27834752</v>
      </c>
      <c r="B2224" t="s">
        <v>17</v>
      </c>
      <c r="C2224" s="4">
        <v>44771.674564247682</v>
      </c>
      <c r="F2224" t="s">
        <v>55</v>
      </c>
      <c r="G2224" t="s">
        <v>167</v>
      </c>
      <c r="H2224" t="s">
        <v>20</v>
      </c>
      <c r="I2224" t="s">
        <v>21</v>
      </c>
    </row>
    <row r="2225" spans="1:10" x14ac:dyDescent="0.25">
      <c r="A2225">
        <v>27834760</v>
      </c>
      <c r="B2225" t="s">
        <v>17</v>
      </c>
      <c r="C2225" s="4">
        <v>44771.674763310177</v>
      </c>
      <c r="D2225" t="s">
        <v>1769</v>
      </c>
      <c r="E2225" t="s">
        <v>22</v>
      </c>
      <c r="F2225" t="s">
        <v>23</v>
      </c>
      <c r="G2225" t="s">
        <v>98</v>
      </c>
      <c r="H2225" t="s">
        <v>40</v>
      </c>
      <c r="I2225" t="s">
        <v>21</v>
      </c>
      <c r="J2225" t="s">
        <v>1770</v>
      </c>
    </row>
    <row r="2226" spans="1:10" x14ac:dyDescent="0.25">
      <c r="A2226">
        <v>27834771</v>
      </c>
      <c r="B2226" t="s">
        <v>17</v>
      </c>
      <c r="C2226" s="4">
        <v>44771.675328368059</v>
      </c>
      <c r="D2226" t="s">
        <v>1767</v>
      </c>
      <c r="E2226" t="s">
        <v>129</v>
      </c>
      <c r="F2226" t="s">
        <v>49</v>
      </c>
      <c r="G2226" t="s">
        <v>359</v>
      </c>
      <c r="H2226" t="s">
        <v>40</v>
      </c>
      <c r="I2226" t="s">
        <v>21</v>
      </c>
      <c r="J2226" t="s">
        <v>1768</v>
      </c>
    </row>
    <row r="2227" spans="1:10" x14ac:dyDescent="0.25">
      <c r="A2227">
        <v>27834773</v>
      </c>
      <c r="B2227" t="s">
        <v>17</v>
      </c>
      <c r="C2227" s="4">
        <v>44771.675350937498</v>
      </c>
      <c r="D2227" t="s">
        <v>1769</v>
      </c>
      <c r="E2227" t="s">
        <v>22</v>
      </c>
      <c r="F2227" t="s">
        <v>23</v>
      </c>
      <c r="G2227" t="s">
        <v>98</v>
      </c>
      <c r="H2227" t="s">
        <v>25</v>
      </c>
      <c r="I2227" t="s">
        <v>21</v>
      </c>
      <c r="J2227" t="s">
        <v>1770</v>
      </c>
    </row>
    <row r="2228" spans="1:10" x14ac:dyDescent="0.25">
      <c r="A2228">
        <v>27834805</v>
      </c>
      <c r="B2228" t="s">
        <v>17</v>
      </c>
      <c r="C2228" s="4">
        <v>44771.676094664363</v>
      </c>
      <c r="D2228" t="s">
        <v>1767</v>
      </c>
      <c r="E2228" t="s">
        <v>129</v>
      </c>
      <c r="F2228" t="s">
        <v>49</v>
      </c>
      <c r="G2228" t="s">
        <v>359</v>
      </c>
      <c r="H2228" t="s">
        <v>25</v>
      </c>
      <c r="I2228" t="s">
        <v>21</v>
      </c>
      <c r="J2228" t="s">
        <v>1768</v>
      </c>
    </row>
    <row r="2229" spans="1:10" x14ac:dyDescent="0.25">
      <c r="A2229">
        <v>27834817</v>
      </c>
      <c r="B2229" t="s">
        <v>17</v>
      </c>
      <c r="C2229" s="4">
        <v>44771.676206469907</v>
      </c>
      <c r="F2229" t="s">
        <v>33</v>
      </c>
      <c r="G2229" t="s">
        <v>425</v>
      </c>
      <c r="H2229" t="s">
        <v>68</v>
      </c>
      <c r="I2229" t="s">
        <v>21</v>
      </c>
    </row>
    <row r="2230" spans="1:10" x14ac:dyDescent="0.25">
      <c r="A2230">
        <v>27834837</v>
      </c>
      <c r="B2230" t="s">
        <v>17</v>
      </c>
      <c r="C2230" s="4">
        <v>44771.676758020832</v>
      </c>
      <c r="D2230" t="s">
        <v>1786</v>
      </c>
      <c r="E2230" t="s">
        <v>349</v>
      </c>
      <c r="F2230" t="s">
        <v>49</v>
      </c>
      <c r="G2230" t="s">
        <v>201</v>
      </c>
      <c r="H2230" t="s">
        <v>42</v>
      </c>
      <c r="I2230" t="s">
        <v>21</v>
      </c>
      <c r="J2230" t="s">
        <v>1787</v>
      </c>
    </row>
    <row r="2231" spans="1:10" x14ac:dyDescent="0.25">
      <c r="A2231">
        <v>27834839</v>
      </c>
      <c r="B2231" t="s">
        <v>17</v>
      </c>
      <c r="C2231" s="4">
        <v>44771.676758287038</v>
      </c>
      <c r="D2231" t="s">
        <v>1788</v>
      </c>
      <c r="E2231" t="s">
        <v>27</v>
      </c>
      <c r="F2231" t="s">
        <v>18</v>
      </c>
      <c r="G2231" t="s">
        <v>183</v>
      </c>
      <c r="H2231" t="s">
        <v>42</v>
      </c>
      <c r="I2231" t="s">
        <v>21</v>
      </c>
      <c r="J2231" t="s">
        <v>1789</v>
      </c>
    </row>
    <row r="2232" spans="1:10" x14ac:dyDescent="0.25">
      <c r="A2232">
        <v>27834849</v>
      </c>
      <c r="B2232" t="s">
        <v>17</v>
      </c>
      <c r="C2232" s="4">
        <v>44771.676860497682</v>
      </c>
      <c r="D2232" t="s">
        <v>1784</v>
      </c>
      <c r="E2232" t="s">
        <v>62</v>
      </c>
      <c r="F2232" t="s">
        <v>57</v>
      </c>
      <c r="G2232" t="s">
        <v>286</v>
      </c>
      <c r="H2232" t="s">
        <v>54</v>
      </c>
      <c r="I2232" t="s">
        <v>21</v>
      </c>
      <c r="J2232" t="s">
        <v>1785</v>
      </c>
    </row>
    <row r="2233" spans="1:10" x14ac:dyDescent="0.25">
      <c r="A2233">
        <v>27834859</v>
      </c>
      <c r="B2233" t="s">
        <v>17</v>
      </c>
      <c r="C2233" s="4">
        <v>44771.676992152781</v>
      </c>
      <c r="D2233" t="s">
        <v>1778</v>
      </c>
      <c r="E2233" t="s">
        <v>38</v>
      </c>
      <c r="F2233" t="s">
        <v>23</v>
      </c>
      <c r="G2233" t="s">
        <v>51</v>
      </c>
      <c r="H2233" t="s">
        <v>54</v>
      </c>
      <c r="I2233" t="s">
        <v>21</v>
      </c>
      <c r="J2233" t="s">
        <v>1779</v>
      </c>
    </row>
    <row r="2234" spans="1:10" x14ac:dyDescent="0.25">
      <c r="A2234">
        <v>27834893</v>
      </c>
      <c r="B2234" t="s">
        <v>17</v>
      </c>
      <c r="C2234" s="4">
        <v>44771.677393923608</v>
      </c>
      <c r="D2234" t="s">
        <v>1788</v>
      </c>
      <c r="E2234" t="s">
        <v>27</v>
      </c>
      <c r="F2234" t="s">
        <v>18</v>
      </c>
      <c r="G2234" t="s">
        <v>183</v>
      </c>
      <c r="H2234" t="s">
        <v>54</v>
      </c>
      <c r="I2234" t="s">
        <v>21</v>
      </c>
      <c r="J2234" t="s">
        <v>1789</v>
      </c>
    </row>
    <row r="2235" spans="1:10" x14ac:dyDescent="0.25">
      <c r="A2235">
        <v>27834895</v>
      </c>
      <c r="B2235" t="s">
        <v>17</v>
      </c>
      <c r="C2235" s="4">
        <v>44771.677422777779</v>
      </c>
      <c r="D2235" t="s">
        <v>1790</v>
      </c>
      <c r="E2235" t="s">
        <v>38</v>
      </c>
      <c r="F2235" t="s">
        <v>23</v>
      </c>
      <c r="G2235" t="s">
        <v>337</v>
      </c>
      <c r="H2235" t="s">
        <v>29</v>
      </c>
      <c r="I2235" t="s">
        <v>21</v>
      </c>
    </row>
    <row r="2236" spans="1:10" x14ac:dyDescent="0.25">
      <c r="A2236">
        <v>27834907</v>
      </c>
      <c r="B2236" t="s">
        <v>17</v>
      </c>
      <c r="C2236" s="4">
        <v>44771.677536030089</v>
      </c>
      <c r="D2236" t="s">
        <v>1778</v>
      </c>
      <c r="E2236" t="s">
        <v>38</v>
      </c>
      <c r="F2236" t="s">
        <v>23</v>
      </c>
      <c r="G2236" t="s">
        <v>51</v>
      </c>
      <c r="H2236" t="s">
        <v>40</v>
      </c>
      <c r="I2236" t="s">
        <v>21</v>
      </c>
      <c r="J2236" t="s">
        <v>1779</v>
      </c>
    </row>
    <row r="2237" spans="1:10" x14ac:dyDescent="0.25">
      <c r="A2237">
        <v>27834909</v>
      </c>
      <c r="B2237" t="s">
        <v>17</v>
      </c>
      <c r="C2237" s="4">
        <v>44771.677648101853</v>
      </c>
      <c r="D2237" t="s">
        <v>1786</v>
      </c>
      <c r="E2237" t="s">
        <v>349</v>
      </c>
      <c r="F2237" t="s">
        <v>49</v>
      </c>
      <c r="G2237" t="s">
        <v>201</v>
      </c>
      <c r="H2237" t="s">
        <v>54</v>
      </c>
      <c r="I2237" t="s">
        <v>21</v>
      </c>
      <c r="J2237" t="s">
        <v>1787</v>
      </c>
    </row>
    <row r="2238" spans="1:10" x14ac:dyDescent="0.25">
      <c r="A2238">
        <v>27834914</v>
      </c>
      <c r="B2238" t="s">
        <v>17</v>
      </c>
      <c r="C2238" s="4">
        <v>44771.677834490743</v>
      </c>
      <c r="D2238" t="s">
        <v>1774</v>
      </c>
      <c r="E2238" t="s">
        <v>430</v>
      </c>
      <c r="F2238" t="s">
        <v>18</v>
      </c>
      <c r="G2238" t="s">
        <v>154</v>
      </c>
      <c r="H2238" t="s">
        <v>40</v>
      </c>
      <c r="I2238" t="s">
        <v>21</v>
      </c>
      <c r="J2238" t="s">
        <v>1775</v>
      </c>
    </row>
    <row r="2239" spans="1:10" x14ac:dyDescent="0.25">
      <c r="A2239">
        <v>27834922</v>
      </c>
      <c r="B2239" t="s">
        <v>17</v>
      </c>
      <c r="C2239" s="4">
        <v>44771.678017453713</v>
      </c>
      <c r="D2239" t="s">
        <v>1778</v>
      </c>
      <c r="E2239" t="s">
        <v>38</v>
      </c>
      <c r="F2239" t="s">
        <v>23</v>
      </c>
      <c r="G2239" t="s">
        <v>51</v>
      </c>
      <c r="H2239" t="s">
        <v>25</v>
      </c>
      <c r="I2239" t="s">
        <v>21</v>
      </c>
      <c r="J2239" t="s">
        <v>1779</v>
      </c>
    </row>
    <row r="2240" spans="1:10" x14ac:dyDescent="0.25">
      <c r="A2240">
        <v>27834944</v>
      </c>
      <c r="B2240" t="s">
        <v>17</v>
      </c>
      <c r="C2240" s="4">
        <v>44771.67847190972</v>
      </c>
      <c r="D2240" t="s">
        <v>1774</v>
      </c>
      <c r="E2240" t="s">
        <v>430</v>
      </c>
      <c r="F2240" t="s">
        <v>18</v>
      </c>
      <c r="G2240" t="s">
        <v>154</v>
      </c>
      <c r="H2240" t="s">
        <v>25</v>
      </c>
      <c r="I2240" t="s">
        <v>21</v>
      </c>
      <c r="J2240" t="s">
        <v>1775</v>
      </c>
    </row>
    <row r="2241" spans="1:10" x14ac:dyDescent="0.25">
      <c r="A2241">
        <v>27834975</v>
      </c>
      <c r="B2241" t="s">
        <v>17</v>
      </c>
      <c r="C2241" s="4">
        <v>44771.678887546303</v>
      </c>
      <c r="F2241" t="s">
        <v>33</v>
      </c>
      <c r="G2241" t="s">
        <v>425</v>
      </c>
      <c r="H2241" t="s">
        <v>81</v>
      </c>
      <c r="I2241" t="s">
        <v>21</v>
      </c>
      <c r="J2241" t="s">
        <v>353</v>
      </c>
    </row>
    <row r="2242" spans="1:10" x14ac:dyDescent="0.25">
      <c r="A2242">
        <v>27834978</v>
      </c>
      <c r="B2242" t="s">
        <v>17</v>
      </c>
      <c r="C2242" s="4">
        <v>44771.678899131941</v>
      </c>
      <c r="D2242" t="s">
        <v>1791</v>
      </c>
      <c r="E2242" t="s">
        <v>27</v>
      </c>
      <c r="F2242" t="s">
        <v>18</v>
      </c>
      <c r="G2242" t="s">
        <v>186</v>
      </c>
      <c r="H2242" t="s">
        <v>42</v>
      </c>
      <c r="I2242" t="s">
        <v>21</v>
      </c>
      <c r="J2242" t="s">
        <v>1792</v>
      </c>
    </row>
    <row r="2243" spans="1:10" x14ac:dyDescent="0.25">
      <c r="A2243">
        <v>27834985</v>
      </c>
      <c r="B2243" t="s">
        <v>17</v>
      </c>
      <c r="C2243" s="4">
        <v>44771.678962268517</v>
      </c>
      <c r="D2243" t="s">
        <v>1791</v>
      </c>
      <c r="E2243" t="s">
        <v>27</v>
      </c>
      <c r="F2243" t="s">
        <v>18</v>
      </c>
      <c r="G2243" t="s">
        <v>186</v>
      </c>
      <c r="H2243" t="s">
        <v>54</v>
      </c>
      <c r="I2243" t="s">
        <v>21</v>
      </c>
      <c r="J2243" t="s">
        <v>1792</v>
      </c>
    </row>
    <row r="2244" spans="1:10" x14ac:dyDescent="0.25">
      <c r="A2244">
        <v>27835008</v>
      </c>
      <c r="B2244" t="s">
        <v>17</v>
      </c>
      <c r="C2244" s="4">
        <v>44771.679528125002</v>
      </c>
      <c r="F2244" t="s">
        <v>33</v>
      </c>
      <c r="G2244" t="s">
        <v>425</v>
      </c>
      <c r="H2244" t="s">
        <v>93</v>
      </c>
      <c r="I2244" t="s">
        <v>21</v>
      </c>
    </row>
    <row r="2245" spans="1:10" x14ac:dyDescent="0.25">
      <c r="A2245">
        <v>27835010</v>
      </c>
      <c r="B2245" t="s">
        <v>17</v>
      </c>
      <c r="C2245" s="4">
        <v>44771.679584710648</v>
      </c>
      <c r="F2245" t="s">
        <v>33</v>
      </c>
      <c r="G2245" t="s">
        <v>425</v>
      </c>
      <c r="H2245" t="s">
        <v>67</v>
      </c>
      <c r="I2245" t="s">
        <v>21</v>
      </c>
    </row>
    <row r="2246" spans="1:10" x14ac:dyDescent="0.25">
      <c r="A2246">
        <v>27835013</v>
      </c>
      <c r="B2246" t="s">
        <v>17</v>
      </c>
      <c r="C2246" s="4">
        <v>44771.679670694437</v>
      </c>
      <c r="D2246" t="s">
        <v>1784</v>
      </c>
      <c r="E2246" t="s">
        <v>62</v>
      </c>
      <c r="F2246" t="s">
        <v>57</v>
      </c>
      <c r="G2246" t="s">
        <v>286</v>
      </c>
      <c r="H2246" t="s">
        <v>40</v>
      </c>
      <c r="I2246" t="s">
        <v>21</v>
      </c>
      <c r="J2246" t="s">
        <v>1785</v>
      </c>
    </row>
    <row r="2247" spans="1:10" x14ac:dyDescent="0.25">
      <c r="A2247">
        <v>27835029</v>
      </c>
      <c r="B2247" t="s">
        <v>17</v>
      </c>
      <c r="C2247" s="4">
        <v>44771.680052187497</v>
      </c>
      <c r="D2247" t="s">
        <v>1784</v>
      </c>
      <c r="E2247" t="s">
        <v>62</v>
      </c>
      <c r="F2247" t="s">
        <v>57</v>
      </c>
      <c r="G2247" t="s">
        <v>286</v>
      </c>
      <c r="H2247" t="s">
        <v>25</v>
      </c>
      <c r="I2247" t="s">
        <v>21</v>
      </c>
      <c r="J2247" t="s">
        <v>1785</v>
      </c>
    </row>
    <row r="2248" spans="1:10" x14ac:dyDescent="0.25">
      <c r="A2248">
        <v>27835051</v>
      </c>
      <c r="B2248" t="s">
        <v>17</v>
      </c>
      <c r="C2248" s="4">
        <v>44771.680287372677</v>
      </c>
      <c r="D2248" t="s">
        <v>1793</v>
      </c>
      <c r="E2248" t="s">
        <v>62</v>
      </c>
      <c r="F2248" t="s">
        <v>57</v>
      </c>
      <c r="G2248" t="s">
        <v>291</v>
      </c>
      <c r="H2248" t="s">
        <v>42</v>
      </c>
      <c r="I2248" t="s">
        <v>21</v>
      </c>
      <c r="J2248" t="s">
        <v>1794</v>
      </c>
    </row>
    <row r="2249" spans="1:10" x14ac:dyDescent="0.25">
      <c r="A2249">
        <v>27835055</v>
      </c>
      <c r="B2249" t="s">
        <v>17</v>
      </c>
      <c r="C2249" s="4">
        <v>44771.680374884258</v>
      </c>
      <c r="F2249" t="s">
        <v>33</v>
      </c>
      <c r="G2249" t="s">
        <v>425</v>
      </c>
      <c r="H2249" t="s">
        <v>68</v>
      </c>
      <c r="I2249" t="s">
        <v>21</v>
      </c>
    </row>
    <row r="2250" spans="1:10" x14ac:dyDescent="0.25">
      <c r="A2250">
        <v>27835071</v>
      </c>
      <c r="B2250" t="s">
        <v>17</v>
      </c>
      <c r="C2250" s="4">
        <v>44771.680803240743</v>
      </c>
      <c r="F2250" t="s">
        <v>33</v>
      </c>
      <c r="G2250" t="s">
        <v>425</v>
      </c>
      <c r="H2250" t="s">
        <v>67</v>
      </c>
      <c r="I2250" t="s">
        <v>21</v>
      </c>
    </row>
    <row r="2251" spans="1:10" x14ac:dyDescent="0.25">
      <c r="A2251">
        <v>27835087</v>
      </c>
      <c r="B2251" t="s">
        <v>17</v>
      </c>
      <c r="C2251" s="4">
        <v>44771.681315289352</v>
      </c>
      <c r="D2251" t="s">
        <v>1788</v>
      </c>
      <c r="E2251" t="s">
        <v>27</v>
      </c>
      <c r="F2251" t="s">
        <v>18</v>
      </c>
      <c r="G2251" t="s">
        <v>183</v>
      </c>
      <c r="H2251" t="s">
        <v>40</v>
      </c>
      <c r="I2251" t="s">
        <v>21</v>
      </c>
      <c r="J2251" t="s">
        <v>1789</v>
      </c>
    </row>
    <row r="2252" spans="1:10" x14ac:dyDescent="0.25">
      <c r="A2252">
        <v>27835100</v>
      </c>
      <c r="B2252" t="s">
        <v>17</v>
      </c>
      <c r="C2252" s="4">
        <v>44771.681662372677</v>
      </c>
      <c r="D2252" t="s">
        <v>1788</v>
      </c>
      <c r="E2252" t="s">
        <v>27</v>
      </c>
      <c r="F2252" t="s">
        <v>18</v>
      </c>
      <c r="G2252" t="s">
        <v>183</v>
      </c>
      <c r="H2252" t="s">
        <v>25</v>
      </c>
      <c r="I2252" t="s">
        <v>21</v>
      </c>
      <c r="J2252" t="s">
        <v>1789</v>
      </c>
    </row>
    <row r="2253" spans="1:10" x14ac:dyDescent="0.25">
      <c r="A2253">
        <v>27835111</v>
      </c>
      <c r="B2253" t="s">
        <v>17</v>
      </c>
      <c r="C2253" s="4">
        <v>44771.68168587963</v>
      </c>
      <c r="F2253" t="s">
        <v>33</v>
      </c>
      <c r="G2253" t="s">
        <v>425</v>
      </c>
      <c r="H2253" t="s">
        <v>68</v>
      </c>
      <c r="I2253" t="s">
        <v>21</v>
      </c>
    </row>
    <row r="2254" spans="1:10" x14ac:dyDescent="0.25">
      <c r="A2254">
        <v>27835136</v>
      </c>
      <c r="B2254" t="s">
        <v>17</v>
      </c>
      <c r="C2254" s="4">
        <v>44771.682597523148</v>
      </c>
      <c r="E2254" t="s">
        <v>38</v>
      </c>
      <c r="F2254" t="s">
        <v>55</v>
      </c>
      <c r="G2254" t="s">
        <v>167</v>
      </c>
      <c r="H2254" t="s">
        <v>40</v>
      </c>
      <c r="I2254" t="s">
        <v>21</v>
      </c>
    </row>
    <row r="2255" spans="1:10" x14ac:dyDescent="0.25">
      <c r="A2255">
        <v>27835152</v>
      </c>
      <c r="B2255" t="s">
        <v>17</v>
      </c>
      <c r="C2255" s="4">
        <v>44771.682892037039</v>
      </c>
      <c r="D2255" t="s">
        <v>1795</v>
      </c>
      <c r="E2255" t="s">
        <v>62</v>
      </c>
      <c r="F2255" t="s">
        <v>31</v>
      </c>
      <c r="G2255" t="s">
        <v>199</v>
      </c>
      <c r="H2255" t="s">
        <v>42</v>
      </c>
      <c r="I2255" t="s">
        <v>21</v>
      </c>
      <c r="J2255" t="s">
        <v>1796</v>
      </c>
    </row>
    <row r="2256" spans="1:10" x14ac:dyDescent="0.25">
      <c r="A2256">
        <v>27835164</v>
      </c>
      <c r="B2256" t="s">
        <v>17</v>
      </c>
      <c r="C2256" s="4">
        <v>44771.683117627312</v>
      </c>
      <c r="D2256" t="s">
        <v>1786</v>
      </c>
      <c r="E2256" t="s">
        <v>349</v>
      </c>
      <c r="F2256" t="s">
        <v>49</v>
      </c>
      <c r="G2256" t="s">
        <v>201</v>
      </c>
      <c r="H2256" t="s">
        <v>40</v>
      </c>
      <c r="I2256" t="s">
        <v>21</v>
      </c>
      <c r="J2256" t="s">
        <v>1787</v>
      </c>
    </row>
    <row r="2257" spans="1:10" x14ac:dyDescent="0.25">
      <c r="A2257">
        <v>27835170</v>
      </c>
      <c r="B2257" t="s">
        <v>17</v>
      </c>
      <c r="C2257" s="4">
        <v>44771.683219293976</v>
      </c>
      <c r="E2257" t="s">
        <v>38</v>
      </c>
      <c r="F2257" t="s">
        <v>55</v>
      </c>
      <c r="G2257" t="s">
        <v>167</v>
      </c>
      <c r="H2257" t="s">
        <v>25</v>
      </c>
      <c r="I2257" t="s">
        <v>21</v>
      </c>
    </row>
    <row r="2258" spans="1:10" x14ac:dyDescent="0.25">
      <c r="A2258">
        <v>27835179</v>
      </c>
      <c r="B2258" t="s">
        <v>17</v>
      </c>
      <c r="C2258" s="4">
        <v>44771.683428587959</v>
      </c>
      <c r="D2258" t="s">
        <v>1793</v>
      </c>
      <c r="E2258" t="s">
        <v>62</v>
      </c>
      <c r="F2258" t="s">
        <v>57</v>
      </c>
      <c r="G2258" t="s">
        <v>291</v>
      </c>
      <c r="H2258" t="s">
        <v>54</v>
      </c>
      <c r="I2258" t="s">
        <v>21</v>
      </c>
      <c r="J2258" t="s">
        <v>1794</v>
      </c>
    </row>
    <row r="2259" spans="1:10" x14ac:dyDescent="0.25">
      <c r="A2259">
        <v>27835183</v>
      </c>
      <c r="B2259" t="s">
        <v>17</v>
      </c>
      <c r="C2259" s="4">
        <v>44771.683541296297</v>
      </c>
      <c r="D2259" t="s">
        <v>1786</v>
      </c>
      <c r="E2259" t="s">
        <v>349</v>
      </c>
      <c r="F2259" t="s">
        <v>49</v>
      </c>
      <c r="G2259" t="s">
        <v>201</v>
      </c>
      <c r="H2259" t="s">
        <v>25</v>
      </c>
      <c r="I2259" t="s">
        <v>21</v>
      </c>
      <c r="J2259" t="s">
        <v>1787</v>
      </c>
    </row>
    <row r="2260" spans="1:10" x14ac:dyDescent="0.25">
      <c r="A2260">
        <v>27835219</v>
      </c>
      <c r="B2260" t="s">
        <v>17</v>
      </c>
      <c r="C2260" s="4">
        <v>44771.684165057872</v>
      </c>
      <c r="D2260" t="s">
        <v>1797</v>
      </c>
      <c r="E2260" t="s">
        <v>27</v>
      </c>
      <c r="F2260" t="s">
        <v>57</v>
      </c>
      <c r="G2260" t="s">
        <v>185</v>
      </c>
      <c r="H2260" t="s">
        <v>42</v>
      </c>
      <c r="I2260" t="s">
        <v>21</v>
      </c>
      <c r="J2260" t="s">
        <v>1798</v>
      </c>
    </row>
    <row r="2261" spans="1:10" x14ac:dyDescent="0.25">
      <c r="A2261">
        <v>27835226</v>
      </c>
      <c r="B2261" t="s">
        <v>17</v>
      </c>
      <c r="C2261" s="4">
        <v>44771.684427604167</v>
      </c>
      <c r="D2261" t="s">
        <v>1795</v>
      </c>
      <c r="E2261" t="s">
        <v>62</v>
      </c>
      <c r="F2261" t="s">
        <v>31</v>
      </c>
      <c r="G2261" t="s">
        <v>199</v>
      </c>
      <c r="H2261" t="s">
        <v>54</v>
      </c>
      <c r="I2261" t="s">
        <v>21</v>
      </c>
      <c r="J2261" t="s">
        <v>1796</v>
      </c>
    </row>
    <row r="2262" spans="1:10" x14ac:dyDescent="0.25">
      <c r="A2262">
        <v>27835249</v>
      </c>
      <c r="B2262" t="s">
        <v>17</v>
      </c>
      <c r="C2262" s="4">
        <v>44771.685074189823</v>
      </c>
      <c r="D2262" t="s">
        <v>1791</v>
      </c>
      <c r="E2262" t="s">
        <v>27</v>
      </c>
      <c r="F2262" t="s">
        <v>18</v>
      </c>
      <c r="G2262" t="s">
        <v>186</v>
      </c>
      <c r="H2262" t="s">
        <v>40</v>
      </c>
      <c r="I2262" t="s">
        <v>21</v>
      </c>
      <c r="J2262" t="s">
        <v>1792</v>
      </c>
    </row>
    <row r="2263" spans="1:10" x14ac:dyDescent="0.25">
      <c r="A2263">
        <v>27835256</v>
      </c>
      <c r="B2263" t="s">
        <v>17</v>
      </c>
      <c r="C2263" s="4">
        <v>44771.685091226849</v>
      </c>
      <c r="D2263" t="s">
        <v>1799</v>
      </c>
      <c r="E2263" t="s">
        <v>62</v>
      </c>
      <c r="F2263" t="s">
        <v>49</v>
      </c>
      <c r="G2263" t="s">
        <v>74</v>
      </c>
      <c r="H2263" t="s">
        <v>42</v>
      </c>
      <c r="I2263" t="s">
        <v>21</v>
      </c>
      <c r="J2263" t="s">
        <v>560</v>
      </c>
    </row>
    <row r="2264" spans="1:10" x14ac:dyDescent="0.25">
      <c r="A2264">
        <v>27835298</v>
      </c>
      <c r="B2264" t="s">
        <v>17</v>
      </c>
      <c r="C2264" s="4">
        <v>44771.685829363429</v>
      </c>
      <c r="D2264" t="s">
        <v>1800</v>
      </c>
      <c r="E2264" t="s">
        <v>371</v>
      </c>
      <c r="F2264" t="s">
        <v>57</v>
      </c>
      <c r="G2264" t="s">
        <v>416</v>
      </c>
      <c r="H2264" t="s">
        <v>29</v>
      </c>
      <c r="I2264" t="s">
        <v>21</v>
      </c>
      <c r="J2264" t="s">
        <v>1801</v>
      </c>
    </row>
    <row r="2265" spans="1:10" x14ac:dyDescent="0.25">
      <c r="A2265">
        <v>27835305</v>
      </c>
      <c r="B2265" t="s">
        <v>17</v>
      </c>
      <c r="C2265" s="4">
        <v>44771.685847384259</v>
      </c>
      <c r="D2265" t="s">
        <v>1791</v>
      </c>
      <c r="E2265" t="s">
        <v>27</v>
      </c>
      <c r="F2265" t="s">
        <v>18</v>
      </c>
      <c r="G2265" t="s">
        <v>186</v>
      </c>
      <c r="H2265" t="s">
        <v>25</v>
      </c>
      <c r="I2265" t="s">
        <v>21</v>
      </c>
      <c r="J2265" t="s">
        <v>1792</v>
      </c>
    </row>
    <row r="2266" spans="1:10" x14ac:dyDescent="0.25">
      <c r="A2266">
        <v>27835343</v>
      </c>
      <c r="B2266" t="s">
        <v>17</v>
      </c>
      <c r="C2266" s="4">
        <v>44771.686966122688</v>
      </c>
      <c r="D2266" t="s">
        <v>1799</v>
      </c>
      <c r="E2266" t="s">
        <v>62</v>
      </c>
      <c r="F2266" t="s">
        <v>49</v>
      </c>
      <c r="G2266" t="s">
        <v>74</v>
      </c>
      <c r="H2266" t="s">
        <v>239</v>
      </c>
      <c r="I2266" t="s">
        <v>21</v>
      </c>
      <c r="J2266" t="s">
        <v>560</v>
      </c>
    </row>
    <row r="2267" spans="1:10" x14ac:dyDescent="0.25">
      <c r="A2267">
        <v>27835344</v>
      </c>
      <c r="B2267" t="s">
        <v>17</v>
      </c>
      <c r="C2267" s="4">
        <v>44771.686974467593</v>
      </c>
      <c r="D2267" t="s">
        <v>1799</v>
      </c>
      <c r="E2267" t="s">
        <v>62</v>
      </c>
      <c r="F2267" t="s">
        <v>49</v>
      </c>
      <c r="G2267" t="s">
        <v>74</v>
      </c>
      <c r="H2267" t="s">
        <v>240</v>
      </c>
      <c r="I2267" t="s">
        <v>21</v>
      </c>
      <c r="J2267" t="s">
        <v>560</v>
      </c>
    </row>
    <row r="2268" spans="1:10" x14ac:dyDescent="0.25">
      <c r="A2268">
        <v>27835361</v>
      </c>
      <c r="B2268" t="s">
        <v>17</v>
      </c>
      <c r="C2268" s="4">
        <v>44771.687174444443</v>
      </c>
      <c r="D2268" t="s">
        <v>1802</v>
      </c>
      <c r="E2268" t="s">
        <v>129</v>
      </c>
      <c r="F2268" t="s">
        <v>18</v>
      </c>
      <c r="G2268" t="s">
        <v>236</v>
      </c>
      <c r="H2268" t="s">
        <v>42</v>
      </c>
      <c r="I2268" t="s">
        <v>21</v>
      </c>
      <c r="J2268" t="s">
        <v>1803</v>
      </c>
    </row>
    <row r="2269" spans="1:10" x14ac:dyDescent="0.25">
      <c r="A2269">
        <v>27835378</v>
      </c>
      <c r="B2269" t="s">
        <v>17</v>
      </c>
      <c r="C2269" s="4">
        <v>44771.687938240742</v>
      </c>
      <c r="D2269" t="s">
        <v>1797</v>
      </c>
      <c r="E2269" t="s">
        <v>27</v>
      </c>
      <c r="F2269" t="s">
        <v>57</v>
      </c>
      <c r="G2269" t="s">
        <v>185</v>
      </c>
      <c r="H2269" t="s">
        <v>54</v>
      </c>
      <c r="I2269" t="s">
        <v>21</v>
      </c>
      <c r="J2269" t="s">
        <v>1798</v>
      </c>
    </row>
    <row r="2270" spans="1:10" x14ac:dyDescent="0.25">
      <c r="A2270">
        <v>27835387</v>
      </c>
      <c r="B2270" t="s">
        <v>17</v>
      </c>
      <c r="C2270" s="4">
        <v>44771.688351944453</v>
      </c>
      <c r="D2270" t="s">
        <v>1793</v>
      </c>
      <c r="E2270" t="s">
        <v>62</v>
      </c>
      <c r="F2270" t="s">
        <v>57</v>
      </c>
      <c r="G2270" t="s">
        <v>291</v>
      </c>
      <c r="H2270" t="s">
        <v>40</v>
      </c>
      <c r="I2270" t="s">
        <v>21</v>
      </c>
      <c r="J2270" t="s">
        <v>1794</v>
      </c>
    </row>
    <row r="2271" spans="1:10" x14ac:dyDescent="0.25">
      <c r="A2271">
        <v>27835406</v>
      </c>
      <c r="B2271" t="s">
        <v>17</v>
      </c>
      <c r="C2271" s="4">
        <v>44771.688919791668</v>
      </c>
      <c r="D2271" t="s">
        <v>1804</v>
      </c>
      <c r="E2271" t="s">
        <v>268</v>
      </c>
      <c r="F2271" t="s">
        <v>49</v>
      </c>
      <c r="G2271" t="s">
        <v>73</v>
      </c>
      <c r="H2271" t="s">
        <v>42</v>
      </c>
      <c r="I2271" t="s">
        <v>21</v>
      </c>
      <c r="J2271" t="s">
        <v>1805</v>
      </c>
    </row>
    <row r="2272" spans="1:10" x14ac:dyDescent="0.25">
      <c r="A2272">
        <v>27835409</v>
      </c>
      <c r="B2272" t="s">
        <v>17</v>
      </c>
      <c r="C2272" s="4">
        <v>44771.688928611111</v>
      </c>
      <c r="D2272" t="s">
        <v>1793</v>
      </c>
      <c r="E2272" t="s">
        <v>62</v>
      </c>
      <c r="F2272" t="s">
        <v>57</v>
      </c>
      <c r="G2272" t="s">
        <v>291</v>
      </c>
      <c r="H2272" t="s">
        <v>25</v>
      </c>
      <c r="I2272" t="s">
        <v>21</v>
      </c>
      <c r="J2272" t="s">
        <v>1794</v>
      </c>
    </row>
    <row r="2273" spans="1:10" x14ac:dyDescent="0.25">
      <c r="A2273">
        <v>27835416</v>
      </c>
      <c r="B2273" t="s">
        <v>17</v>
      </c>
      <c r="C2273" s="4">
        <v>44771.688933495367</v>
      </c>
      <c r="D2273" t="s">
        <v>1802</v>
      </c>
      <c r="E2273" t="s">
        <v>129</v>
      </c>
      <c r="F2273" t="s">
        <v>18</v>
      </c>
      <c r="G2273" t="s">
        <v>236</v>
      </c>
      <c r="H2273" t="s">
        <v>54</v>
      </c>
      <c r="I2273" t="s">
        <v>21</v>
      </c>
      <c r="J2273" t="s">
        <v>1803</v>
      </c>
    </row>
    <row r="2274" spans="1:10" x14ac:dyDescent="0.25">
      <c r="A2274">
        <v>27835428</v>
      </c>
      <c r="B2274" t="s">
        <v>17</v>
      </c>
      <c r="C2274" s="4">
        <v>44771.689036388889</v>
      </c>
      <c r="D2274" t="s">
        <v>1806</v>
      </c>
      <c r="E2274" t="s">
        <v>371</v>
      </c>
      <c r="F2274" t="s">
        <v>49</v>
      </c>
      <c r="G2274" t="s">
        <v>84</v>
      </c>
      <c r="H2274" t="s">
        <v>29</v>
      </c>
      <c r="I2274" t="s">
        <v>21</v>
      </c>
      <c r="J2274" t="s">
        <v>1807</v>
      </c>
    </row>
    <row r="2275" spans="1:10" x14ac:dyDescent="0.25">
      <c r="A2275">
        <v>27835449</v>
      </c>
      <c r="B2275" t="s">
        <v>17</v>
      </c>
      <c r="C2275" s="4">
        <v>44771.6893375</v>
      </c>
      <c r="D2275" t="s">
        <v>1804</v>
      </c>
      <c r="E2275" t="s">
        <v>268</v>
      </c>
      <c r="F2275" t="s">
        <v>49</v>
      </c>
      <c r="G2275" t="s">
        <v>73</v>
      </c>
      <c r="H2275" t="s">
        <v>54</v>
      </c>
      <c r="I2275" t="s">
        <v>21</v>
      </c>
      <c r="J2275" t="s">
        <v>1805</v>
      </c>
    </row>
    <row r="2276" spans="1:10" x14ac:dyDescent="0.25">
      <c r="A2276">
        <v>27835473</v>
      </c>
      <c r="B2276" t="s">
        <v>17</v>
      </c>
      <c r="C2276" s="4">
        <v>44771.690189884263</v>
      </c>
      <c r="D2276" t="s">
        <v>1795</v>
      </c>
      <c r="E2276" t="s">
        <v>62</v>
      </c>
      <c r="F2276" t="s">
        <v>31</v>
      </c>
      <c r="G2276" t="s">
        <v>199</v>
      </c>
      <c r="H2276" t="s">
        <v>40</v>
      </c>
      <c r="I2276" t="s">
        <v>21</v>
      </c>
      <c r="J2276" t="s">
        <v>1796</v>
      </c>
    </row>
    <row r="2277" spans="1:10" x14ac:dyDescent="0.25">
      <c r="A2277">
        <v>27835483</v>
      </c>
      <c r="B2277" t="s">
        <v>17</v>
      </c>
      <c r="C2277" s="4">
        <v>44771.69047021991</v>
      </c>
      <c r="D2277" t="s">
        <v>1795</v>
      </c>
      <c r="E2277" t="s">
        <v>62</v>
      </c>
      <c r="F2277" t="s">
        <v>31</v>
      </c>
      <c r="G2277" t="s">
        <v>199</v>
      </c>
      <c r="H2277" t="s">
        <v>25</v>
      </c>
      <c r="I2277" t="s">
        <v>21</v>
      </c>
      <c r="J2277" t="s">
        <v>1796</v>
      </c>
    </row>
    <row r="2278" spans="1:10" x14ac:dyDescent="0.25">
      <c r="A2278">
        <v>27835497</v>
      </c>
      <c r="B2278" t="s">
        <v>17</v>
      </c>
      <c r="C2278" s="4">
        <v>44771.690531458327</v>
      </c>
      <c r="D2278" t="s">
        <v>1808</v>
      </c>
      <c r="E2278" t="s">
        <v>123</v>
      </c>
      <c r="F2278" t="s">
        <v>49</v>
      </c>
      <c r="G2278" t="s">
        <v>84</v>
      </c>
      <c r="H2278" t="s">
        <v>42</v>
      </c>
      <c r="I2278" t="s">
        <v>21</v>
      </c>
      <c r="J2278" t="s">
        <v>502</v>
      </c>
    </row>
    <row r="2279" spans="1:10" x14ac:dyDescent="0.25">
      <c r="A2279">
        <v>27835521</v>
      </c>
      <c r="B2279" t="s">
        <v>17</v>
      </c>
      <c r="C2279" s="4">
        <v>44771.691047488428</v>
      </c>
      <c r="D2279" t="s">
        <v>1809</v>
      </c>
      <c r="E2279" t="s">
        <v>268</v>
      </c>
      <c r="F2279" t="s">
        <v>18</v>
      </c>
      <c r="G2279" t="s">
        <v>83</v>
      </c>
      <c r="H2279" t="s">
        <v>29</v>
      </c>
      <c r="I2279" t="s">
        <v>21</v>
      </c>
      <c r="J2279" t="s">
        <v>1810</v>
      </c>
    </row>
    <row r="2280" spans="1:10" x14ac:dyDescent="0.25">
      <c r="A2280">
        <v>27835527</v>
      </c>
      <c r="B2280" t="s">
        <v>17</v>
      </c>
      <c r="C2280" s="4">
        <v>44771.691069340282</v>
      </c>
      <c r="D2280" t="s">
        <v>1811</v>
      </c>
      <c r="E2280" t="s">
        <v>62</v>
      </c>
      <c r="F2280" t="s">
        <v>57</v>
      </c>
      <c r="G2280" t="s">
        <v>335</v>
      </c>
      <c r="H2280" t="s">
        <v>29</v>
      </c>
      <c r="I2280" t="s">
        <v>21</v>
      </c>
      <c r="J2280" t="s">
        <v>1812</v>
      </c>
    </row>
    <row r="2281" spans="1:10" x14ac:dyDescent="0.25">
      <c r="A2281">
        <v>27835550</v>
      </c>
      <c r="B2281" t="s">
        <v>17</v>
      </c>
      <c r="C2281" s="4">
        <v>44771.691803726862</v>
      </c>
      <c r="D2281" t="s">
        <v>1813</v>
      </c>
      <c r="E2281" t="s">
        <v>30</v>
      </c>
      <c r="F2281" t="s">
        <v>52</v>
      </c>
      <c r="G2281" t="s">
        <v>69</v>
      </c>
      <c r="H2281" t="s">
        <v>42</v>
      </c>
      <c r="I2281" t="s">
        <v>21</v>
      </c>
      <c r="J2281" t="s">
        <v>203</v>
      </c>
    </row>
    <row r="2282" spans="1:10" x14ac:dyDescent="0.25">
      <c r="A2282">
        <v>27835559</v>
      </c>
      <c r="B2282" t="s">
        <v>17</v>
      </c>
      <c r="C2282" s="4">
        <v>44771.692044062504</v>
      </c>
      <c r="D2282" t="s">
        <v>1797</v>
      </c>
      <c r="E2282" t="s">
        <v>27</v>
      </c>
      <c r="F2282" t="s">
        <v>57</v>
      </c>
      <c r="G2282" t="s">
        <v>185</v>
      </c>
      <c r="H2282" t="s">
        <v>40</v>
      </c>
      <c r="I2282" t="s">
        <v>21</v>
      </c>
      <c r="J2282" t="s">
        <v>1798</v>
      </c>
    </row>
    <row r="2283" spans="1:10" x14ac:dyDescent="0.25">
      <c r="A2283">
        <v>27835563</v>
      </c>
      <c r="B2283" t="s">
        <v>17</v>
      </c>
      <c r="C2283" s="4">
        <v>44771.692174606484</v>
      </c>
      <c r="D2283" t="s">
        <v>1813</v>
      </c>
      <c r="E2283" t="s">
        <v>30</v>
      </c>
      <c r="F2283" t="s">
        <v>52</v>
      </c>
      <c r="G2283" t="s">
        <v>69</v>
      </c>
      <c r="H2283" t="s">
        <v>54</v>
      </c>
      <c r="I2283" t="s">
        <v>21</v>
      </c>
      <c r="J2283" t="s">
        <v>203</v>
      </c>
    </row>
    <row r="2284" spans="1:10" x14ac:dyDescent="0.25">
      <c r="A2284">
        <v>27835569</v>
      </c>
      <c r="B2284" t="s">
        <v>17</v>
      </c>
      <c r="C2284" s="4">
        <v>44771.692363738417</v>
      </c>
      <c r="D2284" t="s">
        <v>1797</v>
      </c>
      <c r="E2284" t="s">
        <v>27</v>
      </c>
      <c r="F2284" t="s">
        <v>57</v>
      </c>
      <c r="G2284" t="s">
        <v>185</v>
      </c>
      <c r="H2284" t="s">
        <v>25</v>
      </c>
      <c r="I2284" t="s">
        <v>21</v>
      </c>
      <c r="J2284" t="s">
        <v>1798</v>
      </c>
    </row>
    <row r="2285" spans="1:10" x14ac:dyDescent="0.25">
      <c r="A2285">
        <v>27835603</v>
      </c>
      <c r="B2285" t="s">
        <v>17</v>
      </c>
      <c r="C2285" s="4">
        <v>44771.693128310188</v>
      </c>
      <c r="D2285" t="s">
        <v>1802</v>
      </c>
      <c r="E2285" t="s">
        <v>129</v>
      </c>
      <c r="F2285" t="s">
        <v>18</v>
      </c>
      <c r="G2285" t="s">
        <v>236</v>
      </c>
      <c r="H2285" t="s">
        <v>40</v>
      </c>
      <c r="I2285" t="s">
        <v>21</v>
      </c>
      <c r="J2285" t="s">
        <v>1803</v>
      </c>
    </row>
    <row r="2286" spans="1:10" x14ac:dyDescent="0.25">
      <c r="A2286">
        <v>27835611</v>
      </c>
      <c r="B2286" t="s">
        <v>17</v>
      </c>
      <c r="C2286" s="4">
        <v>44771.693527511583</v>
      </c>
      <c r="D2286" t="s">
        <v>1802</v>
      </c>
      <c r="E2286" t="s">
        <v>129</v>
      </c>
      <c r="F2286" t="s">
        <v>18</v>
      </c>
      <c r="G2286" t="s">
        <v>236</v>
      </c>
      <c r="H2286" t="s">
        <v>25</v>
      </c>
      <c r="I2286" t="s">
        <v>21</v>
      </c>
      <c r="J2286" t="s">
        <v>1803</v>
      </c>
    </row>
    <row r="2287" spans="1:10" x14ac:dyDescent="0.25">
      <c r="A2287">
        <v>27835624</v>
      </c>
      <c r="B2287" t="s">
        <v>17</v>
      </c>
      <c r="C2287" s="4">
        <v>44771.69369310185</v>
      </c>
      <c r="D2287" t="s">
        <v>1799</v>
      </c>
      <c r="E2287" t="s">
        <v>62</v>
      </c>
      <c r="F2287" t="s">
        <v>49</v>
      </c>
      <c r="G2287" t="s">
        <v>74</v>
      </c>
      <c r="H2287" t="s">
        <v>40</v>
      </c>
      <c r="I2287" t="s">
        <v>21</v>
      </c>
      <c r="J2287" t="s">
        <v>560</v>
      </c>
    </row>
    <row r="2288" spans="1:10" x14ac:dyDescent="0.25">
      <c r="A2288">
        <v>27835633</v>
      </c>
      <c r="B2288" t="s">
        <v>17</v>
      </c>
      <c r="C2288" s="4">
        <v>44771.694172511583</v>
      </c>
      <c r="D2288" t="s">
        <v>1799</v>
      </c>
      <c r="E2288" t="s">
        <v>62</v>
      </c>
      <c r="F2288" t="s">
        <v>49</v>
      </c>
      <c r="G2288" t="s">
        <v>74</v>
      </c>
      <c r="H2288" t="s">
        <v>25</v>
      </c>
      <c r="I2288" t="s">
        <v>21</v>
      </c>
      <c r="J2288" t="s">
        <v>560</v>
      </c>
    </row>
    <row r="2289" spans="1:10" x14ac:dyDescent="0.25">
      <c r="A2289">
        <v>27835638</v>
      </c>
      <c r="B2289" t="s">
        <v>17</v>
      </c>
      <c r="C2289" s="4">
        <v>44771.69417732639</v>
      </c>
      <c r="D2289" t="s">
        <v>1814</v>
      </c>
      <c r="E2289" t="s">
        <v>129</v>
      </c>
      <c r="F2289" t="s">
        <v>49</v>
      </c>
      <c r="G2289" t="s">
        <v>146</v>
      </c>
      <c r="H2289" t="s">
        <v>42</v>
      </c>
      <c r="I2289" t="s">
        <v>21</v>
      </c>
      <c r="J2289" t="s">
        <v>1815</v>
      </c>
    </row>
    <row r="2290" spans="1:10" x14ac:dyDescent="0.25">
      <c r="A2290">
        <v>27835679</v>
      </c>
      <c r="B2290" t="s">
        <v>17</v>
      </c>
      <c r="C2290" s="4">
        <v>44771.695276458333</v>
      </c>
      <c r="D2290" t="s">
        <v>1816</v>
      </c>
      <c r="E2290" t="s">
        <v>939</v>
      </c>
      <c r="F2290" t="s">
        <v>18</v>
      </c>
      <c r="G2290" t="s">
        <v>418</v>
      </c>
      <c r="H2290" t="s">
        <v>42</v>
      </c>
      <c r="I2290" t="s">
        <v>21</v>
      </c>
      <c r="J2290" t="s">
        <v>1817</v>
      </c>
    </row>
    <row r="2291" spans="1:10" x14ac:dyDescent="0.25">
      <c r="A2291">
        <v>27835684</v>
      </c>
      <c r="B2291" t="s">
        <v>17</v>
      </c>
      <c r="C2291" s="4">
        <v>44771.69563884259</v>
      </c>
      <c r="D2291" t="s">
        <v>1816</v>
      </c>
      <c r="E2291" t="s">
        <v>939</v>
      </c>
      <c r="F2291" t="s">
        <v>18</v>
      </c>
      <c r="G2291" t="s">
        <v>418</v>
      </c>
      <c r="H2291" t="s">
        <v>54</v>
      </c>
      <c r="I2291" t="s">
        <v>21</v>
      </c>
      <c r="J2291" t="s">
        <v>1817</v>
      </c>
    </row>
    <row r="2292" spans="1:10" x14ac:dyDescent="0.25">
      <c r="A2292">
        <v>27835693</v>
      </c>
      <c r="B2292" t="s">
        <v>17</v>
      </c>
      <c r="C2292" s="4">
        <v>44771.695768020843</v>
      </c>
      <c r="D2292" t="s">
        <v>1814</v>
      </c>
      <c r="E2292" t="s">
        <v>129</v>
      </c>
      <c r="F2292" t="s">
        <v>49</v>
      </c>
      <c r="G2292" t="s">
        <v>146</v>
      </c>
      <c r="H2292" t="s">
        <v>54</v>
      </c>
      <c r="I2292" t="s">
        <v>21</v>
      </c>
      <c r="J2292" t="s">
        <v>1815</v>
      </c>
    </row>
    <row r="2293" spans="1:10" x14ac:dyDescent="0.25">
      <c r="A2293">
        <v>27835697</v>
      </c>
      <c r="B2293" t="s">
        <v>17</v>
      </c>
      <c r="C2293" s="4">
        <v>44771.695864085646</v>
      </c>
      <c r="D2293" t="s">
        <v>1818</v>
      </c>
      <c r="E2293" t="s">
        <v>72</v>
      </c>
      <c r="F2293" t="s">
        <v>49</v>
      </c>
      <c r="G2293" t="s">
        <v>50</v>
      </c>
      <c r="H2293" t="s">
        <v>29</v>
      </c>
      <c r="I2293" t="s">
        <v>21</v>
      </c>
      <c r="J2293" t="s">
        <v>341</v>
      </c>
    </row>
    <row r="2294" spans="1:10" x14ac:dyDescent="0.25">
      <c r="A2294">
        <v>27835726</v>
      </c>
      <c r="B2294" t="s">
        <v>17</v>
      </c>
      <c r="C2294" s="4">
        <v>44771.696420057873</v>
      </c>
      <c r="D2294" t="s">
        <v>1819</v>
      </c>
      <c r="E2294" t="s">
        <v>184</v>
      </c>
      <c r="F2294" t="s">
        <v>57</v>
      </c>
      <c r="G2294" t="s">
        <v>421</v>
      </c>
      <c r="H2294" t="s">
        <v>29</v>
      </c>
      <c r="I2294" t="s">
        <v>21</v>
      </c>
      <c r="J2294" t="s">
        <v>1820</v>
      </c>
    </row>
    <row r="2295" spans="1:10" x14ac:dyDescent="0.25">
      <c r="A2295">
        <v>27835742</v>
      </c>
      <c r="B2295" t="s">
        <v>17</v>
      </c>
      <c r="C2295" s="4">
        <v>44771.696995532409</v>
      </c>
      <c r="F2295" t="s">
        <v>23</v>
      </c>
      <c r="G2295" t="s">
        <v>224</v>
      </c>
      <c r="H2295" t="s">
        <v>68</v>
      </c>
      <c r="I2295" t="s">
        <v>21</v>
      </c>
    </row>
    <row r="2296" spans="1:10" x14ac:dyDescent="0.25">
      <c r="A2296">
        <v>27835753</v>
      </c>
      <c r="B2296" t="s">
        <v>17</v>
      </c>
      <c r="C2296" s="4">
        <v>44771.697357152778</v>
      </c>
      <c r="D2296" t="s">
        <v>1808</v>
      </c>
      <c r="E2296" t="s">
        <v>123</v>
      </c>
      <c r="F2296" t="s">
        <v>49</v>
      </c>
      <c r="G2296" t="s">
        <v>84</v>
      </c>
      <c r="H2296" t="s">
        <v>54</v>
      </c>
      <c r="I2296" t="s">
        <v>21</v>
      </c>
      <c r="J2296" t="s">
        <v>502</v>
      </c>
    </row>
    <row r="2297" spans="1:10" x14ac:dyDescent="0.25">
      <c r="A2297">
        <v>27835769</v>
      </c>
      <c r="B2297" t="s">
        <v>17</v>
      </c>
      <c r="C2297" s="4">
        <v>44771.697590937503</v>
      </c>
      <c r="D2297" t="s">
        <v>1821</v>
      </c>
      <c r="E2297" t="s">
        <v>27</v>
      </c>
      <c r="F2297" t="s">
        <v>49</v>
      </c>
      <c r="G2297" t="s">
        <v>74</v>
      </c>
      <c r="H2297" t="s">
        <v>42</v>
      </c>
      <c r="I2297" t="s">
        <v>21</v>
      </c>
      <c r="J2297" t="s">
        <v>1822</v>
      </c>
    </row>
    <row r="2298" spans="1:10" x14ac:dyDescent="0.25">
      <c r="A2298">
        <v>27835782</v>
      </c>
      <c r="B2298" t="s">
        <v>17</v>
      </c>
      <c r="C2298" s="4">
        <v>44771.69783917824</v>
      </c>
      <c r="D2298" t="s">
        <v>1808</v>
      </c>
      <c r="E2298" t="s">
        <v>123</v>
      </c>
      <c r="F2298" t="s">
        <v>49</v>
      </c>
      <c r="G2298" t="s">
        <v>84</v>
      </c>
      <c r="H2298" t="s">
        <v>40</v>
      </c>
      <c r="I2298" t="s">
        <v>21</v>
      </c>
      <c r="J2298" t="s">
        <v>502</v>
      </c>
    </row>
    <row r="2299" spans="1:10" x14ac:dyDescent="0.25">
      <c r="A2299">
        <v>27835785</v>
      </c>
      <c r="B2299" t="s">
        <v>17</v>
      </c>
      <c r="C2299" s="4">
        <v>44771.697863425929</v>
      </c>
      <c r="D2299" t="s">
        <v>1823</v>
      </c>
      <c r="E2299" t="s">
        <v>27</v>
      </c>
      <c r="F2299" t="s">
        <v>18</v>
      </c>
      <c r="G2299" t="s">
        <v>375</v>
      </c>
      <c r="H2299" t="s">
        <v>29</v>
      </c>
      <c r="I2299" t="s">
        <v>21</v>
      </c>
      <c r="J2299" t="s">
        <v>453</v>
      </c>
    </row>
    <row r="2300" spans="1:10" x14ac:dyDescent="0.25">
      <c r="A2300">
        <v>27835818</v>
      </c>
      <c r="B2300" t="s">
        <v>17</v>
      </c>
      <c r="C2300" s="4">
        <v>44771.698088969897</v>
      </c>
      <c r="D2300" t="s">
        <v>1821</v>
      </c>
      <c r="E2300" t="s">
        <v>27</v>
      </c>
      <c r="F2300" t="s">
        <v>49</v>
      </c>
      <c r="G2300" t="s">
        <v>74</v>
      </c>
      <c r="H2300" t="s">
        <v>239</v>
      </c>
      <c r="I2300" t="s">
        <v>21</v>
      </c>
      <c r="J2300" t="s">
        <v>1822</v>
      </c>
    </row>
    <row r="2301" spans="1:10" x14ac:dyDescent="0.25">
      <c r="A2301">
        <v>27835821</v>
      </c>
      <c r="B2301" t="s">
        <v>17</v>
      </c>
      <c r="C2301" s="4">
        <v>44771.698097152781</v>
      </c>
      <c r="D2301" t="s">
        <v>1821</v>
      </c>
      <c r="E2301" t="s">
        <v>27</v>
      </c>
      <c r="F2301" t="s">
        <v>49</v>
      </c>
      <c r="G2301" t="s">
        <v>74</v>
      </c>
      <c r="H2301" t="s">
        <v>240</v>
      </c>
      <c r="I2301" t="s">
        <v>21</v>
      </c>
      <c r="J2301" t="s">
        <v>1822</v>
      </c>
    </row>
    <row r="2302" spans="1:10" x14ac:dyDescent="0.25">
      <c r="A2302">
        <v>27835832</v>
      </c>
      <c r="B2302" t="s">
        <v>17</v>
      </c>
      <c r="C2302" s="4">
        <v>44771.69847909722</v>
      </c>
      <c r="D2302" t="s">
        <v>1808</v>
      </c>
      <c r="E2302" t="s">
        <v>123</v>
      </c>
      <c r="F2302" t="s">
        <v>49</v>
      </c>
      <c r="G2302" t="s">
        <v>84</v>
      </c>
      <c r="H2302" t="s">
        <v>25</v>
      </c>
      <c r="I2302" t="s">
        <v>21</v>
      </c>
      <c r="J2302" t="s">
        <v>502</v>
      </c>
    </row>
    <row r="2303" spans="1:10" x14ac:dyDescent="0.25">
      <c r="A2303">
        <v>27835855</v>
      </c>
      <c r="B2303" t="s">
        <v>17</v>
      </c>
      <c r="C2303" s="4">
        <v>44771.698930370367</v>
      </c>
      <c r="D2303" t="s">
        <v>1824</v>
      </c>
      <c r="E2303" t="s">
        <v>27</v>
      </c>
      <c r="F2303" t="s">
        <v>18</v>
      </c>
      <c r="G2303" t="s">
        <v>273</v>
      </c>
      <c r="H2303" t="s">
        <v>29</v>
      </c>
      <c r="I2303" t="s">
        <v>21</v>
      </c>
      <c r="J2303" t="s">
        <v>1825</v>
      </c>
    </row>
    <row r="2304" spans="1:10" x14ac:dyDescent="0.25">
      <c r="A2304">
        <v>27835869</v>
      </c>
      <c r="B2304" t="s">
        <v>17</v>
      </c>
      <c r="C2304" s="4">
        <v>44771.699147581021</v>
      </c>
      <c r="D2304" t="s">
        <v>1826</v>
      </c>
      <c r="E2304" t="s">
        <v>38</v>
      </c>
      <c r="F2304" t="s">
        <v>49</v>
      </c>
      <c r="G2304" t="s">
        <v>128</v>
      </c>
      <c r="H2304" t="s">
        <v>29</v>
      </c>
      <c r="I2304" t="s">
        <v>21</v>
      </c>
      <c r="J2304" t="s">
        <v>1827</v>
      </c>
    </row>
    <row r="2305" spans="1:10" x14ac:dyDescent="0.25">
      <c r="A2305">
        <v>27835875</v>
      </c>
      <c r="B2305" t="s">
        <v>17</v>
      </c>
      <c r="C2305" s="4">
        <v>44771.699182187498</v>
      </c>
      <c r="F2305" t="s">
        <v>18</v>
      </c>
      <c r="G2305" t="s">
        <v>226</v>
      </c>
      <c r="H2305" t="s">
        <v>67</v>
      </c>
      <c r="I2305" t="s">
        <v>21</v>
      </c>
    </row>
    <row r="2306" spans="1:10" x14ac:dyDescent="0.25">
      <c r="A2306">
        <v>27835880</v>
      </c>
      <c r="B2306" t="s">
        <v>17</v>
      </c>
      <c r="C2306" s="4">
        <v>44771.699211967592</v>
      </c>
      <c r="D2306" t="s">
        <v>1828</v>
      </c>
      <c r="E2306" t="s">
        <v>48</v>
      </c>
      <c r="F2306" t="s">
        <v>49</v>
      </c>
      <c r="G2306" t="s">
        <v>128</v>
      </c>
      <c r="H2306" t="s">
        <v>42</v>
      </c>
      <c r="I2306" t="s">
        <v>21</v>
      </c>
      <c r="J2306" t="s">
        <v>1829</v>
      </c>
    </row>
    <row r="2307" spans="1:10" x14ac:dyDescent="0.25">
      <c r="A2307">
        <v>27835896</v>
      </c>
      <c r="B2307" t="s">
        <v>17</v>
      </c>
      <c r="C2307" s="4">
        <v>44771.699558865737</v>
      </c>
      <c r="D2307" t="s">
        <v>1830</v>
      </c>
      <c r="E2307" t="s">
        <v>129</v>
      </c>
      <c r="F2307" t="s">
        <v>49</v>
      </c>
      <c r="G2307" t="s">
        <v>132</v>
      </c>
      <c r="H2307" t="s">
        <v>42</v>
      </c>
      <c r="I2307" t="s">
        <v>21</v>
      </c>
      <c r="J2307" t="s">
        <v>1831</v>
      </c>
    </row>
    <row r="2308" spans="1:10" x14ac:dyDescent="0.25">
      <c r="A2308">
        <v>27835900</v>
      </c>
      <c r="B2308" t="s">
        <v>17</v>
      </c>
      <c r="C2308" s="4">
        <v>44771.69963534722</v>
      </c>
      <c r="D2308" t="s">
        <v>1804</v>
      </c>
      <c r="E2308" t="s">
        <v>268</v>
      </c>
      <c r="F2308" t="s">
        <v>49</v>
      </c>
      <c r="G2308" t="s">
        <v>73</v>
      </c>
      <c r="H2308" t="s">
        <v>40</v>
      </c>
      <c r="I2308" t="s">
        <v>21</v>
      </c>
      <c r="J2308" t="s">
        <v>1805</v>
      </c>
    </row>
    <row r="2309" spans="1:10" x14ac:dyDescent="0.25">
      <c r="A2309">
        <v>27835906</v>
      </c>
      <c r="B2309" t="s">
        <v>17</v>
      </c>
      <c r="C2309" s="4">
        <v>44771.699709953697</v>
      </c>
      <c r="F2309" t="s">
        <v>18</v>
      </c>
      <c r="G2309" t="s">
        <v>226</v>
      </c>
      <c r="H2309" t="s">
        <v>68</v>
      </c>
      <c r="I2309" t="s">
        <v>21</v>
      </c>
    </row>
    <row r="2310" spans="1:10" x14ac:dyDescent="0.25">
      <c r="A2310">
        <v>27835920</v>
      </c>
      <c r="B2310" t="s">
        <v>17</v>
      </c>
      <c r="C2310" s="4">
        <v>44771.69990605324</v>
      </c>
      <c r="D2310" t="s">
        <v>1832</v>
      </c>
      <c r="E2310" t="s">
        <v>38</v>
      </c>
      <c r="F2310" t="s">
        <v>49</v>
      </c>
      <c r="G2310" t="s">
        <v>80</v>
      </c>
      <c r="H2310" t="s">
        <v>42</v>
      </c>
      <c r="I2310" t="s">
        <v>21</v>
      </c>
      <c r="J2310" t="s">
        <v>1833</v>
      </c>
    </row>
    <row r="2311" spans="1:10" x14ac:dyDescent="0.25">
      <c r="A2311">
        <v>27835928</v>
      </c>
      <c r="B2311" t="s">
        <v>17</v>
      </c>
      <c r="C2311" s="4">
        <v>44771.700142361107</v>
      </c>
      <c r="D2311" t="s">
        <v>1828</v>
      </c>
      <c r="E2311" t="s">
        <v>48</v>
      </c>
      <c r="F2311" t="s">
        <v>49</v>
      </c>
      <c r="G2311" t="s">
        <v>128</v>
      </c>
      <c r="H2311" t="s">
        <v>54</v>
      </c>
      <c r="I2311" t="s">
        <v>21</v>
      </c>
      <c r="J2311" t="s">
        <v>1829</v>
      </c>
    </row>
    <row r="2312" spans="1:10" x14ac:dyDescent="0.25">
      <c r="A2312">
        <v>27835934</v>
      </c>
      <c r="B2312" t="s">
        <v>17</v>
      </c>
      <c r="C2312" s="4">
        <v>44771.700350219908</v>
      </c>
      <c r="D2312" t="s">
        <v>1804</v>
      </c>
      <c r="E2312" t="s">
        <v>268</v>
      </c>
      <c r="F2312" t="s">
        <v>49</v>
      </c>
      <c r="G2312" t="s">
        <v>73</v>
      </c>
      <c r="H2312" t="s">
        <v>25</v>
      </c>
      <c r="I2312" t="s">
        <v>21</v>
      </c>
      <c r="J2312" t="s">
        <v>1805</v>
      </c>
    </row>
    <row r="2313" spans="1:10" x14ac:dyDescent="0.25">
      <c r="A2313">
        <v>27835945</v>
      </c>
      <c r="B2313" t="s">
        <v>17</v>
      </c>
      <c r="C2313" s="4">
        <v>44771.700431863428</v>
      </c>
      <c r="F2313" t="s">
        <v>57</v>
      </c>
      <c r="G2313" t="s">
        <v>63</v>
      </c>
      <c r="H2313" t="s">
        <v>67</v>
      </c>
      <c r="I2313" t="s">
        <v>21</v>
      </c>
    </row>
    <row r="2314" spans="1:10" x14ac:dyDescent="0.25">
      <c r="A2314">
        <v>27835966</v>
      </c>
      <c r="B2314" t="s">
        <v>17</v>
      </c>
      <c r="C2314" s="4">
        <v>44771.700720324072</v>
      </c>
      <c r="F2314" t="s">
        <v>57</v>
      </c>
      <c r="G2314" t="s">
        <v>63</v>
      </c>
      <c r="H2314" t="s">
        <v>68</v>
      </c>
      <c r="I2314" t="s">
        <v>21</v>
      </c>
    </row>
    <row r="2315" spans="1:10" x14ac:dyDescent="0.25">
      <c r="A2315">
        <v>27835998</v>
      </c>
      <c r="B2315" t="s">
        <v>17</v>
      </c>
      <c r="C2315" s="4">
        <v>44771.70117359954</v>
      </c>
      <c r="F2315" t="s">
        <v>18</v>
      </c>
      <c r="G2315" t="s">
        <v>226</v>
      </c>
      <c r="H2315" t="s">
        <v>81</v>
      </c>
      <c r="I2315" t="s">
        <v>21</v>
      </c>
      <c r="J2315" t="s">
        <v>1834</v>
      </c>
    </row>
    <row r="2316" spans="1:10" x14ac:dyDescent="0.25">
      <c r="A2316">
        <v>27836011</v>
      </c>
      <c r="B2316" t="s">
        <v>17</v>
      </c>
      <c r="C2316" s="4">
        <v>44771.701363645843</v>
      </c>
      <c r="D2316" t="s">
        <v>1816</v>
      </c>
      <c r="E2316" t="s">
        <v>939</v>
      </c>
      <c r="F2316" t="s">
        <v>18</v>
      </c>
      <c r="G2316" t="s">
        <v>418</v>
      </c>
      <c r="H2316" t="s">
        <v>40</v>
      </c>
      <c r="I2316" t="s">
        <v>21</v>
      </c>
      <c r="J2316" t="s">
        <v>1817</v>
      </c>
    </row>
    <row r="2317" spans="1:10" x14ac:dyDescent="0.25">
      <c r="A2317">
        <v>27836027</v>
      </c>
      <c r="B2317" t="s">
        <v>17</v>
      </c>
      <c r="C2317" s="4">
        <v>44771.70157553241</v>
      </c>
      <c r="D2317" t="s">
        <v>1835</v>
      </c>
      <c r="E2317" t="s">
        <v>191</v>
      </c>
      <c r="F2317" t="s">
        <v>49</v>
      </c>
      <c r="G2317" t="s">
        <v>218</v>
      </c>
      <c r="H2317" t="s">
        <v>29</v>
      </c>
      <c r="I2317" t="s">
        <v>21</v>
      </c>
      <c r="J2317" t="s">
        <v>1836</v>
      </c>
    </row>
    <row r="2318" spans="1:10" x14ac:dyDescent="0.25">
      <c r="A2318">
        <v>27836039</v>
      </c>
      <c r="B2318" t="s">
        <v>17</v>
      </c>
      <c r="C2318" s="4">
        <v>44771.701659768521</v>
      </c>
      <c r="D2318" t="s">
        <v>1816</v>
      </c>
      <c r="E2318" t="s">
        <v>939</v>
      </c>
      <c r="F2318" t="s">
        <v>18</v>
      </c>
      <c r="G2318" t="s">
        <v>418</v>
      </c>
      <c r="H2318" t="s">
        <v>25</v>
      </c>
      <c r="I2318" t="s">
        <v>21</v>
      </c>
      <c r="J2318" t="s">
        <v>1817</v>
      </c>
    </row>
    <row r="2319" spans="1:10" x14ac:dyDescent="0.25">
      <c r="A2319">
        <v>27836071</v>
      </c>
      <c r="B2319" t="s">
        <v>17</v>
      </c>
      <c r="C2319" s="4">
        <v>44771.702239247687</v>
      </c>
      <c r="D2319" t="s">
        <v>1832</v>
      </c>
      <c r="E2319" t="s">
        <v>38</v>
      </c>
      <c r="F2319" t="s">
        <v>49</v>
      </c>
      <c r="G2319" t="s">
        <v>80</v>
      </c>
      <c r="H2319" t="s">
        <v>54</v>
      </c>
      <c r="I2319" t="s">
        <v>21</v>
      </c>
      <c r="J2319" t="s">
        <v>1833</v>
      </c>
    </row>
    <row r="2320" spans="1:10" x14ac:dyDescent="0.25">
      <c r="A2320">
        <v>27836088</v>
      </c>
      <c r="B2320" t="s">
        <v>17</v>
      </c>
      <c r="C2320" s="4">
        <v>44771.702880636571</v>
      </c>
      <c r="D2320" t="s">
        <v>1813</v>
      </c>
      <c r="E2320" t="s">
        <v>30</v>
      </c>
      <c r="F2320" t="s">
        <v>52</v>
      </c>
      <c r="G2320" t="s">
        <v>69</v>
      </c>
      <c r="H2320" t="s">
        <v>40</v>
      </c>
      <c r="I2320" t="s">
        <v>21</v>
      </c>
      <c r="J2320" t="s">
        <v>203</v>
      </c>
    </row>
    <row r="2321" spans="1:10" x14ac:dyDescent="0.25">
      <c r="A2321">
        <v>27836112</v>
      </c>
      <c r="B2321" t="s">
        <v>17</v>
      </c>
      <c r="C2321" s="4">
        <v>44771.703577974527</v>
      </c>
      <c r="D2321" t="s">
        <v>1813</v>
      </c>
      <c r="E2321" t="s">
        <v>30</v>
      </c>
      <c r="F2321" t="s">
        <v>52</v>
      </c>
      <c r="G2321" t="s">
        <v>69</v>
      </c>
      <c r="H2321" t="s">
        <v>25</v>
      </c>
      <c r="I2321" t="s">
        <v>21</v>
      </c>
      <c r="J2321" t="s">
        <v>203</v>
      </c>
    </row>
    <row r="2322" spans="1:10" x14ac:dyDescent="0.25">
      <c r="A2322">
        <v>27836131</v>
      </c>
      <c r="B2322" t="s">
        <v>17</v>
      </c>
      <c r="C2322" s="4">
        <v>44771.703789293977</v>
      </c>
      <c r="D2322" t="s">
        <v>1828</v>
      </c>
      <c r="E2322" t="s">
        <v>48</v>
      </c>
      <c r="F2322" t="s">
        <v>49</v>
      </c>
      <c r="G2322" t="s">
        <v>128</v>
      </c>
      <c r="H2322" t="s">
        <v>40</v>
      </c>
      <c r="I2322" t="s">
        <v>21</v>
      </c>
      <c r="J2322" t="s">
        <v>1829</v>
      </c>
    </row>
    <row r="2323" spans="1:10" x14ac:dyDescent="0.25">
      <c r="A2323">
        <v>27836135</v>
      </c>
      <c r="B2323" t="s">
        <v>17</v>
      </c>
      <c r="C2323" s="4">
        <v>44771.70384396991</v>
      </c>
      <c r="D2323" t="s">
        <v>1837</v>
      </c>
      <c r="E2323" t="s">
        <v>38</v>
      </c>
      <c r="F2323" t="s">
        <v>23</v>
      </c>
      <c r="G2323" t="s">
        <v>178</v>
      </c>
      <c r="H2323" t="s">
        <v>29</v>
      </c>
      <c r="I2323" t="s">
        <v>21</v>
      </c>
      <c r="J2323" t="s">
        <v>1838</v>
      </c>
    </row>
    <row r="2324" spans="1:10" x14ac:dyDescent="0.25">
      <c r="A2324">
        <v>27836150</v>
      </c>
      <c r="B2324" t="s">
        <v>17</v>
      </c>
      <c r="C2324" s="4">
        <v>44771.704101400457</v>
      </c>
      <c r="D2324" t="s">
        <v>1828</v>
      </c>
      <c r="E2324" t="s">
        <v>48</v>
      </c>
      <c r="F2324" t="s">
        <v>49</v>
      </c>
      <c r="G2324" t="s">
        <v>128</v>
      </c>
      <c r="H2324" t="s">
        <v>25</v>
      </c>
      <c r="I2324" t="s">
        <v>21</v>
      </c>
      <c r="J2324" t="s">
        <v>1829</v>
      </c>
    </row>
    <row r="2325" spans="1:10" x14ac:dyDescent="0.25">
      <c r="A2325">
        <v>27836215</v>
      </c>
      <c r="B2325" t="s">
        <v>17</v>
      </c>
      <c r="C2325" s="4">
        <v>44771.705108078713</v>
      </c>
      <c r="D2325" t="s">
        <v>1814</v>
      </c>
      <c r="E2325" t="s">
        <v>129</v>
      </c>
      <c r="F2325" t="s">
        <v>49</v>
      </c>
      <c r="G2325" t="s">
        <v>146</v>
      </c>
      <c r="H2325" t="s">
        <v>40</v>
      </c>
      <c r="I2325" t="s">
        <v>21</v>
      </c>
      <c r="J2325" t="s">
        <v>1815</v>
      </c>
    </row>
    <row r="2326" spans="1:10" x14ac:dyDescent="0.25">
      <c r="A2326">
        <v>27836231</v>
      </c>
      <c r="B2326" t="s">
        <v>17</v>
      </c>
      <c r="C2326" s="4">
        <v>44771.70584396991</v>
      </c>
      <c r="D2326" t="s">
        <v>1814</v>
      </c>
      <c r="E2326" t="s">
        <v>129</v>
      </c>
      <c r="F2326" t="s">
        <v>49</v>
      </c>
      <c r="G2326" t="s">
        <v>146</v>
      </c>
      <c r="H2326" t="s">
        <v>25</v>
      </c>
      <c r="I2326" t="s">
        <v>21</v>
      </c>
      <c r="J2326" t="s">
        <v>1815</v>
      </c>
    </row>
    <row r="2327" spans="1:10" x14ac:dyDescent="0.25">
      <c r="A2327">
        <v>27836291</v>
      </c>
      <c r="B2327" t="s">
        <v>17</v>
      </c>
      <c r="C2327" s="4">
        <v>44771.707697384263</v>
      </c>
      <c r="D2327" t="s">
        <v>1821</v>
      </c>
      <c r="E2327" t="s">
        <v>27</v>
      </c>
      <c r="F2327" t="s">
        <v>49</v>
      </c>
      <c r="G2327" t="s">
        <v>74</v>
      </c>
      <c r="H2327" t="s">
        <v>40</v>
      </c>
      <c r="I2327" t="s">
        <v>21</v>
      </c>
      <c r="J2327" t="s">
        <v>1822</v>
      </c>
    </row>
    <row r="2328" spans="1:10" x14ac:dyDescent="0.25">
      <c r="A2328">
        <v>27836301</v>
      </c>
      <c r="B2328" t="s">
        <v>17</v>
      </c>
      <c r="C2328" s="4">
        <v>44771.707950069453</v>
      </c>
      <c r="D2328" t="s">
        <v>1839</v>
      </c>
      <c r="E2328" t="s">
        <v>27</v>
      </c>
      <c r="F2328" t="s">
        <v>18</v>
      </c>
      <c r="G2328" t="s">
        <v>375</v>
      </c>
      <c r="H2328" t="s">
        <v>42</v>
      </c>
      <c r="I2328" t="s">
        <v>21</v>
      </c>
      <c r="J2328" t="s">
        <v>1840</v>
      </c>
    </row>
    <row r="2329" spans="1:10" x14ac:dyDescent="0.25">
      <c r="A2329">
        <v>27836306</v>
      </c>
      <c r="B2329" t="s">
        <v>17</v>
      </c>
      <c r="C2329" s="4">
        <v>44771.708033125004</v>
      </c>
      <c r="D2329" t="s">
        <v>1839</v>
      </c>
      <c r="E2329" t="s">
        <v>27</v>
      </c>
      <c r="F2329" t="s">
        <v>18</v>
      </c>
      <c r="G2329" t="s">
        <v>375</v>
      </c>
      <c r="H2329" t="s">
        <v>54</v>
      </c>
      <c r="I2329" t="s">
        <v>21</v>
      </c>
      <c r="J2329" t="s">
        <v>1840</v>
      </c>
    </row>
    <row r="2330" spans="1:10" x14ac:dyDescent="0.25">
      <c r="A2330">
        <v>27836328</v>
      </c>
      <c r="B2330" t="s">
        <v>17</v>
      </c>
      <c r="C2330" s="4">
        <v>44771.70855358796</v>
      </c>
      <c r="D2330" t="s">
        <v>1821</v>
      </c>
      <c r="E2330" t="s">
        <v>27</v>
      </c>
      <c r="F2330" t="s">
        <v>49</v>
      </c>
      <c r="G2330" t="s">
        <v>74</v>
      </c>
      <c r="H2330" t="s">
        <v>25</v>
      </c>
      <c r="I2330" t="s">
        <v>21</v>
      </c>
      <c r="J2330" t="s">
        <v>1822</v>
      </c>
    </row>
    <row r="2331" spans="1:10" x14ac:dyDescent="0.25">
      <c r="A2331">
        <v>27836339</v>
      </c>
      <c r="B2331" t="s">
        <v>17</v>
      </c>
      <c r="C2331" s="4">
        <v>44771.708617175929</v>
      </c>
      <c r="D2331" t="s">
        <v>1841</v>
      </c>
      <c r="E2331" t="s">
        <v>129</v>
      </c>
      <c r="F2331" t="s">
        <v>49</v>
      </c>
      <c r="G2331" t="s">
        <v>359</v>
      </c>
      <c r="H2331" t="s">
        <v>29</v>
      </c>
      <c r="I2331" t="s">
        <v>21</v>
      </c>
      <c r="J2331" t="s">
        <v>1842</v>
      </c>
    </row>
    <row r="2332" spans="1:10" x14ac:dyDescent="0.25">
      <c r="A2332">
        <v>27836364</v>
      </c>
      <c r="B2332" t="s">
        <v>17</v>
      </c>
      <c r="C2332" s="4">
        <v>44771.708943356483</v>
      </c>
      <c r="F2332" t="s">
        <v>18</v>
      </c>
      <c r="G2332" t="s">
        <v>226</v>
      </c>
      <c r="H2332" t="s">
        <v>93</v>
      </c>
      <c r="I2332" t="s">
        <v>21</v>
      </c>
    </row>
    <row r="2333" spans="1:10" x14ac:dyDescent="0.25">
      <c r="A2333">
        <v>27836375</v>
      </c>
      <c r="B2333" t="s">
        <v>17</v>
      </c>
      <c r="C2333" s="4">
        <v>44771.709019351852</v>
      </c>
      <c r="F2333" t="s">
        <v>18</v>
      </c>
      <c r="G2333" t="s">
        <v>226</v>
      </c>
      <c r="H2333" t="s">
        <v>67</v>
      </c>
      <c r="I2333" t="s">
        <v>21</v>
      </c>
    </row>
    <row r="2334" spans="1:10" x14ac:dyDescent="0.25">
      <c r="A2334">
        <v>27836385</v>
      </c>
      <c r="B2334" t="s">
        <v>17</v>
      </c>
      <c r="C2334" s="4">
        <v>44771.709255937501</v>
      </c>
      <c r="D2334" t="s">
        <v>1832</v>
      </c>
      <c r="E2334" t="s">
        <v>38</v>
      </c>
      <c r="F2334" t="s">
        <v>49</v>
      </c>
      <c r="G2334" t="s">
        <v>80</v>
      </c>
      <c r="H2334" t="s">
        <v>40</v>
      </c>
      <c r="I2334" t="s">
        <v>21</v>
      </c>
      <c r="J2334" t="s">
        <v>1833</v>
      </c>
    </row>
    <row r="2335" spans="1:10" x14ac:dyDescent="0.25">
      <c r="A2335">
        <v>27836402</v>
      </c>
      <c r="B2335" t="s">
        <v>17</v>
      </c>
      <c r="C2335" s="4">
        <v>44771.709782245372</v>
      </c>
      <c r="D2335" t="s">
        <v>1832</v>
      </c>
      <c r="E2335" t="s">
        <v>38</v>
      </c>
      <c r="F2335" t="s">
        <v>49</v>
      </c>
      <c r="G2335" t="s">
        <v>80</v>
      </c>
      <c r="H2335" t="s">
        <v>25</v>
      </c>
      <c r="I2335" t="s">
        <v>21</v>
      </c>
      <c r="J2335" t="s">
        <v>1833</v>
      </c>
    </row>
    <row r="2336" spans="1:10" x14ac:dyDescent="0.25">
      <c r="A2336">
        <v>27836416</v>
      </c>
      <c r="B2336" t="s">
        <v>17</v>
      </c>
      <c r="C2336" s="4">
        <v>44771.709801990743</v>
      </c>
      <c r="D2336" t="s">
        <v>1843</v>
      </c>
      <c r="E2336" t="s">
        <v>38</v>
      </c>
      <c r="F2336" t="s">
        <v>52</v>
      </c>
      <c r="G2336" t="s">
        <v>134</v>
      </c>
      <c r="H2336" t="s">
        <v>42</v>
      </c>
      <c r="I2336" t="s">
        <v>21</v>
      </c>
      <c r="J2336" t="s">
        <v>1844</v>
      </c>
    </row>
    <row r="2337" spans="1:10" x14ac:dyDescent="0.25">
      <c r="A2337">
        <v>27836426</v>
      </c>
      <c r="B2337" t="s">
        <v>17</v>
      </c>
      <c r="C2337" s="4">
        <v>44771.709929409721</v>
      </c>
      <c r="D2337" t="s">
        <v>1845</v>
      </c>
      <c r="E2337" t="s">
        <v>38</v>
      </c>
      <c r="F2337" t="s">
        <v>23</v>
      </c>
      <c r="G2337" t="s">
        <v>274</v>
      </c>
      <c r="H2337" t="s">
        <v>29</v>
      </c>
      <c r="I2337" t="s">
        <v>21</v>
      </c>
      <c r="J2337" t="s">
        <v>1846</v>
      </c>
    </row>
    <row r="2338" spans="1:10" x14ac:dyDescent="0.25">
      <c r="A2338">
        <v>27836459</v>
      </c>
      <c r="B2338" t="s">
        <v>17</v>
      </c>
      <c r="C2338" s="4">
        <v>44771.710844247682</v>
      </c>
      <c r="D2338" t="s">
        <v>1847</v>
      </c>
      <c r="E2338" t="s">
        <v>38</v>
      </c>
      <c r="F2338" t="s">
        <v>52</v>
      </c>
      <c r="G2338" t="s">
        <v>94</v>
      </c>
      <c r="H2338" t="s">
        <v>42</v>
      </c>
      <c r="I2338" t="s">
        <v>21</v>
      </c>
      <c r="J2338" t="s">
        <v>1848</v>
      </c>
    </row>
    <row r="2339" spans="1:10" x14ac:dyDescent="0.25">
      <c r="A2339">
        <v>27836461</v>
      </c>
      <c r="B2339" t="s">
        <v>17</v>
      </c>
      <c r="C2339" s="4">
        <v>44771.710850995369</v>
      </c>
      <c r="F2339" t="s">
        <v>18</v>
      </c>
      <c r="G2339" t="s">
        <v>226</v>
      </c>
      <c r="H2339" t="s">
        <v>68</v>
      </c>
      <c r="I2339" t="s">
        <v>21</v>
      </c>
    </row>
    <row r="2340" spans="1:10" x14ac:dyDescent="0.25">
      <c r="A2340">
        <v>27836473</v>
      </c>
      <c r="B2340" t="s">
        <v>17</v>
      </c>
      <c r="C2340" s="4">
        <v>44771.711048136567</v>
      </c>
      <c r="F2340" t="s">
        <v>18</v>
      </c>
      <c r="G2340" t="s">
        <v>226</v>
      </c>
      <c r="H2340" t="s">
        <v>20</v>
      </c>
      <c r="I2340" t="s">
        <v>21</v>
      </c>
    </row>
    <row r="2341" spans="1:10" x14ac:dyDescent="0.25">
      <c r="A2341">
        <v>27836483</v>
      </c>
      <c r="B2341" t="s">
        <v>17</v>
      </c>
      <c r="C2341" s="4">
        <v>44771.711187175933</v>
      </c>
      <c r="D2341" t="s">
        <v>1849</v>
      </c>
      <c r="E2341" t="s">
        <v>1272</v>
      </c>
      <c r="F2341" t="s">
        <v>18</v>
      </c>
      <c r="G2341" t="s">
        <v>226</v>
      </c>
      <c r="H2341" t="s">
        <v>118</v>
      </c>
      <c r="I2341" t="s">
        <v>36</v>
      </c>
    </row>
    <row r="2342" spans="1:10" x14ac:dyDescent="0.25">
      <c r="A2342">
        <v>27836488</v>
      </c>
      <c r="B2342" t="s">
        <v>17</v>
      </c>
      <c r="C2342" s="4">
        <v>44771.711238020827</v>
      </c>
      <c r="D2342" t="s">
        <v>1849</v>
      </c>
      <c r="E2342" t="s">
        <v>1272</v>
      </c>
      <c r="F2342" t="s">
        <v>18</v>
      </c>
      <c r="G2342" t="s">
        <v>226</v>
      </c>
      <c r="H2342" t="s">
        <v>35</v>
      </c>
      <c r="I2342" t="s">
        <v>36</v>
      </c>
    </row>
    <row r="2343" spans="1:10" x14ac:dyDescent="0.25">
      <c r="A2343">
        <v>27836507</v>
      </c>
      <c r="B2343" t="s">
        <v>17</v>
      </c>
      <c r="C2343" s="4">
        <v>44771.711881365743</v>
      </c>
      <c r="D2343" t="s">
        <v>1849</v>
      </c>
      <c r="E2343" t="s">
        <v>1272</v>
      </c>
      <c r="F2343" t="s">
        <v>18</v>
      </c>
      <c r="G2343" t="s">
        <v>226</v>
      </c>
      <c r="H2343" t="s">
        <v>79</v>
      </c>
      <c r="I2343" t="s">
        <v>21</v>
      </c>
    </row>
    <row r="2344" spans="1:10" x14ac:dyDescent="0.25">
      <c r="A2344">
        <v>27836518</v>
      </c>
      <c r="B2344" t="s">
        <v>17</v>
      </c>
      <c r="C2344" s="4">
        <v>44771.711998125</v>
      </c>
      <c r="D2344" t="s">
        <v>1850</v>
      </c>
      <c r="E2344" t="s">
        <v>62</v>
      </c>
      <c r="F2344" t="s">
        <v>18</v>
      </c>
      <c r="G2344" t="s">
        <v>28</v>
      </c>
      <c r="H2344" t="s">
        <v>42</v>
      </c>
      <c r="I2344" t="s">
        <v>21</v>
      </c>
      <c r="J2344" t="s">
        <v>1851</v>
      </c>
    </row>
    <row r="2345" spans="1:10" x14ac:dyDescent="0.25">
      <c r="A2345">
        <v>27836523</v>
      </c>
      <c r="B2345" t="s">
        <v>17</v>
      </c>
      <c r="C2345" s="4">
        <v>44771.712052812501</v>
      </c>
      <c r="D2345" t="s">
        <v>1850</v>
      </c>
      <c r="E2345" t="s">
        <v>62</v>
      </c>
      <c r="F2345" t="s">
        <v>18</v>
      </c>
      <c r="G2345" t="s">
        <v>28</v>
      </c>
      <c r="H2345" t="s">
        <v>54</v>
      </c>
      <c r="I2345" t="s">
        <v>21</v>
      </c>
      <c r="J2345" t="s">
        <v>1851</v>
      </c>
    </row>
    <row r="2346" spans="1:10" x14ac:dyDescent="0.25">
      <c r="A2346">
        <v>27836529</v>
      </c>
      <c r="B2346" t="s">
        <v>17</v>
      </c>
      <c r="C2346" s="4">
        <v>44771.712149930558</v>
      </c>
      <c r="D2346" t="s">
        <v>1843</v>
      </c>
      <c r="E2346" t="s">
        <v>38</v>
      </c>
      <c r="F2346" t="s">
        <v>52</v>
      </c>
      <c r="G2346" t="s">
        <v>134</v>
      </c>
      <c r="H2346" t="s">
        <v>54</v>
      </c>
      <c r="I2346" t="s">
        <v>21</v>
      </c>
      <c r="J2346" t="s">
        <v>1844</v>
      </c>
    </row>
    <row r="2347" spans="1:10" x14ac:dyDescent="0.25">
      <c r="A2347">
        <v>27836536</v>
      </c>
      <c r="B2347" t="s">
        <v>17</v>
      </c>
      <c r="C2347" s="4">
        <v>44771.712445023149</v>
      </c>
      <c r="D2347" t="s">
        <v>1847</v>
      </c>
      <c r="E2347" t="s">
        <v>38</v>
      </c>
      <c r="F2347" t="s">
        <v>52</v>
      </c>
      <c r="G2347" t="s">
        <v>94</v>
      </c>
      <c r="H2347" t="s">
        <v>54</v>
      </c>
      <c r="I2347" t="s">
        <v>21</v>
      </c>
      <c r="J2347" t="s">
        <v>1848</v>
      </c>
    </row>
    <row r="2348" spans="1:10" x14ac:dyDescent="0.25">
      <c r="A2348">
        <v>27836576</v>
      </c>
      <c r="B2348" t="s">
        <v>17</v>
      </c>
      <c r="C2348" s="4">
        <v>44771.71379519676</v>
      </c>
      <c r="D2348" t="s">
        <v>1852</v>
      </c>
      <c r="E2348" t="s">
        <v>191</v>
      </c>
      <c r="F2348" t="s">
        <v>57</v>
      </c>
      <c r="G2348" t="s">
        <v>321</v>
      </c>
      <c r="H2348" t="s">
        <v>42</v>
      </c>
      <c r="I2348" t="s">
        <v>21</v>
      </c>
      <c r="J2348" t="s">
        <v>475</v>
      </c>
    </row>
    <row r="2349" spans="1:10" x14ac:dyDescent="0.25">
      <c r="A2349">
        <v>27836581</v>
      </c>
      <c r="B2349" t="s">
        <v>17</v>
      </c>
      <c r="C2349" s="4">
        <v>44771.71389900463</v>
      </c>
      <c r="D2349" t="s">
        <v>1853</v>
      </c>
      <c r="E2349" t="s">
        <v>129</v>
      </c>
      <c r="F2349" t="s">
        <v>49</v>
      </c>
      <c r="G2349" t="s">
        <v>50</v>
      </c>
      <c r="H2349" t="s">
        <v>29</v>
      </c>
      <c r="I2349" t="s">
        <v>21</v>
      </c>
      <c r="J2349" t="s">
        <v>1854</v>
      </c>
    </row>
    <row r="2350" spans="1:10" x14ac:dyDescent="0.25">
      <c r="A2350">
        <v>27836599</v>
      </c>
      <c r="B2350" t="s">
        <v>17</v>
      </c>
      <c r="C2350" s="4">
        <v>44771.714030347219</v>
      </c>
      <c r="D2350" t="s">
        <v>1839</v>
      </c>
      <c r="E2350" t="s">
        <v>27</v>
      </c>
      <c r="F2350" t="s">
        <v>18</v>
      </c>
      <c r="G2350" t="s">
        <v>375</v>
      </c>
      <c r="H2350" t="s">
        <v>40</v>
      </c>
      <c r="I2350" t="s">
        <v>21</v>
      </c>
      <c r="J2350" t="s">
        <v>1840</v>
      </c>
    </row>
    <row r="2351" spans="1:10" x14ac:dyDescent="0.25">
      <c r="A2351">
        <v>27836602</v>
      </c>
      <c r="B2351" t="s">
        <v>17</v>
      </c>
      <c r="C2351" s="4">
        <v>44771.714331967603</v>
      </c>
      <c r="D2351" t="s">
        <v>1852</v>
      </c>
      <c r="E2351" t="s">
        <v>191</v>
      </c>
      <c r="F2351" t="s">
        <v>57</v>
      </c>
      <c r="G2351" t="s">
        <v>321</v>
      </c>
      <c r="H2351" t="s">
        <v>54</v>
      </c>
      <c r="I2351" t="s">
        <v>21</v>
      </c>
      <c r="J2351" t="s">
        <v>475</v>
      </c>
    </row>
    <row r="2352" spans="1:10" x14ac:dyDescent="0.25">
      <c r="A2352">
        <v>27836607</v>
      </c>
      <c r="B2352" t="s">
        <v>17</v>
      </c>
      <c r="C2352" s="4">
        <v>44771.714443715267</v>
      </c>
      <c r="D2352" t="s">
        <v>1855</v>
      </c>
      <c r="E2352" t="s">
        <v>38</v>
      </c>
      <c r="F2352" t="s">
        <v>49</v>
      </c>
      <c r="G2352" t="s">
        <v>106</v>
      </c>
      <c r="H2352" t="s">
        <v>29</v>
      </c>
      <c r="I2352" t="s">
        <v>21</v>
      </c>
      <c r="J2352" t="s">
        <v>1856</v>
      </c>
    </row>
    <row r="2353" spans="1:10" x14ac:dyDescent="0.25">
      <c r="A2353">
        <v>27836613</v>
      </c>
      <c r="B2353" t="s">
        <v>17</v>
      </c>
      <c r="C2353" s="4">
        <v>44771.71447421296</v>
      </c>
      <c r="D2353" t="s">
        <v>1839</v>
      </c>
      <c r="E2353" t="s">
        <v>27</v>
      </c>
      <c r="F2353" t="s">
        <v>18</v>
      </c>
      <c r="G2353" t="s">
        <v>375</v>
      </c>
      <c r="H2353" t="s">
        <v>25</v>
      </c>
      <c r="I2353" t="s">
        <v>21</v>
      </c>
      <c r="J2353" t="s">
        <v>1840</v>
      </c>
    </row>
    <row r="2354" spans="1:10" x14ac:dyDescent="0.25">
      <c r="A2354">
        <v>27836649</v>
      </c>
      <c r="B2354" t="s">
        <v>17</v>
      </c>
      <c r="C2354" s="4">
        <v>44771.71460230324</v>
      </c>
      <c r="D2354" t="s">
        <v>1771</v>
      </c>
      <c r="E2354" t="s">
        <v>129</v>
      </c>
      <c r="F2354" t="s">
        <v>49</v>
      </c>
      <c r="G2354" t="s">
        <v>250</v>
      </c>
      <c r="H2354" t="s">
        <v>29</v>
      </c>
      <c r="I2354" t="s">
        <v>21</v>
      </c>
      <c r="J2354" t="s">
        <v>630</v>
      </c>
    </row>
    <row r="2355" spans="1:10" x14ac:dyDescent="0.25">
      <c r="A2355">
        <v>27836661</v>
      </c>
      <c r="B2355" t="s">
        <v>17</v>
      </c>
      <c r="C2355" s="4">
        <v>44771.714762013893</v>
      </c>
      <c r="F2355" t="s">
        <v>18</v>
      </c>
      <c r="G2355" t="s">
        <v>278</v>
      </c>
      <c r="H2355" t="s">
        <v>196</v>
      </c>
      <c r="I2355" t="s">
        <v>21</v>
      </c>
    </row>
    <row r="2356" spans="1:10" x14ac:dyDescent="0.25">
      <c r="A2356">
        <v>27836665</v>
      </c>
      <c r="B2356" t="s">
        <v>17</v>
      </c>
      <c r="C2356" s="4">
        <v>44771.714834340281</v>
      </c>
      <c r="F2356" t="s">
        <v>18</v>
      </c>
      <c r="G2356" t="s">
        <v>278</v>
      </c>
      <c r="H2356" t="s">
        <v>67</v>
      </c>
      <c r="I2356" t="s">
        <v>21</v>
      </c>
    </row>
    <row r="2357" spans="1:10" x14ac:dyDescent="0.25">
      <c r="A2357">
        <v>27836680</v>
      </c>
      <c r="B2357" t="s">
        <v>17</v>
      </c>
      <c r="C2357" s="4">
        <v>44771.715370358797</v>
      </c>
      <c r="F2357" t="s">
        <v>18</v>
      </c>
      <c r="G2357" t="s">
        <v>278</v>
      </c>
      <c r="H2357" t="s">
        <v>68</v>
      </c>
      <c r="I2357" t="s">
        <v>21</v>
      </c>
    </row>
    <row r="2358" spans="1:10" x14ac:dyDescent="0.25">
      <c r="A2358">
        <v>27836685</v>
      </c>
      <c r="B2358" t="s">
        <v>17</v>
      </c>
      <c r="C2358" s="4">
        <v>44771.715422013891</v>
      </c>
      <c r="F2358" t="s">
        <v>18</v>
      </c>
      <c r="G2358" t="s">
        <v>278</v>
      </c>
      <c r="H2358" t="s">
        <v>195</v>
      </c>
      <c r="I2358" t="s">
        <v>21</v>
      </c>
    </row>
    <row r="2359" spans="1:10" x14ac:dyDescent="0.25">
      <c r="A2359">
        <v>27836703</v>
      </c>
      <c r="B2359" t="s">
        <v>17</v>
      </c>
      <c r="C2359" s="4">
        <v>44771.715850300927</v>
      </c>
      <c r="D2359" t="s">
        <v>1857</v>
      </c>
      <c r="E2359" t="s">
        <v>1330</v>
      </c>
      <c r="F2359" t="s">
        <v>49</v>
      </c>
      <c r="G2359" t="s">
        <v>213</v>
      </c>
      <c r="H2359" t="s">
        <v>29</v>
      </c>
      <c r="I2359" t="s">
        <v>21</v>
      </c>
      <c r="J2359" t="s">
        <v>1858</v>
      </c>
    </row>
    <row r="2360" spans="1:10" x14ac:dyDescent="0.25">
      <c r="A2360">
        <v>27836716</v>
      </c>
      <c r="B2360" t="s">
        <v>17</v>
      </c>
      <c r="C2360" s="4">
        <v>44771.715933460648</v>
      </c>
      <c r="D2360" t="s">
        <v>1843</v>
      </c>
      <c r="E2360" t="s">
        <v>38</v>
      </c>
      <c r="F2360" t="s">
        <v>52</v>
      </c>
      <c r="G2360" t="s">
        <v>134</v>
      </c>
      <c r="H2360" t="s">
        <v>40</v>
      </c>
      <c r="I2360" t="s">
        <v>21</v>
      </c>
      <c r="J2360" t="s">
        <v>1844</v>
      </c>
    </row>
    <row r="2361" spans="1:10" x14ac:dyDescent="0.25">
      <c r="A2361">
        <v>27836732</v>
      </c>
      <c r="B2361" t="s">
        <v>17</v>
      </c>
      <c r="C2361" s="4">
        <v>44771.716283530091</v>
      </c>
      <c r="D2361" t="s">
        <v>1859</v>
      </c>
      <c r="E2361" t="s">
        <v>48</v>
      </c>
      <c r="F2361" t="s">
        <v>49</v>
      </c>
      <c r="G2361" t="s">
        <v>213</v>
      </c>
      <c r="H2361" t="s">
        <v>42</v>
      </c>
      <c r="I2361" t="s">
        <v>21</v>
      </c>
      <c r="J2361" t="s">
        <v>1860</v>
      </c>
    </row>
    <row r="2362" spans="1:10" x14ac:dyDescent="0.25">
      <c r="A2362">
        <v>27836735</v>
      </c>
      <c r="B2362" t="s">
        <v>17</v>
      </c>
      <c r="C2362" s="4">
        <v>44771.716365636566</v>
      </c>
      <c r="D2362" t="s">
        <v>1843</v>
      </c>
      <c r="E2362" t="s">
        <v>38</v>
      </c>
      <c r="F2362" t="s">
        <v>52</v>
      </c>
      <c r="G2362" t="s">
        <v>134</v>
      </c>
      <c r="H2362" t="s">
        <v>25</v>
      </c>
      <c r="I2362" t="s">
        <v>21</v>
      </c>
      <c r="J2362" t="s">
        <v>1844</v>
      </c>
    </row>
    <row r="2363" spans="1:10" x14ac:dyDescent="0.25">
      <c r="A2363">
        <v>27836752</v>
      </c>
      <c r="B2363" t="s">
        <v>17</v>
      </c>
      <c r="C2363" s="4">
        <v>44771.716630949071</v>
      </c>
      <c r="D2363" t="s">
        <v>1861</v>
      </c>
      <c r="E2363" t="s">
        <v>27</v>
      </c>
      <c r="F2363" t="s">
        <v>18</v>
      </c>
      <c r="G2363" t="s">
        <v>226</v>
      </c>
      <c r="H2363" t="s">
        <v>42</v>
      </c>
      <c r="I2363" t="s">
        <v>21</v>
      </c>
      <c r="J2363" t="s">
        <v>1862</v>
      </c>
    </row>
    <row r="2364" spans="1:10" x14ac:dyDescent="0.25">
      <c r="A2364">
        <v>27836757</v>
      </c>
      <c r="B2364" t="s">
        <v>17</v>
      </c>
      <c r="C2364" s="4">
        <v>44771.71668056713</v>
      </c>
      <c r="D2364" t="s">
        <v>1861</v>
      </c>
      <c r="E2364" t="s">
        <v>27</v>
      </c>
      <c r="F2364" t="s">
        <v>18</v>
      </c>
      <c r="G2364" t="s">
        <v>226</v>
      </c>
      <c r="H2364" t="s">
        <v>54</v>
      </c>
      <c r="I2364" t="s">
        <v>21</v>
      </c>
      <c r="J2364" t="s">
        <v>1862</v>
      </c>
    </row>
    <row r="2365" spans="1:10" x14ac:dyDescent="0.25">
      <c r="A2365">
        <v>27836795</v>
      </c>
      <c r="B2365" t="s">
        <v>17</v>
      </c>
      <c r="C2365" s="4">
        <v>44771.717614849527</v>
      </c>
      <c r="D2365" t="s">
        <v>1863</v>
      </c>
      <c r="E2365" t="s">
        <v>62</v>
      </c>
      <c r="F2365" t="s">
        <v>49</v>
      </c>
      <c r="G2365" t="s">
        <v>359</v>
      </c>
      <c r="H2365" t="s">
        <v>42</v>
      </c>
      <c r="I2365" t="s">
        <v>21</v>
      </c>
      <c r="J2365" t="s">
        <v>1864</v>
      </c>
    </row>
    <row r="2366" spans="1:10" x14ac:dyDescent="0.25">
      <c r="A2366">
        <v>27836813</v>
      </c>
      <c r="B2366" t="s">
        <v>17</v>
      </c>
      <c r="C2366" s="4">
        <v>44771.718300023153</v>
      </c>
      <c r="D2366" t="s">
        <v>1850</v>
      </c>
      <c r="E2366" t="s">
        <v>62</v>
      </c>
      <c r="F2366" t="s">
        <v>18</v>
      </c>
      <c r="G2366" t="s">
        <v>28</v>
      </c>
      <c r="H2366" t="s">
        <v>40</v>
      </c>
      <c r="I2366" t="s">
        <v>21</v>
      </c>
      <c r="J2366" t="s">
        <v>1851</v>
      </c>
    </row>
    <row r="2367" spans="1:10" x14ac:dyDescent="0.25">
      <c r="A2367">
        <v>27836817</v>
      </c>
      <c r="B2367" t="s">
        <v>17</v>
      </c>
      <c r="C2367" s="4">
        <v>44771.718460717602</v>
      </c>
      <c r="D2367" t="s">
        <v>1847</v>
      </c>
      <c r="E2367" t="s">
        <v>38</v>
      </c>
      <c r="F2367" t="s">
        <v>52</v>
      </c>
      <c r="G2367" t="s">
        <v>94</v>
      </c>
      <c r="H2367" t="s">
        <v>40</v>
      </c>
      <c r="I2367" t="s">
        <v>21</v>
      </c>
      <c r="J2367" t="s">
        <v>1848</v>
      </c>
    </row>
    <row r="2368" spans="1:10" x14ac:dyDescent="0.25">
      <c r="A2368">
        <v>27836826</v>
      </c>
      <c r="B2368" t="s">
        <v>17</v>
      </c>
      <c r="C2368" s="4">
        <v>44771.718647928239</v>
      </c>
      <c r="F2368" t="s">
        <v>18</v>
      </c>
      <c r="G2368" t="s">
        <v>278</v>
      </c>
      <c r="H2368" t="s">
        <v>464</v>
      </c>
      <c r="I2368" t="s">
        <v>21</v>
      </c>
    </row>
    <row r="2369" spans="1:10" x14ac:dyDescent="0.25">
      <c r="A2369">
        <v>27836843</v>
      </c>
      <c r="B2369" t="s">
        <v>17</v>
      </c>
      <c r="C2369" s="4">
        <v>44771.718826273151</v>
      </c>
      <c r="D2369" t="s">
        <v>1850</v>
      </c>
      <c r="E2369" t="s">
        <v>62</v>
      </c>
      <c r="F2369" t="s">
        <v>18</v>
      </c>
      <c r="G2369" t="s">
        <v>28</v>
      </c>
      <c r="H2369" t="s">
        <v>25</v>
      </c>
      <c r="I2369" t="s">
        <v>21</v>
      </c>
      <c r="J2369" t="s">
        <v>1851</v>
      </c>
    </row>
    <row r="2370" spans="1:10" x14ac:dyDescent="0.25">
      <c r="A2370">
        <v>27836854</v>
      </c>
      <c r="B2370" t="s">
        <v>17</v>
      </c>
      <c r="C2370" s="4">
        <v>44771.718905694448</v>
      </c>
      <c r="D2370" t="s">
        <v>1847</v>
      </c>
      <c r="E2370" t="s">
        <v>38</v>
      </c>
      <c r="F2370" t="s">
        <v>52</v>
      </c>
      <c r="G2370" t="s">
        <v>94</v>
      </c>
      <c r="H2370" t="s">
        <v>25</v>
      </c>
      <c r="I2370" t="s">
        <v>21</v>
      </c>
      <c r="J2370" t="s">
        <v>1848</v>
      </c>
    </row>
    <row r="2371" spans="1:10" x14ac:dyDescent="0.25">
      <c r="A2371">
        <v>27836867</v>
      </c>
      <c r="B2371" t="s">
        <v>17</v>
      </c>
      <c r="C2371" s="4">
        <v>44771.718946412038</v>
      </c>
      <c r="D2371" t="s">
        <v>1865</v>
      </c>
      <c r="E2371" t="s">
        <v>62</v>
      </c>
      <c r="F2371" t="s">
        <v>18</v>
      </c>
      <c r="G2371" t="s">
        <v>61</v>
      </c>
      <c r="H2371" t="s">
        <v>42</v>
      </c>
      <c r="I2371" t="s">
        <v>21</v>
      </c>
      <c r="J2371" t="s">
        <v>1866</v>
      </c>
    </row>
    <row r="2372" spans="1:10" x14ac:dyDescent="0.25">
      <c r="A2372">
        <v>27836876</v>
      </c>
      <c r="B2372" t="s">
        <v>17</v>
      </c>
      <c r="C2372" s="4">
        <v>44771.719055092603</v>
      </c>
      <c r="D2372" t="s">
        <v>1865</v>
      </c>
      <c r="E2372" t="s">
        <v>62</v>
      </c>
      <c r="F2372" t="s">
        <v>18</v>
      </c>
      <c r="G2372" t="s">
        <v>61</v>
      </c>
      <c r="H2372" t="s">
        <v>54</v>
      </c>
      <c r="I2372" t="s">
        <v>21</v>
      </c>
      <c r="J2372" t="s">
        <v>1866</v>
      </c>
    </row>
    <row r="2373" spans="1:10" x14ac:dyDescent="0.25">
      <c r="A2373">
        <v>27836882</v>
      </c>
      <c r="B2373" t="s">
        <v>17</v>
      </c>
      <c r="C2373" s="4">
        <v>44771.719130578713</v>
      </c>
      <c r="D2373" t="s">
        <v>1865</v>
      </c>
      <c r="E2373" t="s">
        <v>62</v>
      </c>
      <c r="F2373" t="s">
        <v>18</v>
      </c>
      <c r="G2373" t="s">
        <v>61</v>
      </c>
      <c r="H2373" t="s">
        <v>118</v>
      </c>
      <c r="I2373" t="s">
        <v>36</v>
      </c>
      <c r="J2373" t="s">
        <v>1866</v>
      </c>
    </row>
    <row r="2374" spans="1:10" x14ac:dyDescent="0.25">
      <c r="A2374">
        <v>27836906</v>
      </c>
      <c r="B2374" t="s">
        <v>17</v>
      </c>
      <c r="C2374" s="4">
        <v>44771.719475636572</v>
      </c>
      <c r="D2374" t="s">
        <v>1867</v>
      </c>
      <c r="E2374" t="s">
        <v>38</v>
      </c>
      <c r="F2374" t="s">
        <v>31</v>
      </c>
      <c r="G2374" t="s">
        <v>166</v>
      </c>
      <c r="H2374" t="s">
        <v>42</v>
      </c>
      <c r="I2374" t="s">
        <v>21</v>
      </c>
      <c r="J2374" t="s">
        <v>562</v>
      </c>
    </row>
    <row r="2375" spans="1:10" x14ac:dyDescent="0.25">
      <c r="A2375">
        <v>27836910</v>
      </c>
      <c r="B2375" t="s">
        <v>17</v>
      </c>
      <c r="C2375" s="4">
        <v>44771.719523460648</v>
      </c>
      <c r="D2375" t="s">
        <v>1865</v>
      </c>
      <c r="E2375" t="s">
        <v>62</v>
      </c>
      <c r="F2375" t="s">
        <v>18</v>
      </c>
      <c r="G2375" t="s">
        <v>61</v>
      </c>
      <c r="H2375" t="s">
        <v>35</v>
      </c>
      <c r="I2375" t="s">
        <v>36</v>
      </c>
      <c r="J2375" t="s">
        <v>1866</v>
      </c>
    </row>
    <row r="2376" spans="1:10" x14ac:dyDescent="0.25">
      <c r="A2376">
        <v>27836914</v>
      </c>
      <c r="B2376" t="s">
        <v>17</v>
      </c>
      <c r="C2376" s="4">
        <v>44771.719571539354</v>
      </c>
      <c r="D2376" t="s">
        <v>1865</v>
      </c>
      <c r="E2376" t="s">
        <v>62</v>
      </c>
      <c r="F2376" t="s">
        <v>18</v>
      </c>
      <c r="G2376" t="s">
        <v>61</v>
      </c>
      <c r="H2376" t="s">
        <v>118</v>
      </c>
      <c r="I2376" t="s">
        <v>36</v>
      </c>
      <c r="J2376" t="s">
        <v>1866</v>
      </c>
    </row>
    <row r="2377" spans="1:10" x14ac:dyDescent="0.25">
      <c r="A2377">
        <v>27836927</v>
      </c>
      <c r="B2377" t="s">
        <v>17</v>
      </c>
      <c r="C2377" s="4">
        <v>44771.719981817128</v>
      </c>
      <c r="D2377" t="s">
        <v>1865</v>
      </c>
      <c r="E2377" t="s">
        <v>62</v>
      </c>
      <c r="F2377" t="s">
        <v>18</v>
      </c>
      <c r="G2377" t="s">
        <v>61</v>
      </c>
      <c r="H2377" t="s">
        <v>35</v>
      </c>
      <c r="I2377" t="s">
        <v>36</v>
      </c>
      <c r="J2377" t="s">
        <v>1866</v>
      </c>
    </row>
    <row r="2378" spans="1:10" x14ac:dyDescent="0.25">
      <c r="A2378">
        <v>27836937</v>
      </c>
      <c r="B2378" t="s">
        <v>17</v>
      </c>
      <c r="C2378" s="4">
        <v>44771.720216111113</v>
      </c>
      <c r="D2378" t="s">
        <v>1867</v>
      </c>
      <c r="E2378" t="s">
        <v>38</v>
      </c>
      <c r="F2378" t="s">
        <v>31</v>
      </c>
      <c r="G2378" t="s">
        <v>166</v>
      </c>
      <c r="H2378" t="s">
        <v>54</v>
      </c>
      <c r="I2378" t="s">
        <v>21</v>
      </c>
      <c r="J2378" t="s">
        <v>562</v>
      </c>
    </row>
    <row r="2379" spans="1:10" x14ac:dyDescent="0.25">
      <c r="A2379">
        <v>27836950</v>
      </c>
      <c r="B2379" t="s">
        <v>17</v>
      </c>
      <c r="C2379" s="4">
        <v>44771.720450219909</v>
      </c>
      <c r="D2379" t="s">
        <v>1868</v>
      </c>
      <c r="E2379" t="s">
        <v>123</v>
      </c>
      <c r="F2379" t="s">
        <v>49</v>
      </c>
      <c r="G2379" t="s">
        <v>130</v>
      </c>
      <c r="H2379" t="s">
        <v>42</v>
      </c>
      <c r="I2379" t="s">
        <v>21</v>
      </c>
      <c r="J2379" t="s">
        <v>202</v>
      </c>
    </row>
    <row r="2380" spans="1:10" x14ac:dyDescent="0.25">
      <c r="A2380">
        <v>27836968</v>
      </c>
      <c r="B2380" t="s">
        <v>17</v>
      </c>
      <c r="C2380" s="4">
        <v>44771.721023715283</v>
      </c>
      <c r="D2380" t="s">
        <v>1861</v>
      </c>
      <c r="E2380" t="s">
        <v>27</v>
      </c>
      <c r="F2380" t="s">
        <v>18</v>
      </c>
      <c r="G2380" t="s">
        <v>226</v>
      </c>
      <c r="H2380" t="s">
        <v>40</v>
      </c>
      <c r="I2380" t="s">
        <v>21</v>
      </c>
      <c r="J2380" t="s">
        <v>1862</v>
      </c>
    </row>
    <row r="2381" spans="1:10" x14ac:dyDescent="0.25">
      <c r="A2381">
        <v>27836979</v>
      </c>
      <c r="B2381" t="s">
        <v>17</v>
      </c>
      <c r="C2381" s="4">
        <v>44771.721473506943</v>
      </c>
      <c r="D2381" t="s">
        <v>1861</v>
      </c>
      <c r="E2381" t="s">
        <v>27</v>
      </c>
      <c r="F2381" t="s">
        <v>18</v>
      </c>
      <c r="G2381" t="s">
        <v>226</v>
      </c>
      <c r="H2381" t="s">
        <v>25</v>
      </c>
      <c r="I2381" t="s">
        <v>21</v>
      </c>
      <c r="J2381" t="s">
        <v>1862</v>
      </c>
    </row>
    <row r="2382" spans="1:10" x14ac:dyDescent="0.25">
      <c r="A2382">
        <v>27837017</v>
      </c>
      <c r="B2382" t="s">
        <v>17</v>
      </c>
      <c r="C2382" s="4">
        <v>44771.722012997678</v>
      </c>
      <c r="D2382" t="s">
        <v>1869</v>
      </c>
      <c r="E2382" t="s">
        <v>72</v>
      </c>
      <c r="F2382" t="s">
        <v>49</v>
      </c>
      <c r="G2382" t="s">
        <v>132</v>
      </c>
      <c r="H2382" t="s">
        <v>42</v>
      </c>
      <c r="I2382" t="s">
        <v>21</v>
      </c>
      <c r="J2382" t="s">
        <v>1870</v>
      </c>
    </row>
    <row r="2383" spans="1:10" x14ac:dyDescent="0.25">
      <c r="A2383">
        <v>27837049</v>
      </c>
      <c r="B2383" t="s">
        <v>17</v>
      </c>
      <c r="C2383" s="4">
        <v>44771.722698321762</v>
      </c>
      <c r="D2383" t="s">
        <v>1852</v>
      </c>
      <c r="E2383" t="s">
        <v>191</v>
      </c>
      <c r="F2383" t="s">
        <v>57</v>
      </c>
      <c r="G2383" t="s">
        <v>321</v>
      </c>
      <c r="H2383" t="s">
        <v>40</v>
      </c>
      <c r="I2383" t="s">
        <v>21</v>
      </c>
      <c r="J2383" t="s">
        <v>475</v>
      </c>
    </row>
    <row r="2384" spans="1:10" x14ac:dyDescent="0.25">
      <c r="A2384">
        <v>27837063</v>
      </c>
      <c r="B2384" t="s">
        <v>17</v>
      </c>
      <c r="C2384" s="4">
        <v>44771.722945173613</v>
      </c>
      <c r="D2384" t="s">
        <v>1863</v>
      </c>
      <c r="E2384" t="s">
        <v>62</v>
      </c>
      <c r="F2384" t="s">
        <v>49</v>
      </c>
      <c r="G2384" t="s">
        <v>359</v>
      </c>
      <c r="H2384" t="s">
        <v>239</v>
      </c>
      <c r="I2384" t="s">
        <v>21</v>
      </c>
      <c r="J2384" t="s">
        <v>1864</v>
      </c>
    </row>
    <row r="2385" spans="1:10" x14ac:dyDescent="0.25">
      <c r="A2385">
        <v>27837064</v>
      </c>
      <c r="B2385" t="s">
        <v>17</v>
      </c>
      <c r="C2385" s="4">
        <v>44771.722948356481</v>
      </c>
      <c r="D2385" t="s">
        <v>1863</v>
      </c>
      <c r="E2385" t="s">
        <v>62</v>
      </c>
      <c r="F2385" t="s">
        <v>49</v>
      </c>
      <c r="G2385" t="s">
        <v>359</v>
      </c>
      <c r="H2385" t="s">
        <v>240</v>
      </c>
      <c r="I2385" t="s">
        <v>21</v>
      </c>
      <c r="J2385" t="s">
        <v>1864</v>
      </c>
    </row>
    <row r="2386" spans="1:10" x14ac:dyDescent="0.25">
      <c r="A2386">
        <v>27837071</v>
      </c>
      <c r="B2386" t="s">
        <v>17</v>
      </c>
      <c r="C2386" s="4">
        <v>44771.72303321759</v>
      </c>
      <c r="D2386" t="s">
        <v>1457</v>
      </c>
      <c r="E2386" t="s">
        <v>38</v>
      </c>
      <c r="F2386" t="s">
        <v>23</v>
      </c>
      <c r="G2386" t="s">
        <v>172</v>
      </c>
      <c r="H2386" t="s">
        <v>29</v>
      </c>
      <c r="I2386" t="s">
        <v>21</v>
      </c>
      <c r="J2386" t="s">
        <v>1458</v>
      </c>
    </row>
    <row r="2387" spans="1:10" x14ac:dyDescent="0.25">
      <c r="A2387">
        <v>27837078</v>
      </c>
      <c r="B2387" t="s">
        <v>17</v>
      </c>
      <c r="C2387" s="4">
        <v>44771.723118773138</v>
      </c>
      <c r="D2387" t="s">
        <v>1852</v>
      </c>
      <c r="E2387" t="s">
        <v>191</v>
      </c>
      <c r="F2387" t="s">
        <v>57</v>
      </c>
      <c r="G2387" t="s">
        <v>321</v>
      </c>
      <c r="H2387" t="s">
        <v>25</v>
      </c>
      <c r="I2387" t="s">
        <v>21</v>
      </c>
      <c r="J2387" t="s">
        <v>475</v>
      </c>
    </row>
    <row r="2388" spans="1:10" x14ac:dyDescent="0.25">
      <c r="A2388">
        <v>27837096</v>
      </c>
      <c r="B2388" t="s">
        <v>17</v>
      </c>
      <c r="C2388" s="4">
        <v>44771.723321296296</v>
      </c>
      <c r="D2388" t="s">
        <v>1865</v>
      </c>
      <c r="E2388" t="s">
        <v>62</v>
      </c>
      <c r="F2388" t="s">
        <v>18</v>
      </c>
      <c r="G2388" t="s">
        <v>61</v>
      </c>
      <c r="H2388" t="s">
        <v>40</v>
      </c>
      <c r="I2388" t="s">
        <v>21</v>
      </c>
      <c r="J2388" t="s">
        <v>1866</v>
      </c>
    </row>
    <row r="2389" spans="1:10" x14ac:dyDescent="0.25">
      <c r="A2389">
        <v>27837107</v>
      </c>
      <c r="B2389" t="s">
        <v>17</v>
      </c>
      <c r="C2389" s="4">
        <v>44771.72351447917</v>
      </c>
      <c r="D2389" t="s">
        <v>1871</v>
      </c>
      <c r="E2389" t="s">
        <v>22</v>
      </c>
      <c r="F2389" t="s">
        <v>23</v>
      </c>
      <c r="G2389" t="s">
        <v>187</v>
      </c>
      <c r="H2389" t="s">
        <v>42</v>
      </c>
      <c r="I2389" t="s">
        <v>21</v>
      </c>
      <c r="J2389" t="s">
        <v>440</v>
      </c>
    </row>
    <row r="2390" spans="1:10" x14ac:dyDescent="0.25">
      <c r="A2390">
        <v>27837110</v>
      </c>
      <c r="B2390" t="s">
        <v>17</v>
      </c>
      <c r="C2390" s="4">
        <v>44771.723560972219</v>
      </c>
      <c r="D2390" t="s">
        <v>1872</v>
      </c>
      <c r="E2390" t="s">
        <v>27</v>
      </c>
      <c r="F2390" t="s">
        <v>18</v>
      </c>
      <c r="G2390" t="s">
        <v>285</v>
      </c>
      <c r="H2390" t="s">
        <v>29</v>
      </c>
      <c r="I2390" t="s">
        <v>21</v>
      </c>
      <c r="J2390" t="s">
        <v>1873</v>
      </c>
    </row>
    <row r="2391" spans="1:10" x14ac:dyDescent="0.25">
      <c r="A2391">
        <v>27837116</v>
      </c>
      <c r="B2391" t="s">
        <v>17</v>
      </c>
      <c r="C2391" s="4">
        <v>44771.723572280091</v>
      </c>
      <c r="D2391" t="s">
        <v>1859</v>
      </c>
      <c r="E2391" t="s">
        <v>48</v>
      </c>
      <c r="F2391" t="s">
        <v>49</v>
      </c>
      <c r="G2391" t="s">
        <v>213</v>
      </c>
      <c r="H2391" t="s">
        <v>54</v>
      </c>
      <c r="I2391" t="s">
        <v>21</v>
      </c>
      <c r="J2391" t="s">
        <v>1860</v>
      </c>
    </row>
    <row r="2392" spans="1:10" x14ac:dyDescent="0.25">
      <c r="A2392">
        <v>27837123</v>
      </c>
      <c r="B2392" t="s">
        <v>17</v>
      </c>
      <c r="C2392" s="4">
        <v>44771.723590740738</v>
      </c>
      <c r="D2392" t="s">
        <v>1863</v>
      </c>
      <c r="E2392" t="s">
        <v>62</v>
      </c>
      <c r="F2392" t="s">
        <v>49</v>
      </c>
      <c r="G2392" t="s">
        <v>359</v>
      </c>
      <c r="H2392" t="s">
        <v>40</v>
      </c>
      <c r="I2392" t="s">
        <v>21</v>
      </c>
      <c r="J2392" t="s">
        <v>1864</v>
      </c>
    </row>
    <row r="2393" spans="1:10" x14ac:dyDescent="0.25">
      <c r="A2393">
        <v>27837134</v>
      </c>
      <c r="B2393" t="s">
        <v>17</v>
      </c>
      <c r="C2393" s="4">
        <v>44771.723744189818</v>
      </c>
      <c r="D2393" t="s">
        <v>1865</v>
      </c>
      <c r="E2393" t="s">
        <v>62</v>
      </c>
      <c r="F2393" t="s">
        <v>18</v>
      </c>
      <c r="G2393" t="s">
        <v>61</v>
      </c>
      <c r="H2393" t="s">
        <v>25</v>
      </c>
      <c r="I2393" t="s">
        <v>21</v>
      </c>
      <c r="J2393" t="s">
        <v>1866</v>
      </c>
    </row>
    <row r="2394" spans="1:10" x14ac:dyDescent="0.25">
      <c r="A2394">
        <v>27837156</v>
      </c>
      <c r="B2394" t="s">
        <v>17</v>
      </c>
      <c r="C2394" s="4">
        <v>44771.72413052083</v>
      </c>
      <c r="D2394" t="s">
        <v>1863</v>
      </c>
      <c r="E2394" t="s">
        <v>62</v>
      </c>
      <c r="F2394" t="s">
        <v>49</v>
      </c>
      <c r="G2394" t="s">
        <v>359</v>
      </c>
      <c r="H2394" t="s">
        <v>25</v>
      </c>
      <c r="I2394" t="s">
        <v>21</v>
      </c>
      <c r="J2394" t="s">
        <v>1864</v>
      </c>
    </row>
    <row r="2395" spans="1:10" x14ac:dyDescent="0.25">
      <c r="A2395">
        <v>27837181</v>
      </c>
      <c r="B2395" t="s">
        <v>17</v>
      </c>
      <c r="C2395" s="4">
        <v>44771.724868136567</v>
      </c>
      <c r="D2395" t="s">
        <v>1874</v>
      </c>
      <c r="E2395" t="s">
        <v>38</v>
      </c>
      <c r="F2395" t="s">
        <v>23</v>
      </c>
      <c r="G2395" t="s">
        <v>108</v>
      </c>
      <c r="H2395" t="s">
        <v>29</v>
      </c>
      <c r="I2395" t="s">
        <v>21</v>
      </c>
      <c r="J2395" t="s">
        <v>1875</v>
      </c>
    </row>
    <row r="2396" spans="1:10" x14ac:dyDescent="0.25">
      <c r="A2396">
        <v>27837189</v>
      </c>
      <c r="B2396" t="s">
        <v>17</v>
      </c>
      <c r="C2396" s="4">
        <v>44771.724929942131</v>
      </c>
      <c r="D2396" t="s">
        <v>1859</v>
      </c>
      <c r="E2396" t="s">
        <v>48</v>
      </c>
      <c r="F2396" t="s">
        <v>49</v>
      </c>
      <c r="G2396" t="s">
        <v>213</v>
      </c>
      <c r="H2396" t="s">
        <v>40</v>
      </c>
      <c r="I2396" t="s">
        <v>21</v>
      </c>
      <c r="J2396" t="s">
        <v>1860</v>
      </c>
    </row>
    <row r="2397" spans="1:10" x14ac:dyDescent="0.25">
      <c r="A2397">
        <v>27837198</v>
      </c>
      <c r="B2397" t="s">
        <v>17</v>
      </c>
      <c r="C2397" s="4">
        <v>44771.72548627315</v>
      </c>
      <c r="D2397" t="s">
        <v>1859</v>
      </c>
      <c r="E2397" t="s">
        <v>48</v>
      </c>
      <c r="F2397" t="s">
        <v>49</v>
      </c>
      <c r="G2397" t="s">
        <v>213</v>
      </c>
      <c r="H2397" t="s">
        <v>25</v>
      </c>
      <c r="I2397" t="s">
        <v>21</v>
      </c>
      <c r="J2397" t="s">
        <v>1860</v>
      </c>
    </row>
    <row r="2398" spans="1:10" x14ac:dyDescent="0.25">
      <c r="A2398">
        <v>27837212</v>
      </c>
      <c r="B2398" t="s">
        <v>17</v>
      </c>
      <c r="C2398" s="4">
        <v>44771.725580138889</v>
      </c>
      <c r="F2398" t="s">
        <v>18</v>
      </c>
      <c r="G2398" t="s">
        <v>278</v>
      </c>
      <c r="H2398" t="s">
        <v>397</v>
      </c>
      <c r="I2398" t="s">
        <v>21</v>
      </c>
    </row>
    <row r="2399" spans="1:10" x14ac:dyDescent="0.25">
      <c r="A2399">
        <v>27837219</v>
      </c>
      <c r="B2399" t="s">
        <v>17</v>
      </c>
      <c r="C2399" s="4">
        <v>44771.725710555547</v>
      </c>
      <c r="F2399" t="s">
        <v>18</v>
      </c>
      <c r="G2399" t="s">
        <v>278</v>
      </c>
      <c r="H2399" t="s">
        <v>196</v>
      </c>
      <c r="I2399" t="s">
        <v>21</v>
      </c>
    </row>
    <row r="2400" spans="1:10" x14ac:dyDescent="0.25">
      <c r="A2400">
        <v>27837228</v>
      </c>
      <c r="B2400" t="s">
        <v>17</v>
      </c>
      <c r="C2400" s="4">
        <v>44771.725786597221</v>
      </c>
      <c r="F2400" t="s">
        <v>18</v>
      </c>
      <c r="G2400" t="s">
        <v>278</v>
      </c>
      <c r="H2400" t="s">
        <v>67</v>
      </c>
      <c r="I2400" t="s">
        <v>21</v>
      </c>
    </row>
    <row r="2401" spans="1:10" x14ac:dyDescent="0.25">
      <c r="A2401">
        <v>27837262</v>
      </c>
      <c r="B2401" t="s">
        <v>17</v>
      </c>
      <c r="C2401" s="4">
        <v>44771.726371296303</v>
      </c>
      <c r="F2401" t="s">
        <v>33</v>
      </c>
      <c r="G2401" t="s">
        <v>399</v>
      </c>
      <c r="H2401" t="s">
        <v>20</v>
      </c>
      <c r="I2401" t="s">
        <v>21</v>
      </c>
    </row>
    <row r="2402" spans="1:10" x14ac:dyDescent="0.25">
      <c r="A2402">
        <v>27837267</v>
      </c>
      <c r="B2402" t="s">
        <v>17</v>
      </c>
      <c r="C2402" s="4">
        <v>44771.726480937497</v>
      </c>
      <c r="D2402" t="s">
        <v>1867</v>
      </c>
      <c r="E2402" t="s">
        <v>38</v>
      </c>
      <c r="F2402" t="s">
        <v>31</v>
      </c>
      <c r="G2402" t="s">
        <v>166</v>
      </c>
      <c r="H2402" t="s">
        <v>40</v>
      </c>
      <c r="I2402" t="s">
        <v>21</v>
      </c>
      <c r="J2402" t="s">
        <v>562</v>
      </c>
    </row>
    <row r="2403" spans="1:10" x14ac:dyDescent="0.25">
      <c r="A2403">
        <v>27837268</v>
      </c>
      <c r="B2403" t="s">
        <v>17</v>
      </c>
      <c r="C2403" s="4">
        <v>44771.726485011583</v>
      </c>
      <c r="F2403" t="s">
        <v>18</v>
      </c>
      <c r="G2403" t="s">
        <v>278</v>
      </c>
      <c r="H2403" t="s">
        <v>68</v>
      </c>
      <c r="I2403" t="s">
        <v>21</v>
      </c>
    </row>
    <row r="2404" spans="1:10" x14ac:dyDescent="0.25">
      <c r="A2404">
        <v>27837275</v>
      </c>
      <c r="B2404" t="s">
        <v>17</v>
      </c>
      <c r="C2404" s="4">
        <v>44771.726643217589</v>
      </c>
      <c r="F2404" t="s">
        <v>18</v>
      </c>
      <c r="G2404" t="s">
        <v>278</v>
      </c>
      <c r="H2404" t="s">
        <v>195</v>
      </c>
      <c r="I2404" t="s">
        <v>21</v>
      </c>
    </row>
    <row r="2405" spans="1:10" x14ac:dyDescent="0.25">
      <c r="A2405">
        <v>27837280</v>
      </c>
      <c r="B2405" t="s">
        <v>17</v>
      </c>
      <c r="C2405" s="4">
        <v>44771.726784999999</v>
      </c>
      <c r="D2405" t="s">
        <v>1868</v>
      </c>
      <c r="E2405" t="s">
        <v>123</v>
      </c>
      <c r="F2405" t="s">
        <v>49</v>
      </c>
      <c r="G2405" t="s">
        <v>130</v>
      </c>
      <c r="H2405" t="s">
        <v>54</v>
      </c>
      <c r="I2405" t="s">
        <v>21</v>
      </c>
      <c r="J2405" t="s">
        <v>202</v>
      </c>
    </row>
    <row r="2406" spans="1:10" x14ac:dyDescent="0.25">
      <c r="A2406">
        <v>27837286</v>
      </c>
      <c r="B2406" t="s">
        <v>17</v>
      </c>
      <c r="C2406" s="4">
        <v>44771.726961782413</v>
      </c>
      <c r="D2406" t="s">
        <v>1876</v>
      </c>
      <c r="E2406" t="s">
        <v>62</v>
      </c>
      <c r="F2406" t="s">
        <v>57</v>
      </c>
      <c r="G2406" t="s">
        <v>76</v>
      </c>
      <c r="H2406" t="s">
        <v>29</v>
      </c>
      <c r="I2406" t="s">
        <v>21</v>
      </c>
      <c r="J2406" t="s">
        <v>1877</v>
      </c>
    </row>
    <row r="2407" spans="1:10" x14ac:dyDescent="0.25">
      <c r="A2407">
        <v>27837303</v>
      </c>
      <c r="B2407" t="s">
        <v>17</v>
      </c>
      <c r="C2407" s="4">
        <v>44771.727115543981</v>
      </c>
      <c r="D2407" t="s">
        <v>1878</v>
      </c>
      <c r="E2407" t="s">
        <v>129</v>
      </c>
      <c r="F2407" t="s">
        <v>49</v>
      </c>
      <c r="G2407" t="s">
        <v>50</v>
      </c>
      <c r="H2407" t="s">
        <v>42</v>
      </c>
      <c r="I2407" t="s">
        <v>21</v>
      </c>
      <c r="J2407" t="s">
        <v>544</v>
      </c>
    </row>
    <row r="2408" spans="1:10" x14ac:dyDescent="0.25">
      <c r="A2408">
        <v>27837305</v>
      </c>
      <c r="B2408" t="s">
        <v>17</v>
      </c>
      <c r="C2408" s="4">
        <v>44771.72714278935</v>
      </c>
      <c r="D2408" t="s">
        <v>1879</v>
      </c>
      <c r="E2408" t="s">
        <v>38</v>
      </c>
      <c r="F2408" t="s">
        <v>23</v>
      </c>
      <c r="G2408" t="s">
        <v>120</v>
      </c>
      <c r="H2408" t="s">
        <v>29</v>
      </c>
      <c r="I2408" t="s">
        <v>21</v>
      </c>
      <c r="J2408" t="s">
        <v>1880</v>
      </c>
    </row>
    <row r="2409" spans="1:10" x14ac:dyDescent="0.25">
      <c r="A2409">
        <v>27837312</v>
      </c>
      <c r="B2409" t="s">
        <v>17</v>
      </c>
      <c r="C2409" s="4">
        <v>44771.727151886567</v>
      </c>
      <c r="D2409" t="s">
        <v>1867</v>
      </c>
      <c r="E2409" t="s">
        <v>38</v>
      </c>
      <c r="F2409" t="s">
        <v>31</v>
      </c>
      <c r="G2409" t="s">
        <v>166</v>
      </c>
      <c r="H2409" t="s">
        <v>25</v>
      </c>
      <c r="I2409" t="s">
        <v>21</v>
      </c>
      <c r="J2409" t="s">
        <v>562</v>
      </c>
    </row>
    <row r="2410" spans="1:10" x14ac:dyDescent="0.25">
      <c r="A2410">
        <v>27837333</v>
      </c>
      <c r="B2410" t="s">
        <v>17</v>
      </c>
      <c r="C2410" s="4">
        <v>44771.727543182868</v>
      </c>
      <c r="E2410" t="s">
        <v>44</v>
      </c>
      <c r="F2410" t="s">
        <v>33</v>
      </c>
      <c r="G2410" t="s">
        <v>399</v>
      </c>
      <c r="H2410" t="s">
        <v>118</v>
      </c>
      <c r="I2410" t="s">
        <v>36</v>
      </c>
    </row>
    <row r="2411" spans="1:10" x14ac:dyDescent="0.25">
      <c r="A2411">
        <v>27837339</v>
      </c>
      <c r="B2411" t="s">
        <v>17</v>
      </c>
      <c r="C2411" s="4">
        <v>44771.727605092587</v>
      </c>
      <c r="E2411" t="s">
        <v>44</v>
      </c>
      <c r="F2411" t="s">
        <v>33</v>
      </c>
      <c r="G2411" t="s">
        <v>399</v>
      </c>
      <c r="H2411" t="s">
        <v>122</v>
      </c>
      <c r="I2411" t="s">
        <v>36</v>
      </c>
    </row>
    <row r="2412" spans="1:10" x14ac:dyDescent="0.25">
      <c r="A2412">
        <v>27837344</v>
      </c>
      <c r="B2412" t="s">
        <v>17</v>
      </c>
      <c r="C2412" s="4">
        <v>44771.727691319436</v>
      </c>
      <c r="D2412" t="s">
        <v>1868</v>
      </c>
      <c r="E2412" t="s">
        <v>123</v>
      </c>
      <c r="F2412" t="s">
        <v>49</v>
      </c>
      <c r="G2412" t="s">
        <v>130</v>
      </c>
      <c r="H2412" t="s">
        <v>40</v>
      </c>
      <c r="I2412" t="s">
        <v>21</v>
      </c>
      <c r="J2412" t="s">
        <v>202</v>
      </c>
    </row>
    <row r="2413" spans="1:10" x14ac:dyDescent="0.25">
      <c r="A2413">
        <v>27837354</v>
      </c>
      <c r="B2413" t="s">
        <v>17</v>
      </c>
      <c r="C2413" s="4">
        <v>44771.728193333343</v>
      </c>
      <c r="D2413" t="s">
        <v>1868</v>
      </c>
      <c r="E2413" t="s">
        <v>123</v>
      </c>
      <c r="F2413" t="s">
        <v>49</v>
      </c>
      <c r="G2413" t="s">
        <v>130</v>
      </c>
      <c r="H2413" t="s">
        <v>25</v>
      </c>
      <c r="I2413" t="s">
        <v>21</v>
      </c>
      <c r="J2413" t="s">
        <v>202</v>
      </c>
    </row>
    <row r="2414" spans="1:10" x14ac:dyDescent="0.25">
      <c r="A2414">
        <v>27837391</v>
      </c>
      <c r="B2414" t="s">
        <v>17</v>
      </c>
      <c r="C2414" s="4">
        <v>44771.729073379633</v>
      </c>
      <c r="D2414" t="s">
        <v>1881</v>
      </c>
      <c r="E2414" t="s">
        <v>123</v>
      </c>
      <c r="F2414" t="s">
        <v>49</v>
      </c>
      <c r="G2414" t="s">
        <v>218</v>
      </c>
      <c r="H2414" t="s">
        <v>42</v>
      </c>
      <c r="I2414" t="s">
        <v>21</v>
      </c>
      <c r="J2414" t="s">
        <v>1882</v>
      </c>
    </row>
    <row r="2415" spans="1:10" x14ac:dyDescent="0.25">
      <c r="A2415">
        <v>27837397</v>
      </c>
      <c r="B2415" t="s">
        <v>17</v>
      </c>
      <c r="C2415" s="4">
        <v>44771.729191145831</v>
      </c>
      <c r="D2415" t="s">
        <v>1883</v>
      </c>
      <c r="E2415" t="s">
        <v>38</v>
      </c>
      <c r="F2415" t="s">
        <v>23</v>
      </c>
      <c r="G2415" t="s">
        <v>180</v>
      </c>
      <c r="H2415" t="s">
        <v>29</v>
      </c>
      <c r="I2415" t="s">
        <v>21</v>
      </c>
      <c r="J2415" t="s">
        <v>636</v>
      </c>
    </row>
    <row r="2416" spans="1:10" x14ac:dyDescent="0.25">
      <c r="A2416">
        <v>27837414</v>
      </c>
      <c r="B2416" t="s">
        <v>17</v>
      </c>
      <c r="C2416" s="4">
        <v>44771.729363761573</v>
      </c>
      <c r="D2416" t="s">
        <v>1830</v>
      </c>
      <c r="E2416" t="s">
        <v>129</v>
      </c>
      <c r="F2416" t="s">
        <v>49</v>
      </c>
      <c r="G2416" t="s">
        <v>132</v>
      </c>
      <c r="H2416" t="s">
        <v>232</v>
      </c>
      <c r="I2416" t="s">
        <v>21</v>
      </c>
      <c r="J2416" t="s">
        <v>1831</v>
      </c>
    </row>
    <row r="2417" spans="1:10" x14ac:dyDescent="0.25">
      <c r="A2417">
        <v>27837419</v>
      </c>
      <c r="B2417" t="s">
        <v>17</v>
      </c>
      <c r="C2417" s="4">
        <v>44771.729445439807</v>
      </c>
      <c r="F2417" t="s">
        <v>49</v>
      </c>
      <c r="G2417" t="s">
        <v>132</v>
      </c>
      <c r="H2417" t="s">
        <v>116</v>
      </c>
      <c r="I2417" t="s">
        <v>21</v>
      </c>
    </row>
    <row r="2418" spans="1:10" x14ac:dyDescent="0.25">
      <c r="A2418">
        <v>27837428</v>
      </c>
      <c r="B2418" t="s">
        <v>17</v>
      </c>
      <c r="C2418" s="4">
        <v>44771.729633645831</v>
      </c>
      <c r="F2418" t="s">
        <v>33</v>
      </c>
      <c r="G2418" t="s">
        <v>399</v>
      </c>
      <c r="H2418" t="s">
        <v>20</v>
      </c>
      <c r="I2418" t="s">
        <v>21</v>
      </c>
    </row>
    <row r="2419" spans="1:10" x14ac:dyDescent="0.25">
      <c r="A2419">
        <v>27837441</v>
      </c>
      <c r="B2419" t="s">
        <v>17</v>
      </c>
      <c r="C2419" s="4">
        <v>44771.729992488428</v>
      </c>
      <c r="D2419" t="s">
        <v>1871</v>
      </c>
      <c r="E2419" t="s">
        <v>22</v>
      </c>
      <c r="F2419" t="s">
        <v>23</v>
      </c>
      <c r="G2419" t="s">
        <v>187</v>
      </c>
      <c r="H2419" t="s">
        <v>54</v>
      </c>
      <c r="I2419" t="s">
        <v>21</v>
      </c>
      <c r="J2419" t="s">
        <v>440</v>
      </c>
    </row>
    <row r="2420" spans="1:10" x14ac:dyDescent="0.25">
      <c r="A2420">
        <v>27837449</v>
      </c>
      <c r="B2420" t="s">
        <v>17</v>
      </c>
      <c r="C2420" s="4">
        <v>44771.730101319437</v>
      </c>
      <c r="D2420" t="s">
        <v>1884</v>
      </c>
      <c r="E2420" t="s">
        <v>38</v>
      </c>
      <c r="F2420" t="s">
        <v>23</v>
      </c>
      <c r="G2420" t="s">
        <v>140</v>
      </c>
      <c r="H2420" t="s">
        <v>29</v>
      </c>
      <c r="I2420" t="s">
        <v>21</v>
      </c>
      <c r="J2420" t="s">
        <v>398</v>
      </c>
    </row>
    <row r="2421" spans="1:10" x14ac:dyDescent="0.25">
      <c r="A2421">
        <v>27837486</v>
      </c>
      <c r="B2421" t="s">
        <v>17</v>
      </c>
      <c r="C2421" s="4">
        <v>44771.730403923611</v>
      </c>
      <c r="D2421" t="s">
        <v>1885</v>
      </c>
      <c r="E2421" t="s">
        <v>62</v>
      </c>
      <c r="F2421" t="s">
        <v>57</v>
      </c>
      <c r="G2421" t="s">
        <v>230</v>
      </c>
      <c r="H2421" t="s">
        <v>42</v>
      </c>
      <c r="I2421" t="s">
        <v>21</v>
      </c>
      <c r="J2421" t="s">
        <v>1886</v>
      </c>
    </row>
    <row r="2422" spans="1:10" x14ac:dyDescent="0.25">
      <c r="A2422">
        <v>27837491</v>
      </c>
      <c r="B2422" t="s">
        <v>17</v>
      </c>
      <c r="C2422" s="4">
        <v>44771.730474872682</v>
      </c>
      <c r="E2422" t="s">
        <v>44</v>
      </c>
      <c r="F2422" t="s">
        <v>33</v>
      </c>
      <c r="G2422" t="s">
        <v>399</v>
      </c>
      <c r="H2422" t="s">
        <v>118</v>
      </c>
      <c r="I2422" t="s">
        <v>36</v>
      </c>
    </row>
    <row r="2423" spans="1:10" x14ac:dyDescent="0.25">
      <c r="A2423">
        <v>27837497</v>
      </c>
      <c r="B2423" t="s">
        <v>17</v>
      </c>
      <c r="C2423" s="4">
        <v>44771.730536678238</v>
      </c>
      <c r="E2423" t="s">
        <v>44</v>
      </c>
      <c r="F2423" t="s">
        <v>33</v>
      </c>
      <c r="G2423" t="s">
        <v>399</v>
      </c>
      <c r="H2423" t="s">
        <v>122</v>
      </c>
      <c r="I2423" t="s">
        <v>36</v>
      </c>
    </row>
    <row r="2424" spans="1:10" x14ac:dyDescent="0.25">
      <c r="A2424">
        <v>27837500</v>
      </c>
      <c r="B2424" t="s">
        <v>17</v>
      </c>
      <c r="C2424" s="4">
        <v>44771.730584641213</v>
      </c>
      <c r="D2424" t="s">
        <v>1869</v>
      </c>
      <c r="E2424" t="s">
        <v>72</v>
      </c>
      <c r="F2424" t="s">
        <v>49</v>
      </c>
      <c r="G2424" t="s">
        <v>132</v>
      </c>
      <c r="H2424" t="s">
        <v>239</v>
      </c>
      <c r="I2424" t="s">
        <v>21</v>
      </c>
      <c r="J2424" t="s">
        <v>1870</v>
      </c>
    </row>
    <row r="2425" spans="1:10" x14ac:dyDescent="0.25">
      <c r="A2425">
        <v>27837501</v>
      </c>
      <c r="B2425" t="s">
        <v>17</v>
      </c>
      <c r="C2425" s="4">
        <v>44771.730592083331</v>
      </c>
      <c r="D2425" t="s">
        <v>1869</v>
      </c>
      <c r="E2425" t="s">
        <v>72</v>
      </c>
      <c r="F2425" t="s">
        <v>49</v>
      </c>
      <c r="G2425" t="s">
        <v>132</v>
      </c>
      <c r="H2425" t="s">
        <v>240</v>
      </c>
      <c r="I2425" t="s">
        <v>21</v>
      </c>
      <c r="J2425" t="s">
        <v>1870</v>
      </c>
    </row>
    <row r="2426" spans="1:10" x14ac:dyDescent="0.25">
      <c r="A2426">
        <v>27837505</v>
      </c>
      <c r="B2426" t="s">
        <v>17</v>
      </c>
      <c r="C2426" s="4">
        <v>44771.730634317129</v>
      </c>
      <c r="D2426" t="s">
        <v>1881</v>
      </c>
      <c r="E2426" t="s">
        <v>123</v>
      </c>
      <c r="F2426" t="s">
        <v>49</v>
      </c>
      <c r="G2426" t="s">
        <v>218</v>
      </c>
      <c r="H2426" t="s">
        <v>54</v>
      </c>
      <c r="I2426" t="s">
        <v>21</v>
      </c>
      <c r="J2426" t="s">
        <v>1882</v>
      </c>
    </row>
    <row r="2427" spans="1:10" x14ac:dyDescent="0.25">
      <c r="A2427">
        <v>27837514</v>
      </c>
      <c r="B2427" t="s">
        <v>17</v>
      </c>
      <c r="C2427" s="4">
        <v>44771.730756493052</v>
      </c>
      <c r="D2427" t="s">
        <v>1878</v>
      </c>
      <c r="E2427" t="s">
        <v>129</v>
      </c>
      <c r="F2427" t="s">
        <v>49</v>
      </c>
      <c r="G2427" t="s">
        <v>50</v>
      </c>
      <c r="H2427" t="s">
        <v>239</v>
      </c>
      <c r="I2427" t="s">
        <v>21</v>
      </c>
      <c r="J2427" t="s">
        <v>544</v>
      </c>
    </row>
    <row r="2428" spans="1:10" x14ac:dyDescent="0.25">
      <c r="A2428">
        <v>27837515</v>
      </c>
      <c r="B2428" t="s">
        <v>17</v>
      </c>
      <c r="C2428" s="4">
        <v>44771.73076416667</v>
      </c>
      <c r="D2428" t="s">
        <v>1878</v>
      </c>
      <c r="E2428" t="s">
        <v>129</v>
      </c>
      <c r="F2428" t="s">
        <v>49</v>
      </c>
      <c r="G2428" t="s">
        <v>50</v>
      </c>
      <c r="H2428" t="s">
        <v>240</v>
      </c>
      <c r="I2428" t="s">
        <v>21</v>
      </c>
      <c r="J2428" t="s">
        <v>544</v>
      </c>
    </row>
    <row r="2429" spans="1:10" x14ac:dyDescent="0.25">
      <c r="A2429">
        <v>27837527</v>
      </c>
      <c r="B2429" t="s">
        <v>17</v>
      </c>
      <c r="C2429" s="4">
        <v>44771.731286736111</v>
      </c>
      <c r="D2429" t="s">
        <v>1869</v>
      </c>
      <c r="E2429" t="s">
        <v>72</v>
      </c>
      <c r="F2429" t="s">
        <v>49</v>
      </c>
      <c r="G2429" t="s">
        <v>132</v>
      </c>
      <c r="H2429" t="s">
        <v>40</v>
      </c>
      <c r="I2429" t="s">
        <v>21</v>
      </c>
      <c r="J2429" t="s">
        <v>1870</v>
      </c>
    </row>
    <row r="2430" spans="1:10" x14ac:dyDescent="0.25">
      <c r="A2430">
        <v>27837544</v>
      </c>
      <c r="B2430" t="s">
        <v>17</v>
      </c>
      <c r="C2430" s="4">
        <v>44771.732052291663</v>
      </c>
      <c r="D2430" t="s">
        <v>1869</v>
      </c>
      <c r="E2430" t="s">
        <v>72</v>
      </c>
      <c r="F2430" t="s">
        <v>49</v>
      </c>
      <c r="G2430" t="s">
        <v>132</v>
      </c>
      <c r="H2430" t="s">
        <v>25</v>
      </c>
      <c r="I2430" t="s">
        <v>21</v>
      </c>
      <c r="J2430" t="s">
        <v>1870</v>
      </c>
    </row>
    <row r="2431" spans="1:10" x14ac:dyDescent="0.25">
      <c r="A2431">
        <v>27837558</v>
      </c>
      <c r="B2431" t="s">
        <v>17</v>
      </c>
      <c r="C2431" s="4">
        <v>44771.732255752308</v>
      </c>
      <c r="D2431" t="s">
        <v>1871</v>
      </c>
      <c r="E2431" t="s">
        <v>22</v>
      </c>
      <c r="F2431" t="s">
        <v>23</v>
      </c>
      <c r="G2431" t="s">
        <v>187</v>
      </c>
      <c r="H2431" t="s">
        <v>40</v>
      </c>
      <c r="I2431" t="s">
        <v>21</v>
      </c>
      <c r="J2431" t="s">
        <v>440</v>
      </c>
    </row>
    <row r="2432" spans="1:10" x14ac:dyDescent="0.25">
      <c r="A2432">
        <v>27837568</v>
      </c>
      <c r="B2432" t="s">
        <v>17</v>
      </c>
      <c r="C2432" s="4">
        <v>44771.73257162037</v>
      </c>
      <c r="F2432" t="s">
        <v>18</v>
      </c>
      <c r="G2432" t="s">
        <v>83</v>
      </c>
      <c r="H2432" t="s">
        <v>20</v>
      </c>
      <c r="I2432" t="s">
        <v>21</v>
      </c>
    </row>
    <row r="2433" spans="1:10" x14ac:dyDescent="0.25">
      <c r="A2433">
        <v>27837596</v>
      </c>
      <c r="B2433" t="s">
        <v>17</v>
      </c>
      <c r="C2433" s="4">
        <v>44771.732802592589</v>
      </c>
      <c r="D2433" t="s">
        <v>1871</v>
      </c>
      <c r="E2433" t="s">
        <v>22</v>
      </c>
      <c r="F2433" t="s">
        <v>23</v>
      </c>
      <c r="G2433" t="s">
        <v>187</v>
      </c>
      <c r="H2433" t="s">
        <v>25</v>
      </c>
      <c r="I2433" t="s">
        <v>21</v>
      </c>
      <c r="J2433" t="s">
        <v>440</v>
      </c>
    </row>
    <row r="2434" spans="1:10" x14ac:dyDescent="0.25">
      <c r="A2434">
        <v>27837607</v>
      </c>
      <c r="B2434" t="s">
        <v>17</v>
      </c>
      <c r="C2434" s="4">
        <v>44771.732835636583</v>
      </c>
      <c r="D2434" t="s">
        <v>1887</v>
      </c>
      <c r="E2434" t="s">
        <v>27</v>
      </c>
      <c r="F2434" t="s">
        <v>18</v>
      </c>
      <c r="G2434" t="s">
        <v>285</v>
      </c>
      <c r="H2434" t="s">
        <v>42</v>
      </c>
      <c r="I2434" t="s">
        <v>21</v>
      </c>
      <c r="J2434" t="s">
        <v>376</v>
      </c>
    </row>
    <row r="2435" spans="1:10" x14ac:dyDescent="0.25">
      <c r="A2435">
        <v>27837617</v>
      </c>
      <c r="B2435" t="s">
        <v>17</v>
      </c>
      <c r="C2435" s="4">
        <v>44771.732924571763</v>
      </c>
      <c r="D2435" t="s">
        <v>1887</v>
      </c>
      <c r="E2435" t="s">
        <v>27</v>
      </c>
      <c r="F2435" t="s">
        <v>18</v>
      </c>
      <c r="G2435" t="s">
        <v>285</v>
      </c>
      <c r="H2435" t="s">
        <v>54</v>
      </c>
      <c r="I2435" t="s">
        <v>21</v>
      </c>
      <c r="J2435" t="s">
        <v>376</v>
      </c>
    </row>
    <row r="2436" spans="1:10" x14ac:dyDescent="0.25">
      <c r="A2436">
        <v>27837629</v>
      </c>
      <c r="B2436" t="s">
        <v>17</v>
      </c>
      <c r="C2436" s="4">
        <v>44771.73312449074</v>
      </c>
      <c r="D2436" t="s">
        <v>1888</v>
      </c>
      <c r="E2436" t="s">
        <v>371</v>
      </c>
      <c r="F2436" t="s">
        <v>49</v>
      </c>
      <c r="G2436" t="s">
        <v>250</v>
      </c>
      <c r="H2436" t="s">
        <v>42</v>
      </c>
      <c r="I2436" t="s">
        <v>21</v>
      </c>
      <c r="J2436" t="s">
        <v>1889</v>
      </c>
    </row>
    <row r="2437" spans="1:10" x14ac:dyDescent="0.25">
      <c r="A2437">
        <v>27837633</v>
      </c>
      <c r="B2437" t="s">
        <v>17</v>
      </c>
      <c r="C2437" s="4">
        <v>44771.733279479173</v>
      </c>
      <c r="D2437" t="s">
        <v>1890</v>
      </c>
      <c r="E2437" t="s">
        <v>129</v>
      </c>
      <c r="F2437" t="s">
        <v>49</v>
      </c>
      <c r="G2437" t="s">
        <v>132</v>
      </c>
      <c r="H2437" t="s">
        <v>29</v>
      </c>
      <c r="I2437" t="s">
        <v>21</v>
      </c>
      <c r="J2437" t="s">
        <v>439</v>
      </c>
    </row>
    <row r="2438" spans="1:10" x14ac:dyDescent="0.25">
      <c r="A2438">
        <v>27837654</v>
      </c>
      <c r="B2438" t="s">
        <v>17</v>
      </c>
      <c r="C2438" s="4">
        <v>44771.733879189807</v>
      </c>
      <c r="D2438" t="s">
        <v>1878</v>
      </c>
      <c r="E2438" t="s">
        <v>129</v>
      </c>
      <c r="F2438" t="s">
        <v>49</v>
      </c>
      <c r="G2438" t="s">
        <v>50</v>
      </c>
      <c r="H2438" t="s">
        <v>40</v>
      </c>
      <c r="I2438" t="s">
        <v>21</v>
      </c>
      <c r="J2438" t="s">
        <v>544</v>
      </c>
    </row>
    <row r="2439" spans="1:10" x14ac:dyDescent="0.25">
      <c r="A2439">
        <v>27837656</v>
      </c>
      <c r="B2439" t="s">
        <v>17</v>
      </c>
      <c r="C2439" s="4">
        <v>44771.733893680554</v>
      </c>
      <c r="D2439" t="s">
        <v>1891</v>
      </c>
      <c r="E2439" t="s">
        <v>38</v>
      </c>
      <c r="F2439" t="s">
        <v>23</v>
      </c>
      <c r="G2439" t="s">
        <v>149</v>
      </c>
      <c r="H2439" t="s">
        <v>29</v>
      </c>
      <c r="I2439" t="s">
        <v>21</v>
      </c>
    </row>
    <row r="2440" spans="1:10" x14ac:dyDescent="0.25">
      <c r="A2440">
        <v>27837659</v>
      </c>
      <c r="B2440" t="s">
        <v>17</v>
      </c>
      <c r="C2440" s="4">
        <v>44771.733996215276</v>
      </c>
      <c r="D2440" t="s">
        <v>1892</v>
      </c>
      <c r="E2440" t="s">
        <v>975</v>
      </c>
      <c r="F2440" t="s">
        <v>49</v>
      </c>
      <c r="G2440" t="s">
        <v>247</v>
      </c>
      <c r="H2440" t="s">
        <v>29</v>
      </c>
      <c r="I2440" t="s">
        <v>21</v>
      </c>
      <c r="J2440" t="s">
        <v>1893</v>
      </c>
    </row>
    <row r="2441" spans="1:10" x14ac:dyDescent="0.25">
      <c r="A2441">
        <v>27837683</v>
      </c>
      <c r="B2441" t="s">
        <v>17</v>
      </c>
      <c r="C2441" s="4">
        <v>44771.734398333327</v>
      </c>
      <c r="D2441" t="s">
        <v>1878</v>
      </c>
      <c r="E2441" t="s">
        <v>129</v>
      </c>
      <c r="F2441" t="s">
        <v>49</v>
      </c>
      <c r="G2441" t="s">
        <v>50</v>
      </c>
      <c r="H2441" t="s">
        <v>25</v>
      </c>
      <c r="I2441" t="s">
        <v>21</v>
      </c>
      <c r="J2441" t="s">
        <v>544</v>
      </c>
    </row>
    <row r="2442" spans="1:10" x14ac:dyDescent="0.25">
      <c r="A2442">
        <v>27837711</v>
      </c>
      <c r="B2442" t="s">
        <v>17</v>
      </c>
      <c r="C2442" s="4">
        <v>44771.734841273152</v>
      </c>
      <c r="D2442" t="s">
        <v>1885</v>
      </c>
      <c r="E2442" t="s">
        <v>62</v>
      </c>
      <c r="F2442" t="s">
        <v>57</v>
      </c>
      <c r="G2442" t="s">
        <v>230</v>
      </c>
      <c r="H2442" t="s">
        <v>54</v>
      </c>
      <c r="I2442" t="s">
        <v>21</v>
      </c>
      <c r="J2442" t="s">
        <v>1886</v>
      </c>
    </row>
    <row r="2443" spans="1:10" x14ac:dyDescent="0.25">
      <c r="A2443">
        <v>27837727</v>
      </c>
      <c r="B2443" t="s">
        <v>17</v>
      </c>
      <c r="C2443" s="4">
        <v>44771.735223425923</v>
      </c>
      <c r="D2443" t="s">
        <v>1888</v>
      </c>
      <c r="E2443" t="s">
        <v>371</v>
      </c>
      <c r="F2443" t="s">
        <v>49</v>
      </c>
      <c r="G2443" t="s">
        <v>250</v>
      </c>
      <c r="H2443" t="s">
        <v>54</v>
      </c>
      <c r="I2443" t="s">
        <v>21</v>
      </c>
      <c r="J2443" t="s">
        <v>1889</v>
      </c>
    </row>
    <row r="2444" spans="1:10" x14ac:dyDescent="0.25">
      <c r="A2444">
        <v>27837734</v>
      </c>
      <c r="B2444" t="s">
        <v>17</v>
      </c>
      <c r="C2444" s="4">
        <v>44771.735285868053</v>
      </c>
      <c r="D2444" t="s">
        <v>1894</v>
      </c>
      <c r="E2444" t="s">
        <v>27</v>
      </c>
      <c r="F2444" t="s">
        <v>18</v>
      </c>
      <c r="G2444" t="s">
        <v>83</v>
      </c>
      <c r="H2444" t="s">
        <v>40</v>
      </c>
      <c r="I2444" t="s">
        <v>21</v>
      </c>
    </row>
    <row r="2445" spans="1:10" x14ac:dyDescent="0.25">
      <c r="A2445">
        <v>27837742</v>
      </c>
      <c r="B2445" t="s">
        <v>17</v>
      </c>
      <c r="C2445" s="4">
        <v>44771.73551755787</v>
      </c>
      <c r="D2445" t="s">
        <v>1895</v>
      </c>
      <c r="E2445" t="s">
        <v>27</v>
      </c>
      <c r="F2445" t="s">
        <v>18</v>
      </c>
      <c r="G2445" t="s">
        <v>396</v>
      </c>
      <c r="H2445" t="s">
        <v>29</v>
      </c>
      <c r="I2445" t="s">
        <v>21</v>
      </c>
      <c r="J2445" t="s">
        <v>1896</v>
      </c>
    </row>
    <row r="2446" spans="1:10" x14ac:dyDescent="0.25">
      <c r="A2446">
        <v>27837748</v>
      </c>
      <c r="B2446" t="s">
        <v>17</v>
      </c>
      <c r="C2446" s="4">
        <v>44771.735536562497</v>
      </c>
      <c r="D2446" t="s">
        <v>1894</v>
      </c>
      <c r="E2446" t="s">
        <v>27</v>
      </c>
      <c r="F2446" t="s">
        <v>18</v>
      </c>
      <c r="G2446" t="s">
        <v>83</v>
      </c>
      <c r="H2446" t="s">
        <v>25</v>
      </c>
      <c r="I2446" t="s">
        <v>21</v>
      </c>
    </row>
    <row r="2447" spans="1:10" x14ac:dyDescent="0.25">
      <c r="A2447">
        <v>27837755</v>
      </c>
      <c r="B2447" t="s">
        <v>17</v>
      </c>
      <c r="C2447" s="4">
        <v>44771.735554583327</v>
      </c>
      <c r="D2447" t="s">
        <v>1897</v>
      </c>
      <c r="E2447" t="s">
        <v>27</v>
      </c>
      <c r="F2447" t="s">
        <v>18</v>
      </c>
      <c r="G2447" t="s">
        <v>396</v>
      </c>
      <c r="H2447" t="s">
        <v>42</v>
      </c>
      <c r="I2447" t="s">
        <v>21</v>
      </c>
      <c r="J2447" t="s">
        <v>1898</v>
      </c>
    </row>
    <row r="2448" spans="1:10" x14ac:dyDescent="0.25">
      <c r="A2448">
        <v>27837767</v>
      </c>
      <c r="B2448" t="s">
        <v>17</v>
      </c>
      <c r="C2448" s="4">
        <v>44771.735658958343</v>
      </c>
      <c r="D2448" t="s">
        <v>1881</v>
      </c>
      <c r="E2448" t="s">
        <v>123</v>
      </c>
      <c r="F2448" t="s">
        <v>49</v>
      </c>
      <c r="G2448" t="s">
        <v>218</v>
      </c>
      <c r="H2448" t="s">
        <v>40</v>
      </c>
      <c r="I2448" t="s">
        <v>21</v>
      </c>
      <c r="J2448" t="s">
        <v>1882</v>
      </c>
    </row>
    <row r="2449" spans="1:10" x14ac:dyDescent="0.25">
      <c r="A2449">
        <v>27837774</v>
      </c>
      <c r="B2449" t="s">
        <v>17</v>
      </c>
      <c r="C2449" s="4">
        <v>44771.735728263891</v>
      </c>
      <c r="D2449" t="s">
        <v>1899</v>
      </c>
      <c r="E2449" t="s">
        <v>48</v>
      </c>
      <c r="F2449" t="s">
        <v>49</v>
      </c>
      <c r="G2449" t="s">
        <v>50</v>
      </c>
      <c r="H2449" t="s">
        <v>42</v>
      </c>
      <c r="I2449" t="s">
        <v>21</v>
      </c>
      <c r="J2449" t="s">
        <v>542</v>
      </c>
    </row>
    <row r="2450" spans="1:10" x14ac:dyDescent="0.25">
      <c r="A2450">
        <v>27837784</v>
      </c>
      <c r="B2450" t="s">
        <v>17</v>
      </c>
      <c r="C2450" s="4">
        <v>44771.735959687503</v>
      </c>
      <c r="D2450" t="s">
        <v>1900</v>
      </c>
      <c r="E2450" t="s">
        <v>62</v>
      </c>
      <c r="F2450" t="s">
        <v>31</v>
      </c>
      <c r="G2450" t="s">
        <v>133</v>
      </c>
      <c r="H2450" t="s">
        <v>42</v>
      </c>
      <c r="I2450" t="s">
        <v>21</v>
      </c>
      <c r="J2450" t="s">
        <v>491</v>
      </c>
    </row>
    <row r="2451" spans="1:10" x14ac:dyDescent="0.25">
      <c r="A2451">
        <v>27837794</v>
      </c>
      <c r="B2451" t="s">
        <v>17</v>
      </c>
      <c r="C2451" s="4">
        <v>44771.736167812502</v>
      </c>
      <c r="D2451" t="s">
        <v>1881</v>
      </c>
      <c r="E2451" t="s">
        <v>123</v>
      </c>
      <c r="F2451" t="s">
        <v>49</v>
      </c>
      <c r="G2451" t="s">
        <v>218</v>
      </c>
      <c r="H2451" t="s">
        <v>25</v>
      </c>
      <c r="I2451" t="s">
        <v>21</v>
      </c>
      <c r="J2451" t="s">
        <v>1882</v>
      </c>
    </row>
    <row r="2452" spans="1:10" x14ac:dyDescent="0.25">
      <c r="A2452">
        <v>27837809</v>
      </c>
      <c r="B2452" t="s">
        <v>17</v>
      </c>
      <c r="C2452" s="4">
        <v>44771.736350706022</v>
      </c>
      <c r="D2452" t="s">
        <v>1899</v>
      </c>
      <c r="E2452" t="s">
        <v>48</v>
      </c>
      <c r="F2452" t="s">
        <v>49</v>
      </c>
      <c r="G2452" t="s">
        <v>50</v>
      </c>
      <c r="H2452" t="s">
        <v>239</v>
      </c>
      <c r="I2452" t="s">
        <v>21</v>
      </c>
      <c r="J2452" t="s">
        <v>542</v>
      </c>
    </row>
    <row r="2453" spans="1:10" x14ac:dyDescent="0.25">
      <c r="A2453">
        <v>27837810</v>
      </c>
      <c r="B2453" t="s">
        <v>17</v>
      </c>
      <c r="C2453" s="4">
        <v>44771.736359930554</v>
      </c>
      <c r="D2453" t="s">
        <v>1899</v>
      </c>
      <c r="E2453" t="s">
        <v>48</v>
      </c>
      <c r="F2453" t="s">
        <v>49</v>
      </c>
      <c r="G2453" t="s">
        <v>50</v>
      </c>
      <c r="H2453" t="s">
        <v>240</v>
      </c>
      <c r="I2453" t="s">
        <v>21</v>
      </c>
      <c r="J2453" t="s">
        <v>542</v>
      </c>
    </row>
    <row r="2454" spans="1:10" x14ac:dyDescent="0.25">
      <c r="A2454">
        <v>27837819</v>
      </c>
      <c r="B2454" t="s">
        <v>17</v>
      </c>
      <c r="C2454" s="4">
        <v>44771.736538541663</v>
      </c>
      <c r="D2454" t="s">
        <v>1901</v>
      </c>
      <c r="E2454" t="s">
        <v>62</v>
      </c>
      <c r="F2454" t="s">
        <v>49</v>
      </c>
      <c r="G2454" t="s">
        <v>359</v>
      </c>
      <c r="H2454" t="s">
        <v>42</v>
      </c>
      <c r="I2454" t="s">
        <v>21</v>
      </c>
      <c r="J2454" t="s">
        <v>1902</v>
      </c>
    </row>
    <row r="2455" spans="1:10" x14ac:dyDescent="0.25">
      <c r="A2455">
        <v>27837821</v>
      </c>
      <c r="B2455" t="s">
        <v>17</v>
      </c>
      <c r="C2455" s="4">
        <v>44771.736578923606</v>
      </c>
      <c r="D2455" t="s">
        <v>1900</v>
      </c>
      <c r="E2455" t="s">
        <v>62</v>
      </c>
      <c r="F2455" t="s">
        <v>31</v>
      </c>
      <c r="G2455" t="s">
        <v>133</v>
      </c>
      <c r="H2455" t="s">
        <v>54</v>
      </c>
      <c r="I2455" t="s">
        <v>21</v>
      </c>
      <c r="J2455" t="s">
        <v>491</v>
      </c>
    </row>
    <row r="2456" spans="1:10" x14ac:dyDescent="0.25">
      <c r="A2456">
        <v>27837840</v>
      </c>
      <c r="B2456" t="s">
        <v>17</v>
      </c>
      <c r="C2456" s="4">
        <v>44771.73741415509</v>
      </c>
      <c r="D2456" t="s">
        <v>1887</v>
      </c>
      <c r="E2456" t="s">
        <v>27</v>
      </c>
      <c r="F2456" t="s">
        <v>18</v>
      </c>
      <c r="G2456" t="s">
        <v>285</v>
      </c>
      <c r="H2456" t="s">
        <v>40</v>
      </c>
      <c r="I2456" t="s">
        <v>21</v>
      </c>
      <c r="J2456" t="s">
        <v>376</v>
      </c>
    </row>
    <row r="2457" spans="1:10" x14ac:dyDescent="0.25">
      <c r="A2457">
        <v>27837852</v>
      </c>
      <c r="B2457" t="s">
        <v>17</v>
      </c>
      <c r="C2457" s="4">
        <v>44771.73813283565</v>
      </c>
      <c r="D2457" t="s">
        <v>1887</v>
      </c>
      <c r="E2457" t="s">
        <v>27</v>
      </c>
      <c r="F2457" t="s">
        <v>18</v>
      </c>
      <c r="G2457" t="s">
        <v>285</v>
      </c>
      <c r="H2457" t="s">
        <v>25</v>
      </c>
      <c r="I2457" t="s">
        <v>21</v>
      </c>
      <c r="J2457" t="s">
        <v>376</v>
      </c>
    </row>
    <row r="2458" spans="1:10" x14ac:dyDescent="0.25">
      <c r="A2458">
        <v>27837868</v>
      </c>
      <c r="B2458" t="s">
        <v>17</v>
      </c>
      <c r="C2458" s="4">
        <v>44771.73820644676</v>
      </c>
      <c r="D2458" t="s">
        <v>1885</v>
      </c>
      <c r="E2458" t="s">
        <v>62</v>
      </c>
      <c r="F2458" t="s">
        <v>57</v>
      </c>
      <c r="G2458" t="s">
        <v>230</v>
      </c>
      <c r="H2458" t="s">
        <v>40</v>
      </c>
      <c r="I2458" t="s">
        <v>21</v>
      </c>
      <c r="J2458" t="s">
        <v>1886</v>
      </c>
    </row>
    <row r="2459" spans="1:10" x14ac:dyDescent="0.25">
      <c r="A2459">
        <v>27837877</v>
      </c>
      <c r="B2459" t="s">
        <v>17</v>
      </c>
      <c r="C2459" s="4">
        <v>44771.738463483787</v>
      </c>
      <c r="D2459" t="s">
        <v>1885</v>
      </c>
      <c r="E2459" t="s">
        <v>62</v>
      </c>
      <c r="F2459" t="s">
        <v>57</v>
      </c>
      <c r="G2459" t="s">
        <v>230</v>
      </c>
      <c r="H2459" t="s">
        <v>25</v>
      </c>
      <c r="I2459" t="s">
        <v>21</v>
      </c>
      <c r="J2459" t="s">
        <v>1886</v>
      </c>
    </row>
    <row r="2460" spans="1:10" x14ac:dyDescent="0.25">
      <c r="A2460">
        <v>27837890</v>
      </c>
      <c r="B2460" t="s">
        <v>17</v>
      </c>
      <c r="C2460" s="4">
        <v>44771.738506770831</v>
      </c>
      <c r="D2460" t="s">
        <v>1903</v>
      </c>
      <c r="E2460" t="s">
        <v>38</v>
      </c>
      <c r="F2460" t="s">
        <v>31</v>
      </c>
      <c r="G2460" t="s">
        <v>148</v>
      </c>
      <c r="H2460" t="s">
        <v>42</v>
      </c>
      <c r="I2460" t="s">
        <v>21</v>
      </c>
      <c r="J2460" t="s">
        <v>1904</v>
      </c>
    </row>
    <row r="2461" spans="1:10" x14ac:dyDescent="0.25">
      <c r="A2461">
        <v>27837917</v>
      </c>
      <c r="B2461" t="s">
        <v>17</v>
      </c>
      <c r="C2461" s="4">
        <v>44771.739445578707</v>
      </c>
      <c r="D2461" t="s">
        <v>1901</v>
      </c>
      <c r="E2461" t="s">
        <v>62</v>
      </c>
      <c r="F2461" t="s">
        <v>49</v>
      </c>
      <c r="G2461" t="s">
        <v>359</v>
      </c>
      <c r="H2461" t="s">
        <v>239</v>
      </c>
      <c r="I2461" t="s">
        <v>21</v>
      </c>
      <c r="J2461" t="s">
        <v>1902</v>
      </c>
    </row>
    <row r="2462" spans="1:10" x14ac:dyDescent="0.25">
      <c r="A2462">
        <v>27837918</v>
      </c>
      <c r="B2462" t="s">
        <v>17</v>
      </c>
      <c r="C2462" s="4">
        <v>44771.739454768518</v>
      </c>
      <c r="D2462" t="s">
        <v>1901</v>
      </c>
      <c r="E2462" t="s">
        <v>62</v>
      </c>
      <c r="F2462" t="s">
        <v>49</v>
      </c>
      <c r="G2462" t="s">
        <v>359</v>
      </c>
      <c r="H2462" t="s">
        <v>240</v>
      </c>
      <c r="I2462" t="s">
        <v>21</v>
      </c>
      <c r="J2462" t="s">
        <v>1902</v>
      </c>
    </row>
    <row r="2463" spans="1:10" x14ac:dyDescent="0.25">
      <c r="A2463">
        <v>27837939</v>
      </c>
      <c r="B2463" t="s">
        <v>17</v>
      </c>
      <c r="C2463" s="4">
        <v>44771.740115289351</v>
      </c>
      <c r="D2463" t="s">
        <v>1888</v>
      </c>
      <c r="E2463" t="s">
        <v>371</v>
      </c>
      <c r="F2463" t="s">
        <v>49</v>
      </c>
      <c r="G2463" t="s">
        <v>250</v>
      </c>
      <c r="H2463" t="s">
        <v>40</v>
      </c>
      <c r="I2463" t="s">
        <v>21</v>
      </c>
      <c r="J2463" t="s">
        <v>1889</v>
      </c>
    </row>
    <row r="2464" spans="1:10" x14ac:dyDescent="0.25">
      <c r="A2464">
        <v>27837957</v>
      </c>
      <c r="B2464" t="s">
        <v>17</v>
      </c>
      <c r="C2464" s="4">
        <v>44771.740415428241</v>
      </c>
      <c r="D2464" t="s">
        <v>1905</v>
      </c>
      <c r="E2464" t="s">
        <v>62</v>
      </c>
      <c r="F2464" t="s">
        <v>57</v>
      </c>
      <c r="G2464" t="s">
        <v>244</v>
      </c>
      <c r="H2464" t="s">
        <v>42</v>
      </c>
      <c r="I2464" t="s">
        <v>21</v>
      </c>
      <c r="J2464" t="s">
        <v>1906</v>
      </c>
    </row>
    <row r="2465" spans="1:10" x14ac:dyDescent="0.25">
      <c r="A2465">
        <v>27837969</v>
      </c>
      <c r="B2465" t="s">
        <v>17</v>
      </c>
      <c r="C2465" s="4">
        <v>44771.74070519676</v>
      </c>
      <c r="D2465" t="s">
        <v>1907</v>
      </c>
      <c r="E2465" t="s">
        <v>38</v>
      </c>
      <c r="F2465" t="s">
        <v>31</v>
      </c>
      <c r="G2465" t="s">
        <v>168</v>
      </c>
      <c r="H2465" t="s">
        <v>42</v>
      </c>
      <c r="I2465" t="s">
        <v>21</v>
      </c>
      <c r="J2465" t="s">
        <v>1908</v>
      </c>
    </row>
    <row r="2466" spans="1:10" x14ac:dyDescent="0.25">
      <c r="A2466">
        <v>27837971</v>
      </c>
      <c r="B2466" t="s">
        <v>17</v>
      </c>
      <c r="C2466" s="4">
        <v>44771.74071096065</v>
      </c>
      <c r="D2466" t="s">
        <v>1888</v>
      </c>
      <c r="E2466" t="s">
        <v>371</v>
      </c>
      <c r="F2466" t="s">
        <v>49</v>
      </c>
      <c r="G2466" t="s">
        <v>250</v>
      </c>
      <c r="H2466" t="s">
        <v>25</v>
      </c>
      <c r="I2466" t="s">
        <v>21</v>
      </c>
      <c r="J2466" t="s">
        <v>1889</v>
      </c>
    </row>
    <row r="2467" spans="1:10" x14ac:dyDescent="0.25">
      <c r="A2467">
        <v>27838004</v>
      </c>
      <c r="B2467" t="s">
        <v>17</v>
      </c>
      <c r="C2467" s="4">
        <v>44771.741291053237</v>
      </c>
      <c r="D2467" t="s">
        <v>1907</v>
      </c>
      <c r="E2467" t="s">
        <v>38</v>
      </c>
      <c r="F2467" t="s">
        <v>31</v>
      </c>
      <c r="G2467" t="s">
        <v>168</v>
      </c>
      <c r="H2467" t="s">
        <v>54</v>
      </c>
      <c r="I2467" t="s">
        <v>21</v>
      </c>
      <c r="J2467" t="s">
        <v>1908</v>
      </c>
    </row>
    <row r="2468" spans="1:10" x14ac:dyDescent="0.25">
      <c r="A2468">
        <v>27838007</v>
      </c>
      <c r="B2468" t="s">
        <v>17</v>
      </c>
      <c r="C2468" s="4">
        <v>44771.741338877313</v>
      </c>
      <c r="F2468" t="s">
        <v>31</v>
      </c>
      <c r="G2468" t="s">
        <v>96</v>
      </c>
      <c r="H2468" t="s">
        <v>20</v>
      </c>
      <c r="I2468" t="s">
        <v>21</v>
      </c>
    </row>
    <row r="2469" spans="1:10" x14ac:dyDescent="0.25">
      <c r="A2469">
        <v>27838025</v>
      </c>
      <c r="B2469" t="s">
        <v>17</v>
      </c>
      <c r="C2469" s="4">
        <v>44771.741624085647</v>
      </c>
      <c r="D2469" t="s">
        <v>1903</v>
      </c>
      <c r="E2469" t="s">
        <v>38</v>
      </c>
      <c r="F2469" t="s">
        <v>31</v>
      </c>
      <c r="G2469" t="s">
        <v>148</v>
      </c>
      <c r="H2469" t="s">
        <v>54</v>
      </c>
      <c r="I2469" t="s">
        <v>21</v>
      </c>
      <c r="J2469" t="s">
        <v>1904</v>
      </c>
    </row>
    <row r="2470" spans="1:10" x14ac:dyDescent="0.25">
      <c r="A2470">
        <v>27838028</v>
      </c>
      <c r="B2470" t="s">
        <v>17</v>
      </c>
      <c r="C2470" s="4">
        <v>44771.741630763892</v>
      </c>
      <c r="D2470" t="s">
        <v>1909</v>
      </c>
      <c r="E2470" t="s">
        <v>62</v>
      </c>
      <c r="F2470" t="s">
        <v>57</v>
      </c>
      <c r="G2470" t="s">
        <v>76</v>
      </c>
      <c r="H2470" t="s">
        <v>42</v>
      </c>
      <c r="I2470" t="s">
        <v>21</v>
      </c>
      <c r="J2470" t="s">
        <v>1910</v>
      </c>
    </row>
    <row r="2471" spans="1:10" x14ac:dyDescent="0.25">
      <c r="A2471">
        <v>27838037</v>
      </c>
      <c r="B2471" t="s">
        <v>17</v>
      </c>
      <c r="C2471" s="4">
        <v>44771.741744525461</v>
      </c>
      <c r="D2471" t="s">
        <v>1911</v>
      </c>
      <c r="E2471" t="s">
        <v>38</v>
      </c>
      <c r="F2471" t="s">
        <v>23</v>
      </c>
      <c r="G2471" t="s">
        <v>51</v>
      </c>
      <c r="H2471" t="s">
        <v>29</v>
      </c>
      <c r="I2471" t="s">
        <v>21</v>
      </c>
      <c r="J2471" t="s">
        <v>1779</v>
      </c>
    </row>
    <row r="2472" spans="1:10" x14ac:dyDescent="0.25">
      <c r="A2472">
        <v>27838058</v>
      </c>
      <c r="B2472" t="s">
        <v>17</v>
      </c>
      <c r="C2472" s="4">
        <v>44771.742372939807</v>
      </c>
      <c r="D2472" t="s">
        <v>1905</v>
      </c>
      <c r="E2472" t="s">
        <v>62</v>
      </c>
      <c r="F2472" t="s">
        <v>57</v>
      </c>
      <c r="G2472" t="s">
        <v>244</v>
      </c>
      <c r="H2472" t="s">
        <v>54</v>
      </c>
      <c r="I2472" t="s">
        <v>21</v>
      </c>
      <c r="J2472" t="s">
        <v>1906</v>
      </c>
    </row>
    <row r="2473" spans="1:10" x14ac:dyDescent="0.25">
      <c r="A2473">
        <v>27838089</v>
      </c>
      <c r="B2473" t="s">
        <v>17</v>
      </c>
      <c r="C2473" s="4">
        <v>44771.743372789351</v>
      </c>
      <c r="D2473" t="s">
        <v>1899</v>
      </c>
      <c r="E2473" t="s">
        <v>48</v>
      </c>
      <c r="F2473" t="s">
        <v>49</v>
      </c>
      <c r="G2473" t="s">
        <v>50</v>
      </c>
      <c r="H2473" t="s">
        <v>40</v>
      </c>
      <c r="I2473" t="s">
        <v>21</v>
      </c>
      <c r="J2473" t="s">
        <v>542</v>
      </c>
    </row>
    <row r="2474" spans="1:10" x14ac:dyDescent="0.25">
      <c r="A2474">
        <v>27838097</v>
      </c>
      <c r="B2474" t="s">
        <v>17</v>
      </c>
      <c r="C2474" s="4">
        <v>44771.743616678243</v>
      </c>
      <c r="D2474" t="s">
        <v>1900</v>
      </c>
      <c r="E2474" t="s">
        <v>62</v>
      </c>
      <c r="F2474" t="s">
        <v>31</v>
      </c>
      <c r="G2474" t="s">
        <v>133</v>
      </c>
      <c r="H2474" t="s">
        <v>40</v>
      </c>
      <c r="I2474" t="s">
        <v>21</v>
      </c>
      <c r="J2474" t="s">
        <v>491</v>
      </c>
    </row>
    <row r="2475" spans="1:10" x14ac:dyDescent="0.25">
      <c r="A2475">
        <v>27838099</v>
      </c>
      <c r="B2475" t="s">
        <v>17</v>
      </c>
      <c r="C2475" s="4">
        <v>44771.74364641204</v>
      </c>
      <c r="D2475" t="s">
        <v>1909</v>
      </c>
      <c r="E2475" t="s">
        <v>62</v>
      </c>
      <c r="F2475" t="s">
        <v>57</v>
      </c>
      <c r="G2475" t="s">
        <v>76</v>
      </c>
      <c r="H2475" t="s">
        <v>54</v>
      </c>
      <c r="I2475" t="s">
        <v>21</v>
      </c>
      <c r="J2475" t="s">
        <v>1910</v>
      </c>
    </row>
    <row r="2476" spans="1:10" x14ac:dyDescent="0.25">
      <c r="A2476">
        <v>27838103</v>
      </c>
      <c r="B2476" t="s">
        <v>17</v>
      </c>
      <c r="C2476" s="4">
        <v>44771.743652581019</v>
      </c>
      <c r="D2476" t="s">
        <v>1901</v>
      </c>
      <c r="E2476" t="s">
        <v>62</v>
      </c>
      <c r="F2476" t="s">
        <v>49</v>
      </c>
      <c r="G2476" t="s">
        <v>359</v>
      </c>
      <c r="H2476" t="s">
        <v>40</v>
      </c>
      <c r="I2476" t="s">
        <v>21</v>
      </c>
      <c r="J2476" t="s">
        <v>1902</v>
      </c>
    </row>
    <row r="2477" spans="1:10" x14ac:dyDescent="0.25">
      <c r="A2477">
        <v>27838111</v>
      </c>
      <c r="B2477" t="s">
        <v>17</v>
      </c>
      <c r="C2477" s="4">
        <v>44771.744108240739</v>
      </c>
      <c r="D2477" t="s">
        <v>1900</v>
      </c>
      <c r="E2477" t="s">
        <v>62</v>
      </c>
      <c r="F2477" t="s">
        <v>31</v>
      </c>
      <c r="G2477" t="s">
        <v>133</v>
      </c>
      <c r="H2477" t="s">
        <v>25</v>
      </c>
      <c r="I2477" t="s">
        <v>21</v>
      </c>
      <c r="J2477" t="s">
        <v>491</v>
      </c>
    </row>
    <row r="2478" spans="1:10" x14ac:dyDescent="0.25">
      <c r="A2478">
        <v>27838121</v>
      </c>
      <c r="B2478" t="s">
        <v>17</v>
      </c>
      <c r="C2478" s="4">
        <v>44771.744132106483</v>
      </c>
      <c r="D2478" t="s">
        <v>1901</v>
      </c>
      <c r="E2478" t="s">
        <v>62</v>
      </c>
      <c r="F2478" t="s">
        <v>49</v>
      </c>
      <c r="G2478" t="s">
        <v>359</v>
      </c>
      <c r="H2478" t="s">
        <v>25</v>
      </c>
      <c r="I2478" t="s">
        <v>21</v>
      </c>
      <c r="J2478" t="s">
        <v>1902</v>
      </c>
    </row>
    <row r="2479" spans="1:10" x14ac:dyDescent="0.25">
      <c r="A2479">
        <v>27838142</v>
      </c>
      <c r="B2479" t="s">
        <v>17</v>
      </c>
      <c r="C2479" s="4">
        <v>44771.744446759258</v>
      </c>
      <c r="D2479" t="s">
        <v>1899</v>
      </c>
      <c r="E2479" t="s">
        <v>48</v>
      </c>
      <c r="F2479" t="s">
        <v>49</v>
      </c>
      <c r="G2479" t="s">
        <v>50</v>
      </c>
      <c r="H2479" t="s">
        <v>25</v>
      </c>
      <c r="I2479" t="s">
        <v>21</v>
      </c>
      <c r="J2479" t="s">
        <v>542</v>
      </c>
    </row>
    <row r="2480" spans="1:10" x14ac:dyDescent="0.25">
      <c r="A2480">
        <v>27838160</v>
      </c>
      <c r="B2480" t="s">
        <v>17</v>
      </c>
      <c r="C2480" s="4">
        <v>44771.744524745372</v>
      </c>
      <c r="D2480" t="s">
        <v>1912</v>
      </c>
      <c r="E2480" t="s">
        <v>38</v>
      </c>
      <c r="F2480" t="s">
        <v>31</v>
      </c>
      <c r="G2480" t="s">
        <v>86</v>
      </c>
      <c r="H2480" t="s">
        <v>42</v>
      </c>
      <c r="I2480" t="s">
        <v>21</v>
      </c>
      <c r="J2480" t="s">
        <v>434</v>
      </c>
    </row>
    <row r="2481" spans="1:10" x14ac:dyDescent="0.25">
      <c r="A2481">
        <v>27838180</v>
      </c>
      <c r="B2481" t="s">
        <v>17</v>
      </c>
      <c r="C2481" s="4">
        <v>44771.745462175917</v>
      </c>
      <c r="D2481" t="s">
        <v>1913</v>
      </c>
      <c r="E2481" t="s">
        <v>123</v>
      </c>
      <c r="F2481" t="s">
        <v>49</v>
      </c>
      <c r="G2481" t="s">
        <v>84</v>
      </c>
      <c r="H2481" t="s">
        <v>29</v>
      </c>
      <c r="I2481" t="s">
        <v>21</v>
      </c>
      <c r="J2481" t="s">
        <v>1914</v>
      </c>
    </row>
    <row r="2482" spans="1:10" x14ac:dyDescent="0.25">
      <c r="A2482">
        <v>27838191</v>
      </c>
      <c r="B2482" t="s">
        <v>17</v>
      </c>
      <c r="C2482" s="4">
        <v>44771.745508541673</v>
      </c>
      <c r="D2482" t="s">
        <v>1915</v>
      </c>
      <c r="E2482" t="s">
        <v>371</v>
      </c>
      <c r="F2482" t="s">
        <v>49</v>
      </c>
      <c r="G2482" t="s">
        <v>84</v>
      </c>
      <c r="H2482" t="s">
        <v>42</v>
      </c>
      <c r="I2482" t="s">
        <v>21</v>
      </c>
      <c r="J2482" t="s">
        <v>1916</v>
      </c>
    </row>
    <row r="2483" spans="1:10" x14ac:dyDescent="0.25">
      <c r="A2483">
        <v>27838197</v>
      </c>
      <c r="B2483" t="s">
        <v>17</v>
      </c>
      <c r="C2483" s="4">
        <v>44771.745642465277</v>
      </c>
      <c r="D2483" t="s">
        <v>1917</v>
      </c>
      <c r="E2483" t="s">
        <v>27</v>
      </c>
      <c r="F2483" t="s">
        <v>18</v>
      </c>
      <c r="G2483" t="s">
        <v>186</v>
      </c>
      <c r="H2483" t="s">
        <v>29</v>
      </c>
      <c r="I2483" t="s">
        <v>21</v>
      </c>
      <c r="J2483" t="s">
        <v>1918</v>
      </c>
    </row>
    <row r="2484" spans="1:10" x14ac:dyDescent="0.25">
      <c r="A2484">
        <v>27838219</v>
      </c>
      <c r="B2484" t="s">
        <v>17</v>
      </c>
      <c r="C2484" s="4">
        <v>44771.74635134259</v>
      </c>
      <c r="D2484" t="s">
        <v>1905</v>
      </c>
      <c r="E2484" t="s">
        <v>62</v>
      </c>
      <c r="F2484" t="s">
        <v>57</v>
      </c>
      <c r="G2484" t="s">
        <v>244</v>
      </c>
      <c r="H2484" t="s">
        <v>40</v>
      </c>
      <c r="I2484" t="s">
        <v>21</v>
      </c>
      <c r="J2484" t="s">
        <v>1906</v>
      </c>
    </row>
    <row r="2485" spans="1:10" x14ac:dyDescent="0.25">
      <c r="A2485">
        <v>27838220</v>
      </c>
      <c r="B2485" t="s">
        <v>17</v>
      </c>
      <c r="C2485" s="4">
        <v>44771.746351678237</v>
      </c>
      <c r="D2485" t="s">
        <v>1919</v>
      </c>
      <c r="E2485" t="s">
        <v>62</v>
      </c>
      <c r="F2485" t="s">
        <v>57</v>
      </c>
      <c r="G2485" t="s">
        <v>401</v>
      </c>
      <c r="H2485" t="s">
        <v>29</v>
      </c>
      <c r="I2485" t="s">
        <v>21</v>
      </c>
      <c r="J2485" t="s">
        <v>1920</v>
      </c>
    </row>
    <row r="2486" spans="1:10" x14ac:dyDescent="0.25">
      <c r="A2486">
        <v>27838248</v>
      </c>
      <c r="B2486" t="s">
        <v>17</v>
      </c>
      <c r="C2486" s="4">
        <v>44771.746798483793</v>
      </c>
      <c r="D2486" t="s">
        <v>1905</v>
      </c>
      <c r="E2486" t="s">
        <v>62</v>
      </c>
      <c r="F2486" t="s">
        <v>57</v>
      </c>
      <c r="G2486" t="s">
        <v>244</v>
      </c>
      <c r="H2486" t="s">
        <v>25</v>
      </c>
      <c r="I2486" t="s">
        <v>21</v>
      </c>
      <c r="J2486" t="s">
        <v>1906</v>
      </c>
    </row>
    <row r="2487" spans="1:10" x14ac:dyDescent="0.25">
      <c r="A2487">
        <v>27838262</v>
      </c>
      <c r="B2487" t="s">
        <v>17</v>
      </c>
      <c r="C2487" s="4">
        <v>44771.74699590278</v>
      </c>
      <c r="D2487" t="s">
        <v>1912</v>
      </c>
      <c r="E2487" t="s">
        <v>38</v>
      </c>
      <c r="F2487" t="s">
        <v>31</v>
      </c>
      <c r="G2487" t="s">
        <v>86</v>
      </c>
      <c r="H2487" t="s">
        <v>54</v>
      </c>
      <c r="I2487" t="s">
        <v>21</v>
      </c>
      <c r="J2487" t="s">
        <v>434</v>
      </c>
    </row>
    <row r="2488" spans="1:10" x14ac:dyDescent="0.25">
      <c r="A2488">
        <v>27838267</v>
      </c>
      <c r="B2488" t="s">
        <v>17</v>
      </c>
      <c r="C2488" s="4">
        <v>44771.747191550923</v>
      </c>
      <c r="D2488" t="s">
        <v>1921</v>
      </c>
      <c r="E2488" t="s">
        <v>62</v>
      </c>
      <c r="F2488" t="s">
        <v>57</v>
      </c>
      <c r="G2488" t="s">
        <v>291</v>
      </c>
      <c r="H2488" t="s">
        <v>29</v>
      </c>
      <c r="I2488" t="s">
        <v>21</v>
      </c>
      <c r="J2488" t="s">
        <v>1922</v>
      </c>
    </row>
    <row r="2489" spans="1:10" x14ac:dyDescent="0.25">
      <c r="A2489">
        <v>27838275</v>
      </c>
      <c r="B2489" t="s">
        <v>17</v>
      </c>
      <c r="C2489" s="4">
        <v>44771.747248449072</v>
      </c>
      <c r="D2489" t="s">
        <v>1923</v>
      </c>
      <c r="E2489" t="s">
        <v>38</v>
      </c>
      <c r="F2489" t="s">
        <v>52</v>
      </c>
      <c r="G2489" t="s">
        <v>100</v>
      </c>
      <c r="H2489" t="s">
        <v>29</v>
      </c>
      <c r="I2489" t="s">
        <v>21</v>
      </c>
      <c r="J2489" t="s">
        <v>1924</v>
      </c>
    </row>
    <row r="2490" spans="1:10" x14ac:dyDescent="0.25">
      <c r="A2490">
        <v>27838284</v>
      </c>
      <c r="B2490" t="s">
        <v>17</v>
      </c>
      <c r="C2490" s="4">
        <v>44771.747254247683</v>
      </c>
      <c r="D2490" t="s">
        <v>1925</v>
      </c>
      <c r="E2490" t="s">
        <v>62</v>
      </c>
      <c r="F2490" t="s">
        <v>57</v>
      </c>
      <c r="G2490" t="s">
        <v>291</v>
      </c>
      <c r="H2490" t="s">
        <v>42</v>
      </c>
      <c r="I2490" t="s">
        <v>21</v>
      </c>
      <c r="J2490" t="s">
        <v>1926</v>
      </c>
    </row>
    <row r="2491" spans="1:10" x14ac:dyDescent="0.25">
      <c r="A2491">
        <v>27838295</v>
      </c>
      <c r="B2491" t="s">
        <v>17</v>
      </c>
      <c r="C2491" s="4">
        <v>44771.747476296303</v>
      </c>
      <c r="D2491" t="s">
        <v>1927</v>
      </c>
      <c r="E2491" t="s">
        <v>129</v>
      </c>
      <c r="F2491" t="s">
        <v>18</v>
      </c>
      <c r="G2491" t="s">
        <v>186</v>
      </c>
      <c r="H2491" t="s">
        <v>42</v>
      </c>
      <c r="I2491" t="s">
        <v>21</v>
      </c>
      <c r="J2491" t="s">
        <v>538</v>
      </c>
    </row>
    <row r="2492" spans="1:10" x14ac:dyDescent="0.25">
      <c r="A2492">
        <v>27838299</v>
      </c>
      <c r="B2492" t="s">
        <v>17</v>
      </c>
      <c r="C2492" s="4">
        <v>44771.747600451388</v>
      </c>
      <c r="D2492" t="s">
        <v>1927</v>
      </c>
      <c r="E2492" t="s">
        <v>129</v>
      </c>
      <c r="F2492" t="s">
        <v>18</v>
      </c>
      <c r="G2492" t="s">
        <v>186</v>
      </c>
      <c r="H2492" t="s">
        <v>54</v>
      </c>
      <c r="I2492" t="s">
        <v>21</v>
      </c>
      <c r="J2492" t="s">
        <v>538</v>
      </c>
    </row>
    <row r="2493" spans="1:10" x14ac:dyDescent="0.25">
      <c r="A2493">
        <v>27838310</v>
      </c>
      <c r="B2493" t="s">
        <v>17</v>
      </c>
      <c r="C2493" s="4">
        <v>44771.747914224543</v>
      </c>
      <c r="D2493" t="s">
        <v>1903</v>
      </c>
      <c r="E2493" t="s">
        <v>38</v>
      </c>
      <c r="F2493" t="s">
        <v>31</v>
      </c>
      <c r="G2493" t="s">
        <v>148</v>
      </c>
      <c r="H2493" t="s">
        <v>40</v>
      </c>
      <c r="I2493" t="s">
        <v>21</v>
      </c>
      <c r="J2493" t="s">
        <v>1904</v>
      </c>
    </row>
    <row r="2494" spans="1:10" x14ac:dyDescent="0.25">
      <c r="A2494">
        <v>27838319</v>
      </c>
      <c r="B2494" t="s">
        <v>17</v>
      </c>
      <c r="C2494" s="4">
        <v>44771.748237951389</v>
      </c>
      <c r="D2494" t="s">
        <v>1928</v>
      </c>
      <c r="E2494" t="s">
        <v>268</v>
      </c>
      <c r="F2494" t="s">
        <v>49</v>
      </c>
      <c r="G2494" t="s">
        <v>73</v>
      </c>
      <c r="H2494" t="s">
        <v>29</v>
      </c>
      <c r="I2494" t="s">
        <v>21</v>
      </c>
      <c r="J2494" t="s">
        <v>1929</v>
      </c>
    </row>
    <row r="2495" spans="1:10" x14ac:dyDescent="0.25">
      <c r="A2495">
        <v>27838328</v>
      </c>
      <c r="B2495" t="s">
        <v>17</v>
      </c>
      <c r="C2495" s="4">
        <v>44771.748286435177</v>
      </c>
      <c r="D2495" t="s">
        <v>1930</v>
      </c>
      <c r="E2495" t="s">
        <v>129</v>
      </c>
      <c r="F2495" t="s">
        <v>49</v>
      </c>
      <c r="G2495" t="s">
        <v>73</v>
      </c>
      <c r="H2495" t="s">
        <v>42</v>
      </c>
      <c r="I2495" t="s">
        <v>21</v>
      </c>
      <c r="J2495" t="s">
        <v>540</v>
      </c>
    </row>
    <row r="2496" spans="1:10" x14ac:dyDescent="0.25">
      <c r="A2496">
        <v>27838333</v>
      </c>
      <c r="B2496" t="s">
        <v>17</v>
      </c>
      <c r="C2496" s="4">
        <v>44771.748470486113</v>
      </c>
      <c r="D2496" t="s">
        <v>1903</v>
      </c>
      <c r="E2496" t="s">
        <v>38</v>
      </c>
      <c r="F2496" t="s">
        <v>31</v>
      </c>
      <c r="G2496" t="s">
        <v>148</v>
      </c>
      <c r="H2496" t="s">
        <v>25</v>
      </c>
      <c r="I2496" t="s">
        <v>21</v>
      </c>
      <c r="J2496" t="s">
        <v>1904</v>
      </c>
    </row>
    <row r="2497" spans="1:10" x14ac:dyDescent="0.25">
      <c r="A2497">
        <v>27838354</v>
      </c>
      <c r="B2497" t="s">
        <v>17</v>
      </c>
      <c r="C2497" s="4">
        <v>44771.7489378588</v>
      </c>
      <c r="D2497" t="s">
        <v>1925</v>
      </c>
      <c r="E2497" t="s">
        <v>62</v>
      </c>
      <c r="F2497" t="s">
        <v>57</v>
      </c>
      <c r="G2497" t="s">
        <v>291</v>
      </c>
      <c r="H2497" t="s">
        <v>54</v>
      </c>
      <c r="I2497" t="s">
        <v>21</v>
      </c>
      <c r="J2497" t="s">
        <v>1926</v>
      </c>
    </row>
    <row r="2498" spans="1:10" x14ac:dyDescent="0.25">
      <c r="A2498">
        <v>27838362</v>
      </c>
      <c r="B2498" t="s">
        <v>17</v>
      </c>
      <c r="C2498" s="4">
        <v>44771.749212268522</v>
      </c>
      <c r="D2498" t="s">
        <v>1931</v>
      </c>
      <c r="E2498" t="s">
        <v>191</v>
      </c>
      <c r="F2498" t="s">
        <v>49</v>
      </c>
      <c r="G2498" t="s">
        <v>247</v>
      </c>
      <c r="H2498" t="s">
        <v>42</v>
      </c>
      <c r="I2498" t="s">
        <v>21</v>
      </c>
      <c r="J2498" t="s">
        <v>1932</v>
      </c>
    </row>
    <row r="2499" spans="1:10" x14ac:dyDescent="0.25">
      <c r="A2499">
        <v>27838370</v>
      </c>
      <c r="B2499" t="s">
        <v>17</v>
      </c>
      <c r="C2499" s="4">
        <v>44771.749327685182</v>
      </c>
      <c r="D2499" t="s">
        <v>1915</v>
      </c>
      <c r="E2499" t="s">
        <v>371</v>
      </c>
      <c r="F2499" t="s">
        <v>49</v>
      </c>
      <c r="G2499" t="s">
        <v>84</v>
      </c>
      <c r="H2499" t="s">
        <v>54</v>
      </c>
      <c r="I2499" t="s">
        <v>21</v>
      </c>
      <c r="J2499" t="s">
        <v>1916</v>
      </c>
    </row>
    <row r="2500" spans="1:10" x14ac:dyDescent="0.25">
      <c r="A2500">
        <v>27838378</v>
      </c>
      <c r="B2500" t="s">
        <v>17</v>
      </c>
      <c r="C2500" s="4">
        <v>44771.749587326391</v>
      </c>
      <c r="D2500" t="s">
        <v>1930</v>
      </c>
      <c r="E2500" t="s">
        <v>129</v>
      </c>
      <c r="F2500" t="s">
        <v>49</v>
      </c>
      <c r="G2500" t="s">
        <v>73</v>
      </c>
      <c r="H2500" t="s">
        <v>54</v>
      </c>
      <c r="I2500" t="s">
        <v>21</v>
      </c>
      <c r="J2500" t="s">
        <v>540</v>
      </c>
    </row>
    <row r="2501" spans="1:10" x14ac:dyDescent="0.25">
      <c r="A2501">
        <v>27838382</v>
      </c>
      <c r="B2501" t="s">
        <v>17</v>
      </c>
      <c r="C2501" s="4">
        <v>44771.749657083332</v>
      </c>
      <c r="D2501" t="s">
        <v>1930</v>
      </c>
      <c r="E2501" t="s">
        <v>129</v>
      </c>
      <c r="F2501" t="s">
        <v>49</v>
      </c>
      <c r="G2501" t="s">
        <v>73</v>
      </c>
      <c r="H2501" t="s">
        <v>118</v>
      </c>
      <c r="I2501" t="s">
        <v>36</v>
      </c>
      <c r="J2501" t="s">
        <v>540</v>
      </c>
    </row>
    <row r="2502" spans="1:10" x14ac:dyDescent="0.25">
      <c r="A2502">
        <v>27838391</v>
      </c>
      <c r="B2502" t="s">
        <v>17</v>
      </c>
      <c r="C2502" s="4">
        <v>44771.749702754627</v>
      </c>
      <c r="D2502" t="s">
        <v>1907</v>
      </c>
      <c r="E2502" t="s">
        <v>38</v>
      </c>
      <c r="F2502" t="s">
        <v>31</v>
      </c>
      <c r="G2502" t="s">
        <v>168</v>
      </c>
      <c r="H2502" t="s">
        <v>40</v>
      </c>
      <c r="I2502" t="s">
        <v>21</v>
      </c>
      <c r="J2502" t="s">
        <v>1908</v>
      </c>
    </row>
    <row r="2503" spans="1:10" x14ac:dyDescent="0.25">
      <c r="A2503">
        <v>27838392</v>
      </c>
      <c r="B2503" t="s">
        <v>17</v>
      </c>
      <c r="C2503" s="4">
        <v>44771.749708240743</v>
      </c>
      <c r="D2503" t="s">
        <v>1933</v>
      </c>
      <c r="E2503" t="s">
        <v>38</v>
      </c>
      <c r="F2503" t="s">
        <v>23</v>
      </c>
      <c r="G2503" t="s">
        <v>194</v>
      </c>
      <c r="H2503" t="s">
        <v>29</v>
      </c>
      <c r="I2503" t="s">
        <v>21</v>
      </c>
      <c r="J2503" t="s">
        <v>366</v>
      </c>
    </row>
    <row r="2504" spans="1:10" x14ac:dyDescent="0.25">
      <c r="A2504">
        <v>27838399</v>
      </c>
      <c r="B2504" t="s">
        <v>17</v>
      </c>
      <c r="C2504" s="4">
        <v>44771.749787650457</v>
      </c>
      <c r="D2504" t="s">
        <v>1930</v>
      </c>
      <c r="E2504" t="s">
        <v>129</v>
      </c>
      <c r="F2504" t="s">
        <v>49</v>
      </c>
      <c r="G2504" t="s">
        <v>73</v>
      </c>
      <c r="H2504" t="s">
        <v>35</v>
      </c>
      <c r="I2504" t="s">
        <v>36</v>
      </c>
      <c r="J2504" t="s">
        <v>540</v>
      </c>
    </row>
    <row r="2505" spans="1:10" x14ac:dyDescent="0.25">
      <c r="A2505">
        <v>27838411</v>
      </c>
      <c r="B2505" t="s">
        <v>17</v>
      </c>
      <c r="C2505" s="4">
        <v>44771.749897337962</v>
      </c>
      <c r="D2505" t="s">
        <v>1931</v>
      </c>
      <c r="E2505" t="s">
        <v>191</v>
      </c>
      <c r="F2505" t="s">
        <v>49</v>
      </c>
      <c r="G2505" t="s">
        <v>247</v>
      </c>
      <c r="H2505" t="s">
        <v>54</v>
      </c>
      <c r="I2505" t="s">
        <v>21</v>
      </c>
      <c r="J2505" t="s">
        <v>1932</v>
      </c>
    </row>
    <row r="2506" spans="1:10" x14ac:dyDescent="0.25">
      <c r="A2506">
        <v>27838439</v>
      </c>
      <c r="B2506" t="s">
        <v>17</v>
      </c>
      <c r="C2506" s="4">
        <v>44771.750358159719</v>
      </c>
      <c r="D2506" t="s">
        <v>1907</v>
      </c>
      <c r="E2506" t="s">
        <v>38</v>
      </c>
      <c r="F2506" t="s">
        <v>31</v>
      </c>
      <c r="G2506" t="s">
        <v>168</v>
      </c>
      <c r="H2506" t="s">
        <v>25</v>
      </c>
      <c r="I2506" t="s">
        <v>21</v>
      </c>
      <c r="J2506" t="s">
        <v>1908</v>
      </c>
    </row>
    <row r="2507" spans="1:10" x14ac:dyDescent="0.25">
      <c r="A2507">
        <v>27838452</v>
      </c>
      <c r="B2507" t="s">
        <v>17</v>
      </c>
      <c r="C2507" s="4">
        <v>44771.750446307873</v>
      </c>
      <c r="D2507" t="s">
        <v>1934</v>
      </c>
      <c r="E2507" t="s">
        <v>27</v>
      </c>
      <c r="F2507" t="s">
        <v>18</v>
      </c>
      <c r="G2507" t="s">
        <v>396</v>
      </c>
      <c r="H2507" t="s">
        <v>54</v>
      </c>
      <c r="I2507" t="s">
        <v>21</v>
      </c>
      <c r="J2507" t="s">
        <v>1935</v>
      </c>
    </row>
    <row r="2508" spans="1:10" x14ac:dyDescent="0.25">
      <c r="A2508">
        <v>27838472</v>
      </c>
      <c r="B2508" t="s">
        <v>17</v>
      </c>
      <c r="C2508" s="4">
        <v>44771.751100706017</v>
      </c>
      <c r="F2508" t="s">
        <v>55</v>
      </c>
      <c r="G2508" t="s">
        <v>138</v>
      </c>
      <c r="H2508" t="s">
        <v>116</v>
      </c>
      <c r="I2508" t="s">
        <v>21</v>
      </c>
    </row>
    <row r="2509" spans="1:10" x14ac:dyDescent="0.25">
      <c r="A2509">
        <v>27838477</v>
      </c>
      <c r="B2509" t="s">
        <v>17</v>
      </c>
      <c r="C2509" s="4">
        <v>44771.751149016207</v>
      </c>
      <c r="F2509" t="s">
        <v>33</v>
      </c>
      <c r="G2509" t="s">
        <v>296</v>
      </c>
      <c r="H2509" t="s">
        <v>20</v>
      </c>
      <c r="I2509" t="s">
        <v>21</v>
      </c>
    </row>
    <row r="2510" spans="1:10" x14ac:dyDescent="0.25">
      <c r="A2510">
        <v>27838482</v>
      </c>
      <c r="B2510" t="s">
        <v>17</v>
      </c>
      <c r="C2510" s="4">
        <v>44771.751160266213</v>
      </c>
      <c r="D2510" t="s">
        <v>1936</v>
      </c>
      <c r="E2510" t="s">
        <v>22</v>
      </c>
      <c r="F2510" t="s">
        <v>23</v>
      </c>
      <c r="G2510" t="s">
        <v>175</v>
      </c>
      <c r="H2510" t="s">
        <v>29</v>
      </c>
      <c r="I2510" t="s">
        <v>21</v>
      </c>
      <c r="J2510" t="s">
        <v>1937</v>
      </c>
    </row>
    <row r="2511" spans="1:10" x14ac:dyDescent="0.25">
      <c r="A2511">
        <v>27838490</v>
      </c>
      <c r="B2511" t="s">
        <v>17</v>
      </c>
      <c r="C2511" s="4">
        <v>44771.751180578707</v>
      </c>
      <c r="D2511" t="s">
        <v>1938</v>
      </c>
      <c r="E2511" t="s">
        <v>27</v>
      </c>
      <c r="F2511" t="s">
        <v>18</v>
      </c>
      <c r="G2511" t="s">
        <v>273</v>
      </c>
      <c r="H2511" t="s">
        <v>42</v>
      </c>
      <c r="I2511" t="s">
        <v>21</v>
      </c>
      <c r="J2511" t="s">
        <v>539</v>
      </c>
    </row>
    <row r="2512" spans="1:10" x14ac:dyDescent="0.25">
      <c r="A2512">
        <v>27838502</v>
      </c>
      <c r="B2512" t="s">
        <v>17</v>
      </c>
      <c r="C2512" s="4">
        <v>44771.751369988429</v>
      </c>
      <c r="D2512" t="s">
        <v>1938</v>
      </c>
      <c r="E2512" t="s">
        <v>27</v>
      </c>
      <c r="F2512" t="s">
        <v>18</v>
      </c>
      <c r="G2512" t="s">
        <v>273</v>
      </c>
      <c r="H2512" t="s">
        <v>54</v>
      </c>
      <c r="I2512" t="s">
        <v>21</v>
      </c>
      <c r="J2512" t="s">
        <v>539</v>
      </c>
    </row>
    <row r="2513" spans="1:10" x14ac:dyDescent="0.25">
      <c r="A2513">
        <v>27838524</v>
      </c>
      <c r="B2513" t="s">
        <v>17</v>
      </c>
      <c r="C2513" s="4">
        <v>44771.751691377307</v>
      </c>
      <c r="D2513" t="s">
        <v>999</v>
      </c>
      <c r="E2513" t="s">
        <v>38</v>
      </c>
      <c r="F2513" t="s">
        <v>33</v>
      </c>
      <c r="G2513" t="s">
        <v>296</v>
      </c>
      <c r="H2513" t="s">
        <v>40</v>
      </c>
      <c r="I2513" t="s">
        <v>21</v>
      </c>
      <c r="J2513" t="s">
        <v>1779</v>
      </c>
    </row>
    <row r="2514" spans="1:10" x14ac:dyDescent="0.25">
      <c r="A2514">
        <v>27838530</v>
      </c>
      <c r="B2514" t="s">
        <v>17</v>
      </c>
      <c r="C2514" s="4">
        <v>44771.752179675917</v>
      </c>
      <c r="D2514" t="s">
        <v>1939</v>
      </c>
      <c r="E2514" t="s">
        <v>129</v>
      </c>
      <c r="F2514" t="s">
        <v>18</v>
      </c>
      <c r="G2514" t="s">
        <v>236</v>
      </c>
      <c r="H2514" t="s">
        <v>29</v>
      </c>
      <c r="I2514" t="s">
        <v>21</v>
      </c>
      <c r="J2514" t="s">
        <v>1940</v>
      </c>
    </row>
    <row r="2515" spans="1:10" x14ac:dyDescent="0.25">
      <c r="A2515">
        <v>27838542</v>
      </c>
      <c r="B2515" t="s">
        <v>17</v>
      </c>
      <c r="C2515" s="4">
        <v>44771.752372754629</v>
      </c>
      <c r="D2515" t="s">
        <v>1915</v>
      </c>
      <c r="E2515" t="s">
        <v>371</v>
      </c>
      <c r="F2515" t="s">
        <v>49</v>
      </c>
      <c r="G2515" t="s">
        <v>84</v>
      </c>
      <c r="H2515" t="s">
        <v>40</v>
      </c>
      <c r="I2515" t="s">
        <v>21</v>
      </c>
      <c r="J2515" t="s">
        <v>1916</v>
      </c>
    </row>
    <row r="2516" spans="1:10" x14ac:dyDescent="0.25">
      <c r="A2516">
        <v>27838549</v>
      </c>
      <c r="B2516" t="s">
        <v>17</v>
      </c>
      <c r="C2516" s="4">
        <v>44771.752564502312</v>
      </c>
      <c r="D2516" t="s">
        <v>1927</v>
      </c>
      <c r="E2516" t="s">
        <v>129</v>
      </c>
      <c r="F2516" t="s">
        <v>18</v>
      </c>
      <c r="G2516" t="s">
        <v>186</v>
      </c>
      <c r="H2516" t="s">
        <v>118</v>
      </c>
      <c r="I2516" t="s">
        <v>36</v>
      </c>
      <c r="J2516" t="s">
        <v>538</v>
      </c>
    </row>
    <row r="2517" spans="1:10" x14ac:dyDescent="0.25">
      <c r="A2517">
        <v>27838558</v>
      </c>
      <c r="B2517" t="s">
        <v>17</v>
      </c>
      <c r="C2517" s="4">
        <v>44771.752648657413</v>
      </c>
      <c r="D2517" t="s">
        <v>1912</v>
      </c>
      <c r="E2517" t="s">
        <v>38</v>
      </c>
      <c r="F2517" t="s">
        <v>31</v>
      </c>
      <c r="G2517" t="s">
        <v>86</v>
      </c>
      <c r="H2517" t="s">
        <v>40</v>
      </c>
      <c r="I2517" t="s">
        <v>21</v>
      </c>
      <c r="J2517" t="s">
        <v>434</v>
      </c>
    </row>
    <row r="2518" spans="1:10" x14ac:dyDescent="0.25">
      <c r="A2518">
        <v>27838559</v>
      </c>
      <c r="B2518" t="s">
        <v>17</v>
      </c>
      <c r="C2518" s="4">
        <v>44771.752697858799</v>
      </c>
      <c r="D2518" t="s">
        <v>1927</v>
      </c>
      <c r="E2518" t="s">
        <v>129</v>
      </c>
      <c r="F2518" t="s">
        <v>18</v>
      </c>
      <c r="G2518" t="s">
        <v>186</v>
      </c>
      <c r="H2518" t="s">
        <v>35</v>
      </c>
      <c r="I2518" t="s">
        <v>36</v>
      </c>
      <c r="J2518" t="s">
        <v>538</v>
      </c>
    </row>
    <row r="2519" spans="1:10" x14ac:dyDescent="0.25">
      <c r="A2519">
        <v>27838565</v>
      </c>
      <c r="B2519" t="s">
        <v>17</v>
      </c>
      <c r="C2519" s="4">
        <v>44771.752852662037</v>
      </c>
      <c r="D2519" t="s">
        <v>999</v>
      </c>
      <c r="E2519" t="s">
        <v>38</v>
      </c>
      <c r="F2519" t="s">
        <v>33</v>
      </c>
      <c r="G2519" t="s">
        <v>296</v>
      </c>
      <c r="H2519" t="s">
        <v>25</v>
      </c>
      <c r="I2519" t="s">
        <v>21</v>
      </c>
      <c r="J2519" t="s">
        <v>1779</v>
      </c>
    </row>
    <row r="2520" spans="1:10" x14ac:dyDescent="0.25">
      <c r="A2520">
        <v>27838576</v>
      </c>
      <c r="B2520" t="s">
        <v>17</v>
      </c>
      <c r="C2520" s="4">
        <v>44771.752957881938</v>
      </c>
      <c r="D2520" t="s">
        <v>1915</v>
      </c>
      <c r="E2520" t="s">
        <v>371</v>
      </c>
      <c r="F2520" t="s">
        <v>49</v>
      </c>
      <c r="G2520" t="s">
        <v>84</v>
      </c>
      <c r="H2520" t="s">
        <v>25</v>
      </c>
      <c r="I2520" t="s">
        <v>21</v>
      </c>
      <c r="J2520" t="s">
        <v>1916</v>
      </c>
    </row>
    <row r="2521" spans="1:10" x14ac:dyDescent="0.25">
      <c r="A2521">
        <v>27838593</v>
      </c>
      <c r="B2521" t="s">
        <v>17</v>
      </c>
      <c r="C2521" s="4">
        <v>44771.753156770843</v>
      </c>
      <c r="D2521" t="s">
        <v>1912</v>
      </c>
      <c r="E2521" t="s">
        <v>38</v>
      </c>
      <c r="F2521" t="s">
        <v>31</v>
      </c>
      <c r="G2521" t="s">
        <v>86</v>
      </c>
      <c r="H2521" t="s">
        <v>25</v>
      </c>
      <c r="I2521" t="s">
        <v>21</v>
      </c>
      <c r="J2521" t="s">
        <v>434</v>
      </c>
    </row>
    <row r="2522" spans="1:10" x14ac:dyDescent="0.25">
      <c r="A2522">
        <v>27838607</v>
      </c>
      <c r="B2522" t="s">
        <v>17</v>
      </c>
      <c r="C2522" s="4">
        <v>44771.753294259259</v>
      </c>
      <c r="D2522" t="s">
        <v>1909</v>
      </c>
      <c r="E2522" t="s">
        <v>62</v>
      </c>
      <c r="F2522" t="s">
        <v>57</v>
      </c>
      <c r="G2522" t="s">
        <v>76</v>
      </c>
      <c r="H2522" t="s">
        <v>40</v>
      </c>
      <c r="I2522" t="s">
        <v>21</v>
      </c>
      <c r="J2522" t="s">
        <v>1910</v>
      </c>
    </row>
    <row r="2523" spans="1:10" x14ac:dyDescent="0.25">
      <c r="A2523">
        <v>27838629</v>
      </c>
      <c r="B2523" t="s">
        <v>17</v>
      </c>
      <c r="C2523" s="4">
        <v>44771.75363511574</v>
      </c>
      <c r="D2523" t="s">
        <v>1909</v>
      </c>
      <c r="E2523" t="s">
        <v>62</v>
      </c>
      <c r="F2523" t="s">
        <v>57</v>
      </c>
      <c r="G2523" t="s">
        <v>76</v>
      </c>
      <c r="H2523" t="s">
        <v>25</v>
      </c>
      <c r="I2523" t="s">
        <v>21</v>
      </c>
      <c r="J2523" t="s">
        <v>1910</v>
      </c>
    </row>
    <row r="2524" spans="1:10" x14ac:dyDescent="0.25">
      <c r="A2524">
        <v>27838645</v>
      </c>
      <c r="B2524" t="s">
        <v>17</v>
      </c>
      <c r="C2524" s="4">
        <v>44771.753784062501</v>
      </c>
      <c r="D2524" t="s">
        <v>1941</v>
      </c>
      <c r="E2524" t="s">
        <v>349</v>
      </c>
      <c r="F2524" t="s">
        <v>49</v>
      </c>
      <c r="G2524" t="s">
        <v>106</v>
      </c>
      <c r="H2524" t="s">
        <v>42</v>
      </c>
      <c r="I2524" t="s">
        <v>21</v>
      </c>
      <c r="J2524" t="s">
        <v>1942</v>
      </c>
    </row>
    <row r="2525" spans="1:10" x14ac:dyDescent="0.25">
      <c r="A2525">
        <v>27838676</v>
      </c>
      <c r="B2525" t="s">
        <v>17</v>
      </c>
      <c r="C2525" s="4">
        <v>44771.754305717594</v>
      </c>
      <c r="D2525" t="s">
        <v>1925</v>
      </c>
      <c r="E2525" t="s">
        <v>62</v>
      </c>
      <c r="F2525" t="s">
        <v>57</v>
      </c>
      <c r="G2525" t="s">
        <v>291</v>
      </c>
      <c r="H2525" t="s">
        <v>40</v>
      </c>
      <c r="I2525" t="s">
        <v>21</v>
      </c>
      <c r="J2525" t="s">
        <v>1926</v>
      </c>
    </row>
    <row r="2526" spans="1:10" x14ac:dyDescent="0.25">
      <c r="A2526">
        <v>27838686</v>
      </c>
      <c r="B2526" t="s">
        <v>17</v>
      </c>
      <c r="C2526" s="4">
        <v>44771.754421076388</v>
      </c>
      <c r="D2526" t="s">
        <v>1943</v>
      </c>
      <c r="E2526" t="s">
        <v>129</v>
      </c>
      <c r="F2526" t="s">
        <v>49</v>
      </c>
      <c r="G2526" t="s">
        <v>192</v>
      </c>
      <c r="H2526" t="s">
        <v>42</v>
      </c>
      <c r="I2526" t="s">
        <v>21</v>
      </c>
      <c r="J2526" t="s">
        <v>541</v>
      </c>
    </row>
    <row r="2527" spans="1:10" x14ac:dyDescent="0.25">
      <c r="A2527">
        <v>27838688</v>
      </c>
      <c r="B2527" t="s">
        <v>17</v>
      </c>
      <c r="C2527" s="4">
        <v>44771.754464108802</v>
      </c>
      <c r="D2527" t="s">
        <v>1941</v>
      </c>
      <c r="E2527" t="s">
        <v>349</v>
      </c>
      <c r="F2527" t="s">
        <v>49</v>
      </c>
      <c r="G2527" t="s">
        <v>106</v>
      </c>
      <c r="H2527" t="s">
        <v>54</v>
      </c>
      <c r="I2527" t="s">
        <v>21</v>
      </c>
      <c r="J2527" t="s">
        <v>1942</v>
      </c>
    </row>
    <row r="2528" spans="1:10" x14ac:dyDescent="0.25">
      <c r="A2528">
        <v>27838694</v>
      </c>
      <c r="B2528" t="s">
        <v>17</v>
      </c>
      <c r="C2528" s="4">
        <v>44771.754756851849</v>
      </c>
      <c r="D2528" t="s">
        <v>1925</v>
      </c>
      <c r="E2528" t="s">
        <v>62</v>
      </c>
      <c r="F2528" t="s">
        <v>57</v>
      </c>
      <c r="G2528" t="s">
        <v>291</v>
      </c>
      <c r="H2528" t="s">
        <v>25</v>
      </c>
      <c r="I2528" t="s">
        <v>21</v>
      </c>
      <c r="J2528" t="s">
        <v>1926</v>
      </c>
    </row>
    <row r="2529" spans="1:10" x14ac:dyDescent="0.25">
      <c r="A2529">
        <v>27838706</v>
      </c>
      <c r="B2529" t="s">
        <v>17</v>
      </c>
      <c r="C2529" s="4">
        <v>44771.754870694444</v>
      </c>
      <c r="D2529" t="s">
        <v>1927</v>
      </c>
      <c r="E2529" t="s">
        <v>129</v>
      </c>
      <c r="F2529" t="s">
        <v>18</v>
      </c>
      <c r="G2529" t="s">
        <v>186</v>
      </c>
      <c r="H2529" t="s">
        <v>40</v>
      </c>
      <c r="I2529" t="s">
        <v>21</v>
      </c>
      <c r="J2529" t="s">
        <v>538</v>
      </c>
    </row>
    <row r="2530" spans="1:10" x14ac:dyDescent="0.25">
      <c r="A2530">
        <v>27838711</v>
      </c>
      <c r="B2530" t="s">
        <v>17</v>
      </c>
      <c r="C2530" s="4">
        <v>44771.755089525461</v>
      </c>
      <c r="D2530" t="s">
        <v>1585</v>
      </c>
      <c r="E2530" t="s">
        <v>62</v>
      </c>
      <c r="F2530" t="s">
        <v>57</v>
      </c>
      <c r="G2530" t="s">
        <v>286</v>
      </c>
      <c r="H2530" t="s">
        <v>29</v>
      </c>
      <c r="I2530" t="s">
        <v>21</v>
      </c>
      <c r="J2530" t="s">
        <v>1944</v>
      </c>
    </row>
    <row r="2531" spans="1:10" x14ac:dyDescent="0.25">
      <c r="A2531">
        <v>27838719</v>
      </c>
      <c r="B2531" t="s">
        <v>17</v>
      </c>
      <c r="C2531" s="4">
        <v>44771.755172800928</v>
      </c>
      <c r="D2531" t="s">
        <v>1945</v>
      </c>
      <c r="E2531" t="s">
        <v>38</v>
      </c>
      <c r="F2531" t="s">
        <v>33</v>
      </c>
      <c r="G2531" t="s">
        <v>316</v>
      </c>
      <c r="H2531" t="s">
        <v>42</v>
      </c>
      <c r="I2531" t="s">
        <v>21</v>
      </c>
      <c r="J2531" t="s">
        <v>1779</v>
      </c>
    </row>
    <row r="2532" spans="1:10" x14ac:dyDescent="0.25">
      <c r="A2532">
        <v>27838729</v>
      </c>
      <c r="B2532" t="s">
        <v>17</v>
      </c>
      <c r="C2532" s="4">
        <v>44771.755491076387</v>
      </c>
      <c r="D2532" t="s">
        <v>1927</v>
      </c>
      <c r="E2532" t="s">
        <v>129</v>
      </c>
      <c r="F2532" t="s">
        <v>18</v>
      </c>
      <c r="G2532" t="s">
        <v>186</v>
      </c>
      <c r="H2532" t="s">
        <v>25</v>
      </c>
      <c r="I2532" t="s">
        <v>21</v>
      </c>
      <c r="J2532" t="s">
        <v>538</v>
      </c>
    </row>
    <row r="2533" spans="1:10" x14ac:dyDescent="0.25">
      <c r="A2533">
        <v>27838754</v>
      </c>
      <c r="B2533" t="s">
        <v>17</v>
      </c>
      <c r="C2533" s="4">
        <v>44771.75597515046</v>
      </c>
      <c r="D2533" t="s">
        <v>1930</v>
      </c>
      <c r="E2533" t="s">
        <v>129</v>
      </c>
      <c r="F2533" t="s">
        <v>49</v>
      </c>
      <c r="G2533" t="s">
        <v>73</v>
      </c>
      <c r="H2533" t="s">
        <v>40</v>
      </c>
      <c r="I2533" t="s">
        <v>21</v>
      </c>
      <c r="J2533" t="s">
        <v>540</v>
      </c>
    </row>
    <row r="2534" spans="1:10" x14ac:dyDescent="0.25">
      <c r="A2534">
        <v>27838760</v>
      </c>
      <c r="B2534" t="s">
        <v>17</v>
      </c>
      <c r="C2534" s="4">
        <v>44771.756456921299</v>
      </c>
      <c r="D2534" t="s">
        <v>1930</v>
      </c>
      <c r="E2534" t="s">
        <v>129</v>
      </c>
      <c r="F2534" t="s">
        <v>49</v>
      </c>
      <c r="G2534" t="s">
        <v>73</v>
      </c>
      <c r="H2534" t="s">
        <v>25</v>
      </c>
      <c r="I2534" t="s">
        <v>21</v>
      </c>
      <c r="J2534" t="s">
        <v>540</v>
      </c>
    </row>
    <row r="2535" spans="1:10" x14ac:dyDescent="0.25">
      <c r="A2535">
        <v>27838771</v>
      </c>
      <c r="B2535" t="s">
        <v>17</v>
      </c>
      <c r="C2535" s="4">
        <v>44771.756501793992</v>
      </c>
      <c r="D2535" t="s">
        <v>1946</v>
      </c>
      <c r="E2535" t="s">
        <v>22</v>
      </c>
      <c r="F2535" t="s">
        <v>23</v>
      </c>
      <c r="G2535" t="s">
        <v>24</v>
      </c>
      <c r="H2535" t="s">
        <v>29</v>
      </c>
      <c r="I2535" t="s">
        <v>21</v>
      </c>
      <c r="J2535" t="s">
        <v>437</v>
      </c>
    </row>
    <row r="2536" spans="1:10" x14ac:dyDescent="0.25">
      <c r="A2536">
        <v>27838787</v>
      </c>
      <c r="B2536" t="s">
        <v>17</v>
      </c>
      <c r="C2536" s="4">
        <v>44771.756735127317</v>
      </c>
      <c r="D2536" t="s">
        <v>1947</v>
      </c>
      <c r="E2536" t="s">
        <v>62</v>
      </c>
      <c r="F2536" t="s">
        <v>57</v>
      </c>
      <c r="G2536" t="s">
        <v>182</v>
      </c>
      <c r="H2536" t="s">
        <v>42</v>
      </c>
      <c r="I2536" t="s">
        <v>21</v>
      </c>
      <c r="J2536" t="s">
        <v>1948</v>
      </c>
    </row>
    <row r="2537" spans="1:10" x14ac:dyDescent="0.25">
      <c r="A2537">
        <v>27838794</v>
      </c>
      <c r="B2537" t="s">
        <v>17</v>
      </c>
      <c r="C2537" s="4">
        <v>44771.756774270827</v>
      </c>
      <c r="D2537" t="s">
        <v>1934</v>
      </c>
      <c r="E2537" t="s">
        <v>27</v>
      </c>
      <c r="F2537" t="s">
        <v>18</v>
      </c>
      <c r="G2537" t="s">
        <v>396</v>
      </c>
      <c r="H2537" t="s">
        <v>40</v>
      </c>
      <c r="I2537" t="s">
        <v>21</v>
      </c>
      <c r="J2537" t="s">
        <v>1935</v>
      </c>
    </row>
    <row r="2538" spans="1:10" x14ac:dyDescent="0.25">
      <c r="A2538">
        <v>27838805</v>
      </c>
      <c r="B2538" t="s">
        <v>17</v>
      </c>
      <c r="C2538" s="4">
        <v>44771.756984756947</v>
      </c>
      <c r="D2538" t="s">
        <v>1947</v>
      </c>
      <c r="E2538" t="s">
        <v>62</v>
      </c>
      <c r="F2538" t="s">
        <v>57</v>
      </c>
      <c r="G2538" t="s">
        <v>182</v>
      </c>
      <c r="H2538" t="s">
        <v>54</v>
      </c>
      <c r="I2538" t="s">
        <v>21</v>
      </c>
      <c r="J2538" t="s">
        <v>1948</v>
      </c>
    </row>
    <row r="2539" spans="1:10" x14ac:dyDescent="0.25">
      <c r="A2539">
        <v>27838822</v>
      </c>
      <c r="B2539" t="s">
        <v>17</v>
      </c>
      <c r="C2539" s="4">
        <v>44771.757209768519</v>
      </c>
      <c r="D2539" t="s">
        <v>1934</v>
      </c>
      <c r="E2539" t="s">
        <v>27</v>
      </c>
      <c r="F2539" t="s">
        <v>18</v>
      </c>
      <c r="G2539" t="s">
        <v>396</v>
      </c>
      <c r="H2539" t="s">
        <v>25</v>
      </c>
      <c r="I2539" t="s">
        <v>21</v>
      </c>
      <c r="J2539" t="s">
        <v>1935</v>
      </c>
    </row>
    <row r="2540" spans="1:10" x14ac:dyDescent="0.25">
      <c r="A2540">
        <v>27838841</v>
      </c>
      <c r="B2540" t="s">
        <v>17</v>
      </c>
      <c r="C2540" s="4">
        <v>44771.75766638889</v>
      </c>
      <c r="D2540" t="s">
        <v>1949</v>
      </c>
      <c r="E2540" t="s">
        <v>27</v>
      </c>
      <c r="F2540" t="s">
        <v>18</v>
      </c>
      <c r="G2540" t="s">
        <v>260</v>
      </c>
      <c r="H2540" t="s">
        <v>29</v>
      </c>
      <c r="I2540" t="s">
        <v>21</v>
      </c>
      <c r="J2540" t="s">
        <v>1950</v>
      </c>
    </row>
    <row r="2541" spans="1:10" x14ac:dyDescent="0.25">
      <c r="A2541">
        <v>27838857</v>
      </c>
      <c r="B2541" t="s">
        <v>17</v>
      </c>
      <c r="C2541" s="4">
        <v>44771.757835069453</v>
      </c>
      <c r="D2541" t="s">
        <v>1951</v>
      </c>
      <c r="E2541" t="s">
        <v>27</v>
      </c>
      <c r="F2541" t="s">
        <v>18</v>
      </c>
      <c r="G2541" t="s">
        <v>262</v>
      </c>
      <c r="H2541" t="s">
        <v>42</v>
      </c>
      <c r="I2541" t="s">
        <v>21</v>
      </c>
      <c r="J2541" t="s">
        <v>1952</v>
      </c>
    </row>
    <row r="2542" spans="1:10" x14ac:dyDescent="0.25">
      <c r="A2542">
        <v>27838863</v>
      </c>
      <c r="B2542" t="s">
        <v>17</v>
      </c>
      <c r="C2542" s="4">
        <v>44771.757927349543</v>
      </c>
      <c r="D2542" t="s">
        <v>1938</v>
      </c>
      <c r="E2542" t="s">
        <v>27</v>
      </c>
      <c r="F2542" t="s">
        <v>18</v>
      </c>
      <c r="G2542" t="s">
        <v>273</v>
      </c>
      <c r="H2542" t="s">
        <v>40</v>
      </c>
      <c r="I2542" t="s">
        <v>21</v>
      </c>
      <c r="J2542" t="s">
        <v>539</v>
      </c>
    </row>
    <row r="2543" spans="1:10" x14ac:dyDescent="0.25">
      <c r="A2543">
        <v>27838876</v>
      </c>
      <c r="B2543" t="s">
        <v>17</v>
      </c>
      <c r="C2543" s="4">
        <v>44771.758326585637</v>
      </c>
      <c r="D2543" t="s">
        <v>1931</v>
      </c>
      <c r="E2543" t="s">
        <v>191</v>
      </c>
      <c r="F2543" t="s">
        <v>49</v>
      </c>
      <c r="G2543" t="s">
        <v>247</v>
      </c>
      <c r="H2543" t="s">
        <v>40</v>
      </c>
      <c r="I2543" t="s">
        <v>21</v>
      </c>
      <c r="J2543" t="s">
        <v>1932</v>
      </c>
    </row>
    <row r="2544" spans="1:10" x14ac:dyDescent="0.25">
      <c r="A2544">
        <v>27838879</v>
      </c>
      <c r="B2544" t="s">
        <v>17</v>
      </c>
      <c r="C2544" s="4">
        <v>44771.758434340278</v>
      </c>
      <c r="D2544" t="s">
        <v>1938</v>
      </c>
      <c r="E2544" t="s">
        <v>27</v>
      </c>
      <c r="F2544" t="s">
        <v>18</v>
      </c>
      <c r="G2544" t="s">
        <v>273</v>
      </c>
      <c r="H2544" t="s">
        <v>25</v>
      </c>
      <c r="I2544" t="s">
        <v>21</v>
      </c>
      <c r="J2544" t="s">
        <v>539</v>
      </c>
    </row>
    <row r="2545" spans="1:10" x14ac:dyDescent="0.25">
      <c r="A2545">
        <v>27838889</v>
      </c>
      <c r="B2545" t="s">
        <v>17</v>
      </c>
      <c r="C2545" s="4">
        <v>44771.758469502318</v>
      </c>
      <c r="D2545" t="s">
        <v>1943</v>
      </c>
      <c r="E2545" t="s">
        <v>129</v>
      </c>
      <c r="F2545" t="s">
        <v>49</v>
      </c>
      <c r="G2545" t="s">
        <v>192</v>
      </c>
      <c r="H2545" t="s">
        <v>54</v>
      </c>
      <c r="I2545" t="s">
        <v>21</v>
      </c>
      <c r="J2545" t="s">
        <v>541</v>
      </c>
    </row>
    <row r="2546" spans="1:10" x14ac:dyDescent="0.25">
      <c r="A2546">
        <v>27838899</v>
      </c>
      <c r="B2546" t="s">
        <v>17</v>
      </c>
      <c r="C2546" s="4">
        <v>44771.759093101849</v>
      </c>
      <c r="D2546" t="s">
        <v>1931</v>
      </c>
      <c r="E2546" t="s">
        <v>191</v>
      </c>
      <c r="F2546" t="s">
        <v>49</v>
      </c>
      <c r="G2546" t="s">
        <v>247</v>
      </c>
      <c r="H2546" t="s">
        <v>25</v>
      </c>
      <c r="I2546" t="s">
        <v>21</v>
      </c>
      <c r="J2546" t="s">
        <v>1932</v>
      </c>
    </row>
    <row r="2547" spans="1:10" x14ac:dyDescent="0.25">
      <c r="A2547">
        <v>27838911</v>
      </c>
      <c r="B2547" t="s">
        <v>17</v>
      </c>
      <c r="C2547" s="4">
        <v>44771.759167280092</v>
      </c>
      <c r="D2547" t="s">
        <v>1953</v>
      </c>
      <c r="E2547" t="s">
        <v>27</v>
      </c>
      <c r="F2547" t="s">
        <v>18</v>
      </c>
      <c r="G2547" t="s">
        <v>380</v>
      </c>
      <c r="H2547" t="s">
        <v>29</v>
      </c>
      <c r="I2547" t="s">
        <v>21</v>
      </c>
      <c r="J2547" t="s">
        <v>1954</v>
      </c>
    </row>
    <row r="2548" spans="1:10" x14ac:dyDescent="0.25">
      <c r="A2548">
        <v>27838923</v>
      </c>
      <c r="B2548" t="s">
        <v>17</v>
      </c>
      <c r="C2548" s="4">
        <v>44771.759224479167</v>
      </c>
      <c r="D2548" t="s">
        <v>1955</v>
      </c>
      <c r="E2548" t="s">
        <v>22</v>
      </c>
      <c r="F2548" t="s">
        <v>52</v>
      </c>
      <c r="G2548" t="s">
        <v>410</v>
      </c>
      <c r="H2548" t="s">
        <v>42</v>
      </c>
      <c r="I2548" t="s">
        <v>21</v>
      </c>
      <c r="J2548" t="s">
        <v>300</v>
      </c>
    </row>
    <row r="2549" spans="1:10" x14ac:dyDescent="0.25">
      <c r="A2549">
        <v>27838929</v>
      </c>
      <c r="B2549" t="s">
        <v>17</v>
      </c>
      <c r="C2549" s="4">
        <v>44771.759254988428</v>
      </c>
      <c r="D2549" t="s">
        <v>1951</v>
      </c>
      <c r="E2549" t="s">
        <v>27</v>
      </c>
      <c r="F2549" t="s">
        <v>18</v>
      </c>
      <c r="G2549" t="s">
        <v>262</v>
      </c>
      <c r="H2549" t="s">
        <v>54</v>
      </c>
      <c r="I2549" t="s">
        <v>21</v>
      </c>
      <c r="J2549" t="s">
        <v>1952</v>
      </c>
    </row>
    <row r="2550" spans="1:10" x14ac:dyDescent="0.25">
      <c r="A2550">
        <v>27839002</v>
      </c>
      <c r="B2550" t="s">
        <v>17</v>
      </c>
      <c r="C2550" s="4">
        <v>44771.761527824077</v>
      </c>
      <c r="D2550" t="s">
        <v>1941</v>
      </c>
      <c r="E2550" t="s">
        <v>349</v>
      </c>
      <c r="F2550" t="s">
        <v>49</v>
      </c>
      <c r="G2550" t="s">
        <v>106</v>
      </c>
      <c r="H2550" t="s">
        <v>40</v>
      </c>
      <c r="I2550" t="s">
        <v>21</v>
      </c>
      <c r="J2550" t="s">
        <v>1942</v>
      </c>
    </row>
    <row r="2551" spans="1:10" x14ac:dyDescent="0.25">
      <c r="A2551">
        <v>27839010</v>
      </c>
      <c r="B2551" t="s">
        <v>17</v>
      </c>
      <c r="C2551" s="4">
        <v>44771.761939097218</v>
      </c>
      <c r="D2551" t="s">
        <v>1941</v>
      </c>
      <c r="E2551" t="s">
        <v>349</v>
      </c>
      <c r="F2551" t="s">
        <v>49</v>
      </c>
      <c r="G2551" t="s">
        <v>106</v>
      </c>
      <c r="H2551" t="s">
        <v>25</v>
      </c>
      <c r="I2551" t="s">
        <v>21</v>
      </c>
      <c r="J2551" t="s">
        <v>1942</v>
      </c>
    </row>
    <row r="2552" spans="1:10" x14ac:dyDescent="0.25">
      <c r="A2552">
        <v>27839021</v>
      </c>
      <c r="B2552" t="s">
        <v>17</v>
      </c>
      <c r="C2552" s="4">
        <v>44771.761966840277</v>
      </c>
      <c r="D2552" t="s">
        <v>1956</v>
      </c>
      <c r="E2552" t="s">
        <v>379</v>
      </c>
      <c r="F2552" t="s">
        <v>31</v>
      </c>
      <c r="G2552" t="s">
        <v>96</v>
      </c>
      <c r="H2552" t="s">
        <v>40</v>
      </c>
      <c r="I2552" t="s">
        <v>21</v>
      </c>
    </row>
    <row r="2553" spans="1:10" x14ac:dyDescent="0.25">
      <c r="A2553">
        <v>27839029</v>
      </c>
      <c r="B2553" t="s">
        <v>17</v>
      </c>
      <c r="C2553" s="4">
        <v>44771.762117511571</v>
      </c>
      <c r="D2553" t="s">
        <v>1957</v>
      </c>
      <c r="E2553" t="s">
        <v>30</v>
      </c>
      <c r="F2553" t="s">
        <v>55</v>
      </c>
      <c r="G2553" t="s">
        <v>119</v>
      </c>
      <c r="H2553" t="s">
        <v>42</v>
      </c>
      <c r="I2553" t="s">
        <v>21</v>
      </c>
      <c r="J2553" t="s">
        <v>203</v>
      </c>
    </row>
    <row r="2554" spans="1:10" x14ac:dyDescent="0.25">
      <c r="A2554">
        <v>27839037</v>
      </c>
      <c r="B2554" t="s">
        <v>17</v>
      </c>
      <c r="C2554" s="4">
        <v>44771.762590590282</v>
      </c>
      <c r="D2554" t="s">
        <v>1956</v>
      </c>
      <c r="E2554" t="s">
        <v>379</v>
      </c>
      <c r="F2554" t="s">
        <v>31</v>
      </c>
      <c r="G2554" t="s">
        <v>96</v>
      </c>
      <c r="H2554" t="s">
        <v>25</v>
      </c>
      <c r="I2554" t="s">
        <v>21</v>
      </c>
    </row>
    <row r="2555" spans="1:10" x14ac:dyDescent="0.25">
      <c r="A2555">
        <v>27839058</v>
      </c>
      <c r="B2555" t="s">
        <v>17</v>
      </c>
      <c r="C2555" s="4">
        <v>44771.762985613423</v>
      </c>
      <c r="D2555" t="s">
        <v>1958</v>
      </c>
      <c r="E2555" t="s">
        <v>27</v>
      </c>
      <c r="F2555" t="s">
        <v>18</v>
      </c>
      <c r="G2555" t="s">
        <v>236</v>
      </c>
      <c r="H2555" t="s">
        <v>42</v>
      </c>
      <c r="I2555" t="s">
        <v>21</v>
      </c>
      <c r="J2555" t="s">
        <v>1959</v>
      </c>
    </row>
    <row r="2556" spans="1:10" x14ac:dyDescent="0.25">
      <c r="A2556">
        <v>27839061</v>
      </c>
      <c r="B2556" t="s">
        <v>17</v>
      </c>
      <c r="C2556" s="4">
        <v>44771.763035856478</v>
      </c>
      <c r="D2556" t="s">
        <v>1958</v>
      </c>
      <c r="E2556" t="s">
        <v>27</v>
      </c>
      <c r="F2556" t="s">
        <v>18</v>
      </c>
      <c r="G2556" t="s">
        <v>236</v>
      </c>
      <c r="H2556" t="s">
        <v>54</v>
      </c>
      <c r="I2556" t="s">
        <v>21</v>
      </c>
      <c r="J2556" t="s">
        <v>1959</v>
      </c>
    </row>
    <row r="2557" spans="1:10" x14ac:dyDescent="0.25">
      <c r="A2557">
        <v>27839070</v>
      </c>
      <c r="B2557" t="s">
        <v>17</v>
      </c>
      <c r="C2557" s="4">
        <v>44771.763200138892</v>
      </c>
      <c r="D2557" t="s">
        <v>1960</v>
      </c>
      <c r="E2557" t="s">
        <v>30</v>
      </c>
      <c r="F2557" t="s">
        <v>52</v>
      </c>
      <c r="G2557" t="s">
        <v>69</v>
      </c>
      <c r="H2557" t="s">
        <v>29</v>
      </c>
      <c r="I2557" t="s">
        <v>21</v>
      </c>
    </row>
    <row r="2558" spans="1:10" x14ac:dyDescent="0.25">
      <c r="A2558">
        <v>27839081</v>
      </c>
      <c r="B2558" t="s">
        <v>17</v>
      </c>
      <c r="C2558" s="4">
        <v>44771.763496053238</v>
      </c>
      <c r="D2558" t="s">
        <v>1955</v>
      </c>
      <c r="E2558" t="s">
        <v>22</v>
      </c>
      <c r="F2558" t="s">
        <v>52</v>
      </c>
      <c r="G2558" t="s">
        <v>410</v>
      </c>
      <c r="H2558" t="s">
        <v>54</v>
      </c>
      <c r="I2558" t="s">
        <v>21</v>
      </c>
      <c r="J2558" t="s">
        <v>300</v>
      </c>
    </row>
    <row r="2559" spans="1:10" x14ac:dyDescent="0.25">
      <c r="A2559">
        <v>27839087</v>
      </c>
      <c r="B2559" t="s">
        <v>17</v>
      </c>
      <c r="C2559" s="4">
        <v>44771.763548854156</v>
      </c>
      <c r="D2559" t="s">
        <v>1951</v>
      </c>
      <c r="E2559" t="s">
        <v>27</v>
      </c>
      <c r="F2559" t="s">
        <v>18</v>
      </c>
      <c r="G2559" t="s">
        <v>262</v>
      </c>
      <c r="H2559" t="s">
        <v>40</v>
      </c>
      <c r="I2559" t="s">
        <v>21</v>
      </c>
      <c r="J2559" t="s">
        <v>1952</v>
      </c>
    </row>
    <row r="2560" spans="1:10" x14ac:dyDescent="0.25">
      <c r="A2560">
        <v>27839088</v>
      </c>
      <c r="B2560" t="s">
        <v>17</v>
      </c>
      <c r="C2560" s="4">
        <v>44771.763555428239</v>
      </c>
      <c r="D2560" t="s">
        <v>1961</v>
      </c>
      <c r="E2560" t="s">
        <v>27</v>
      </c>
      <c r="F2560" t="s">
        <v>57</v>
      </c>
      <c r="G2560" t="s">
        <v>185</v>
      </c>
      <c r="H2560" t="s">
        <v>29</v>
      </c>
      <c r="I2560" t="s">
        <v>21</v>
      </c>
      <c r="J2560" t="s">
        <v>1962</v>
      </c>
    </row>
    <row r="2561" spans="1:10" x14ac:dyDescent="0.25">
      <c r="A2561">
        <v>27839095</v>
      </c>
      <c r="B2561" t="s">
        <v>17</v>
      </c>
      <c r="C2561" s="4">
        <v>44771.76368261574</v>
      </c>
      <c r="D2561" t="s">
        <v>1943</v>
      </c>
      <c r="E2561" t="s">
        <v>129</v>
      </c>
      <c r="F2561" t="s">
        <v>49</v>
      </c>
      <c r="G2561" t="s">
        <v>192</v>
      </c>
      <c r="H2561" t="s">
        <v>40</v>
      </c>
      <c r="I2561" t="s">
        <v>21</v>
      </c>
      <c r="J2561" t="s">
        <v>541</v>
      </c>
    </row>
    <row r="2562" spans="1:10" x14ac:dyDescent="0.25">
      <c r="A2562">
        <v>27839106</v>
      </c>
      <c r="B2562" t="s">
        <v>17</v>
      </c>
      <c r="C2562" s="4">
        <v>44771.76392351852</v>
      </c>
      <c r="D2562" t="s">
        <v>1951</v>
      </c>
      <c r="E2562" t="s">
        <v>27</v>
      </c>
      <c r="F2562" t="s">
        <v>18</v>
      </c>
      <c r="G2562" t="s">
        <v>262</v>
      </c>
      <c r="H2562" t="s">
        <v>25</v>
      </c>
      <c r="I2562" t="s">
        <v>21</v>
      </c>
      <c r="J2562" t="s">
        <v>1952</v>
      </c>
    </row>
    <row r="2563" spans="1:10" x14ac:dyDescent="0.25">
      <c r="A2563">
        <v>27839126</v>
      </c>
      <c r="B2563" t="s">
        <v>17</v>
      </c>
      <c r="C2563" s="4">
        <v>44771.764102071756</v>
      </c>
      <c r="D2563" t="s">
        <v>1947</v>
      </c>
      <c r="E2563" t="s">
        <v>62</v>
      </c>
      <c r="F2563" t="s">
        <v>57</v>
      </c>
      <c r="G2563" t="s">
        <v>182</v>
      </c>
      <c r="H2563" t="s">
        <v>40</v>
      </c>
      <c r="I2563" t="s">
        <v>21</v>
      </c>
      <c r="J2563" t="s">
        <v>1948</v>
      </c>
    </row>
    <row r="2564" spans="1:10" x14ac:dyDescent="0.25">
      <c r="A2564">
        <v>27839130</v>
      </c>
      <c r="B2564" t="s">
        <v>17</v>
      </c>
      <c r="C2564" s="4">
        <v>44771.764315868058</v>
      </c>
      <c r="D2564" t="s">
        <v>1943</v>
      </c>
      <c r="E2564" t="s">
        <v>129</v>
      </c>
      <c r="F2564" t="s">
        <v>49</v>
      </c>
      <c r="G2564" t="s">
        <v>192</v>
      </c>
      <c r="H2564" t="s">
        <v>25</v>
      </c>
      <c r="I2564" t="s">
        <v>21</v>
      </c>
      <c r="J2564" t="s">
        <v>541</v>
      </c>
    </row>
    <row r="2565" spans="1:10" x14ac:dyDescent="0.25">
      <c r="A2565">
        <v>27839149</v>
      </c>
      <c r="B2565" t="s">
        <v>17</v>
      </c>
      <c r="C2565" s="4">
        <v>44771.76462361111</v>
      </c>
      <c r="D2565" t="s">
        <v>1947</v>
      </c>
      <c r="E2565" t="s">
        <v>62</v>
      </c>
      <c r="F2565" t="s">
        <v>57</v>
      </c>
      <c r="G2565" t="s">
        <v>182</v>
      </c>
      <c r="H2565" t="s">
        <v>25</v>
      </c>
      <c r="I2565" t="s">
        <v>21</v>
      </c>
      <c r="J2565" t="s">
        <v>1948</v>
      </c>
    </row>
    <row r="2566" spans="1:10" x14ac:dyDescent="0.25">
      <c r="A2566">
        <v>27839173</v>
      </c>
      <c r="B2566" t="s">
        <v>17</v>
      </c>
      <c r="C2566" s="4">
        <v>44771.765312430558</v>
      </c>
      <c r="D2566" t="s">
        <v>1963</v>
      </c>
      <c r="E2566" t="s">
        <v>22</v>
      </c>
      <c r="F2566" t="s">
        <v>23</v>
      </c>
      <c r="G2566" t="s">
        <v>274</v>
      </c>
      <c r="H2566" t="s">
        <v>42</v>
      </c>
      <c r="I2566" t="s">
        <v>21</v>
      </c>
      <c r="J2566" t="s">
        <v>256</v>
      </c>
    </row>
    <row r="2567" spans="1:10" x14ac:dyDescent="0.25">
      <c r="A2567">
        <v>27839181</v>
      </c>
      <c r="B2567" t="s">
        <v>17</v>
      </c>
      <c r="C2567" s="4">
        <v>44771.7655571875</v>
      </c>
      <c r="D2567" t="s">
        <v>1963</v>
      </c>
      <c r="E2567" t="s">
        <v>22</v>
      </c>
      <c r="F2567" t="s">
        <v>23</v>
      </c>
      <c r="G2567" t="s">
        <v>274</v>
      </c>
      <c r="H2567" t="s">
        <v>54</v>
      </c>
      <c r="I2567" t="s">
        <v>21</v>
      </c>
      <c r="J2567" t="s">
        <v>256</v>
      </c>
    </row>
    <row r="2568" spans="1:10" x14ac:dyDescent="0.25">
      <c r="A2568">
        <v>27839191</v>
      </c>
      <c r="B2568" t="s">
        <v>17</v>
      </c>
      <c r="C2568" s="4">
        <v>44771.766106111107</v>
      </c>
      <c r="D2568" t="s">
        <v>1964</v>
      </c>
      <c r="E2568" t="s">
        <v>62</v>
      </c>
      <c r="F2568" t="s">
        <v>49</v>
      </c>
      <c r="G2568" t="s">
        <v>74</v>
      </c>
      <c r="H2568" t="s">
        <v>29</v>
      </c>
      <c r="I2568" t="s">
        <v>21</v>
      </c>
      <c r="J2568" t="s">
        <v>1965</v>
      </c>
    </row>
    <row r="2569" spans="1:10" x14ac:dyDescent="0.25">
      <c r="A2569">
        <v>27839210</v>
      </c>
      <c r="B2569" t="s">
        <v>17</v>
      </c>
      <c r="C2569" s="4">
        <v>44771.7665159838</v>
      </c>
      <c r="F2569" t="s">
        <v>23</v>
      </c>
      <c r="G2569" t="s">
        <v>172</v>
      </c>
      <c r="H2569" t="s">
        <v>20</v>
      </c>
      <c r="I2569" t="s">
        <v>21</v>
      </c>
    </row>
    <row r="2570" spans="1:10" x14ac:dyDescent="0.25">
      <c r="A2570">
        <v>27839256</v>
      </c>
      <c r="B2570" t="s">
        <v>17</v>
      </c>
      <c r="C2570" s="4">
        <v>44771.76883296296</v>
      </c>
      <c r="D2570" t="s">
        <v>1958</v>
      </c>
      <c r="E2570" t="s">
        <v>27</v>
      </c>
      <c r="F2570" t="s">
        <v>18</v>
      </c>
      <c r="G2570" t="s">
        <v>236</v>
      </c>
      <c r="H2570" t="s">
        <v>40</v>
      </c>
      <c r="I2570" t="s">
        <v>21</v>
      </c>
      <c r="J2570" t="s">
        <v>1959</v>
      </c>
    </row>
    <row r="2571" spans="1:10" x14ac:dyDescent="0.25">
      <c r="A2571">
        <v>27839269</v>
      </c>
      <c r="B2571" t="s">
        <v>17</v>
      </c>
      <c r="C2571" s="4">
        <v>44771.769091296293</v>
      </c>
      <c r="D2571" t="s">
        <v>1966</v>
      </c>
      <c r="E2571" t="s">
        <v>129</v>
      </c>
      <c r="F2571" t="s">
        <v>49</v>
      </c>
      <c r="G2571" t="s">
        <v>146</v>
      </c>
      <c r="H2571" t="s">
        <v>29</v>
      </c>
      <c r="I2571" t="s">
        <v>21</v>
      </c>
      <c r="J2571" t="s">
        <v>432</v>
      </c>
    </row>
    <row r="2572" spans="1:10" x14ac:dyDescent="0.25">
      <c r="A2572">
        <v>27839281</v>
      </c>
      <c r="B2572" t="s">
        <v>17</v>
      </c>
      <c r="C2572" s="4">
        <v>44771.76924739583</v>
      </c>
      <c r="D2572" t="s">
        <v>1955</v>
      </c>
      <c r="E2572" t="s">
        <v>22</v>
      </c>
      <c r="F2572" t="s">
        <v>52</v>
      </c>
      <c r="G2572" t="s">
        <v>410</v>
      </c>
      <c r="H2572" t="s">
        <v>40</v>
      </c>
      <c r="I2572" t="s">
        <v>21</v>
      </c>
      <c r="J2572" t="s">
        <v>300</v>
      </c>
    </row>
    <row r="2573" spans="1:10" x14ac:dyDescent="0.25">
      <c r="A2573">
        <v>27839288</v>
      </c>
      <c r="B2573" t="s">
        <v>17</v>
      </c>
      <c r="C2573" s="4">
        <v>44771.769431550929</v>
      </c>
      <c r="D2573" t="s">
        <v>1967</v>
      </c>
      <c r="E2573" t="s">
        <v>27</v>
      </c>
      <c r="F2573" t="s">
        <v>49</v>
      </c>
      <c r="G2573" t="s">
        <v>74</v>
      </c>
      <c r="H2573" t="s">
        <v>29</v>
      </c>
      <c r="I2573" t="s">
        <v>21</v>
      </c>
      <c r="J2573" t="s">
        <v>1968</v>
      </c>
    </row>
    <row r="2574" spans="1:10" x14ac:dyDescent="0.25">
      <c r="A2574">
        <v>27839302</v>
      </c>
      <c r="B2574" t="s">
        <v>17</v>
      </c>
      <c r="C2574" s="4">
        <v>44771.769738773153</v>
      </c>
      <c r="D2574" t="s">
        <v>1958</v>
      </c>
      <c r="E2574" t="s">
        <v>27</v>
      </c>
      <c r="F2574" t="s">
        <v>18</v>
      </c>
      <c r="G2574" t="s">
        <v>236</v>
      </c>
      <c r="H2574" t="s">
        <v>25</v>
      </c>
      <c r="I2574" t="s">
        <v>21</v>
      </c>
      <c r="J2574" t="s">
        <v>1959</v>
      </c>
    </row>
    <row r="2575" spans="1:10" x14ac:dyDescent="0.25">
      <c r="A2575">
        <v>27839317</v>
      </c>
      <c r="B2575" t="s">
        <v>17</v>
      </c>
      <c r="C2575" s="4">
        <v>44771.769886759263</v>
      </c>
      <c r="D2575" t="s">
        <v>1955</v>
      </c>
      <c r="E2575" t="s">
        <v>22</v>
      </c>
      <c r="F2575" t="s">
        <v>52</v>
      </c>
      <c r="G2575" t="s">
        <v>410</v>
      </c>
      <c r="H2575" t="s">
        <v>25</v>
      </c>
      <c r="I2575" t="s">
        <v>21</v>
      </c>
      <c r="J2575" t="s">
        <v>300</v>
      </c>
    </row>
    <row r="2576" spans="1:10" x14ac:dyDescent="0.25">
      <c r="A2576">
        <v>27839337</v>
      </c>
      <c r="B2576" t="s">
        <v>17</v>
      </c>
      <c r="C2576" s="4">
        <v>44771.770524803243</v>
      </c>
      <c r="D2576" t="s">
        <v>1416</v>
      </c>
      <c r="E2576" t="s">
        <v>62</v>
      </c>
      <c r="F2576" t="s">
        <v>31</v>
      </c>
      <c r="G2576" t="s">
        <v>199</v>
      </c>
      <c r="H2576" t="s">
        <v>29</v>
      </c>
      <c r="I2576" t="s">
        <v>21</v>
      </c>
      <c r="J2576" t="s">
        <v>1969</v>
      </c>
    </row>
    <row r="2577" spans="1:10" x14ac:dyDescent="0.25">
      <c r="A2577">
        <v>27839357</v>
      </c>
      <c r="B2577" t="s">
        <v>17</v>
      </c>
      <c r="C2577" s="4">
        <v>44771.77068228009</v>
      </c>
      <c r="D2577" t="s">
        <v>1970</v>
      </c>
      <c r="E2577" t="s">
        <v>38</v>
      </c>
      <c r="F2577" t="s">
        <v>52</v>
      </c>
      <c r="G2577" t="s">
        <v>165</v>
      </c>
      <c r="H2577" t="s">
        <v>42</v>
      </c>
      <c r="I2577" t="s">
        <v>21</v>
      </c>
      <c r="J2577" t="s">
        <v>545</v>
      </c>
    </row>
    <row r="2578" spans="1:10" x14ac:dyDescent="0.25">
      <c r="A2578">
        <v>27839408</v>
      </c>
      <c r="B2578" t="s">
        <v>17</v>
      </c>
      <c r="C2578" s="4">
        <v>44771.772014085647</v>
      </c>
      <c r="D2578" t="s">
        <v>1971</v>
      </c>
      <c r="E2578" t="s">
        <v>38</v>
      </c>
      <c r="F2578" t="s">
        <v>55</v>
      </c>
      <c r="G2578" t="s">
        <v>248</v>
      </c>
      <c r="H2578" t="s">
        <v>42</v>
      </c>
      <c r="I2578" t="s">
        <v>21</v>
      </c>
      <c r="J2578" t="s">
        <v>1972</v>
      </c>
    </row>
    <row r="2579" spans="1:10" x14ac:dyDescent="0.25">
      <c r="A2579">
        <v>27839413</v>
      </c>
      <c r="B2579" t="s">
        <v>17</v>
      </c>
      <c r="C2579" s="4">
        <v>44771.772099791669</v>
      </c>
      <c r="D2579" t="s">
        <v>1963</v>
      </c>
      <c r="E2579" t="s">
        <v>22</v>
      </c>
      <c r="F2579" t="s">
        <v>23</v>
      </c>
      <c r="G2579" t="s">
        <v>274</v>
      </c>
      <c r="H2579" t="s">
        <v>40</v>
      </c>
      <c r="I2579" t="s">
        <v>21</v>
      </c>
      <c r="J2579" t="s">
        <v>256</v>
      </c>
    </row>
    <row r="2580" spans="1:10" x14ac:dyDescent="0.25">
      <c r="A2580">
        <v>27839423</v>
      </c>
      <c r="B2580" t="s">
        <v>17</v>
      </c>
      <c r="C2580" s="4">
        <v>44771.772531134258</v>
      </c>
      <c r="D2580" t="s">
        <v>1973</v>
      </c>
      <c r="E2580" t="s">
        <v>48</v>
      </c>
      <c r="F2580" t="s">
        <v>49</v>
      </c>
      <c r="G2580" t="s">
        <v>128</v>
      </c>
      <c r="H2580" t="s">
        <v>29</v>
      </c>
      <c r="I2580" t="s">
        <v>21</v>
      </c>
      <c r="J2580" t="s">
        <v>1974</v>
      </c>
    </row>
    <row r="2581" spans="1:10" x14ac:dyDescent="0.25">
      <c r="A2581">
        <v>27839432</v>
      </c>
      <c r="B2581" t="s">
        <v>17</v>
      </c>
      <c r="C2581" s="4">
        <v>44771.772592430563</v>
      </c>
      <c r="D2581" t="s">
        <v>1975</v>
      </c>
      <c r="E2581" t="s">
        <v>191</v>
      </c>
      <c r="F2581" t="s">
        <v>49</v>
      </c>
      <c r="G2581" t="s">
        <v>128</v>
      </c>
      <c r="H2581" t="s">
        <v>42</v>
      </c>
      <c r="I2581" t="s">
        <v>21</v>
      </c>
      <c r="J2581" t="s">
        <v>543</v>
      </c>
    </row>
    <row r="2582" spans="1:10" x14ac:dyDescent="0.25">
      <c r="A2582">
        <v>27839435</v>
      </c>
      <c r="B2582" t="s">
        <v>17</v>
      </c>
      <c r="C2582" s="4">
        <v>44771.772646759258</v>
      </c>
      <c r="D2582" t="s">
        <v>1963</v>
      </c>
      <c r="E2582" t="s">
        <v>22</v>
      </c>
      <c r="F2582" t="s">
        <v>23</v>
      </c>
      <c r="G2582" t="s">
        <v>274</v>
      </c>
      <c r="H2582" t="s">
        <v>25</v>
      </c>
      <c r="I2582" t="s">
        <v>21</v>
      </c>
      <c r="J2582" t="s">
        <v>256</v>
      </c>
    </row>
    <row r="2583" spans="1:10" x14ac:dyDescent="0.25">
      <c r="A2583">
        <v>27839451</v>
      </c>
      <c r="B2583" t="s">
        <v>17</v>
      </c>
      <c r="C2583" s="4">
        <v>44771.772831759263</v>
      </c>
      <c r="D2583" t="s">
        <v>1975</v>
      </c>
      <c r="E2583" t="s">
        <v>191</v>
      </c>
      <c r="F2583" t="s">
        <v>49</v>
      </c>
      <c r="G2583" t="s">
        <v>128</v>
      </c>
      <c r="H2583" t="s">
        <v>54</v>
      </c>
      <c r="I2583" t="s">
        <v>21</v>
      </c>
      <c r="J2583" t="s">
        <v>543</v>
      </c>
    </row>
    <row r="2584" spans="1:10" x14ac:dyDescent="0.25">
      <c r="A2584">
        <v>27839474</v>
      </c>
      <c r="B2584" t="s">
        <v>17</v>
      </c>
      <c r="C2584" s="4">
        <v>44771.774332951391</v>
      </c>
      <c r="F2584" t="s">
        <v>23</v>
      </c>
      <c r="G2584" t="s">
        <v>224</v>
      </c>
      <c r="H2584" t="s">
        <v>67</v>
      </c>
      <c r="I2584" t="s">
        <v>21</v>
      </c>
    </row>
    <row r="2585" spans="1:10" x14ac:dyDescent="0.25">
      <c r="A2585">
        <v>27839485</v>
      </c>
      <c r="B2585" t="s">
        <v>17</v>
      </c>
      <c r="C2585" s="4">
        <v>44771.774386666657</v>
      </c>
      <c r="D2585" t="s">
        <v>1976</v>
      </c>
      <c r="E2585" t="s">
        <v>38</v>
      </c>
      <c r="F2585" t="s">
        <v>49</v>
      </c>
      <c r="G2585" t="s">
        <v>146</v>
      </c>
      <c r="H2585" t="s">
        <v>42</v>
      </c>
      <c r="I2585" t="s">
        <v>21</v>
      </c>
      <c r="J2585" t="s">
        <v>557</v>
      </c>
    </row>
    <row r="2586" spans="1:10" x14ac:dyDescent="0.25">
      <c r="A2586">
        <v>27839493</v>
      </c>
      <c r="B2586" t="s">
        <v>17</v>
      </c>
      <c r="C2586" s="4">
        <v>44771.774420127324</v>
      </c>
      <c r="D2586" t="s">
        <v>1971</v>
      </c>
      <c r="E2586" t="s">
        <v>38</v>
      </c>
      <c r="F2586" t="s">
        <v>55</v>
      </c>
      <c r="G2586" t="s">
        <v>248</v>
      </c>
      <c r="H2586" t="s">
        <v>54</v>
      </c>
      <c r="I2586" t="s">
        <v>21</v>
      </c>
      <c r="J2586" t="s">
        <v>1972</v>
      </c>
    </row>
    <row r="2587" spans="1:10" x14ac:dyDescent="0.25">
      <c r="A2587">
        <v>27839496</v>
      </c>
      <c r="B2587" t="s">
        <v>17</v>
      </c>
      <c r="C2587" s="4">
        <v>44771.774424212963</v>
      </c>
      <c r="D2587" t="s">
        <v>1977</v>
      </c>
      <c r="E2587" t="s">
        <v>38</v>
      </c>
      <c r="F2587" t="s">
        <v>23</v>
      </c>
      <c r="G2587" t="s">
        <v>172</v>
      </c>
      <c r="H2587" t="s">
        <v>40</v>
      </c>
      <c r="I2587" t="s">
        <v>21</v>
      </c>
    </row>
    <row r="2588" spans="1:10" x14ac:dyDescent="0.25">
      <c r="A2588">
        <v>27839501</v>
      </c>
      <c r="B2588" t="s">
        <v>17</v>
      </c>
      <c r="C2588" s="4">
        <v>44771.774546712957</v>
      </c>
      <c r="D2588" t="s">
        <v>1978</v>
      </c>
      <c r="E2588" t="s">
        <v>72</v>
      </c>
      <c r="F2588" t="s">
        <v>49</v>
      </c>
      <c r="G2588" t="s">
        <v>132</v>
      </c>
      <c r="H2588" t="s">
        <v>29</v>
      </c>
      <c r="I2588" t="s">
        <v>21</v>
      </c>
      <c r="J2588" t="s">
        <v>1979</v>
      </c>
    </row>
    <row r="2589" spans="1:10" x14ac:dyDescent="0.25">
      <c r="A2589">
        <v>27839512</v>
      </c>
      <c r="B2589" t="s">
        <v>17</v>
      </c>
      <c r="C2589" s="4">
        <v>44771.774649837957</v>
      </c>
      <c r="D2589" t="s">
        <v>1970</v>
      </c>
      <c r="E2589" t="s">
        <v>38</v>
      </c>
      <c r="F2589" t="s">
        <v>52</v>
      </c>
      <c r="G2589" t="s">
        <v>165</v>
      </c>
      <c r="H2589" t="s">
        <v>54</v>
      </c>
      <c r="I2589" t="s">
        <v>21</v>
      </c>
      <c r="J2589" t="s">
        <v>545</v>
      </c>
    </row>
    <row r="2590" spans="1:10" x14ac:dyDescent="0.25">
      <c r="A2590">
        <v>27839524</v>
      </c>
      <c r="B2590" t="s">
        <v>17</v>
      </c>
      <c r="C2590" s="4">
        <v>44771.77484914352</v>
      </c>
      <c r="D2590" t="s">
        <v>1980</v>
      </c>
      <c r="E2590" t="s">
        <v>62</v>
      </c>
      <c r="F2590" t="s">
        <v>57</v>
      </c>
      <c r="G2590" t="s">
        <v>255</v>
      </c>
      <c r="H2590" t="s">
        <v>42</v>
      </c>
      <c r="I2590" t="s">
        <v>21</v>
      </c>
      <c r="J2590" t="s">
        <v>1981</v>
      </c>
    </row>
    <row r="2591" spans="1:10" x14ac:dyDescent="0.25">
      <c r="A2591">
        <v>27839528</v>
      </c>
      <c r="B2591" t="s">
        <v>17</v>
      </c>
      <c r="C2591" s="4">
        <v>44771.77510421296</v>
      </c>
      <c r="D2591" t="s">
        <v>1975</v>
      </c>
      <c r="E2591" t="s">
        <v>191</v>
      </c>
      <c r="F2591" t="s">
        <v>49</v>
      </c>
      <c r="G2591" t="s">
        <v>128</v>
      </c>
      <c r="H2591" t="s">
        <v>40</v>
      </c>
      <c r="I2591" t="s">
        <v>21</v>
      </c>
      <c r="J2591" t="s">
        <v>543</v>
      </c>
    </row>
    <row r="2592" spans="1:10" x14ac:dyDescent="0.25">
      <c r="A2592">
        <v>27839530</v>
      </c>
      <c r="B2592" t="s">
        <v>17</v>
      </c>
      <c r="C2592" s="4">
        <v>44771.77518636574</v>
      </c>
      <c r="D2592" t="s">
        <v>1977</v>
      </c>
      <c r="E2592" t="s">
        <v>38</v>
      </c>
      <c r="F2592" t="s">
        <v>23</v>
      </c>
      <c r="G2592" t="s">
        <v>172</v>
      </c>
      <c r="H2592" t="s">
        <v>25</v>
      </c>
      <c r="I2592" t="s">
        <v>21</v>
      </c>
    </row>
    <row r="2593" spans="1:10" x14ac:dyDescent="0.25">
      <c r="A2593">
        <v>27839543</v>
      </c>
      <c r="B2593" t="s">
        <v>17</v>
      </c>
      <c r="C2593" s="4">
        <v>44771.775556388893</v>
      </c>
      <c r="F2593" t="s">
        <v>31</v>
      </c>
      <c r="G2593" t="s">
        <v>159</v>
      </c>
      <c r="H2593" t="s">
        <v>20</v>
      </c>
      <c r="I2593" t="s">
        <v>21</v>
      </c>
    </row>
    <row r="2594" spans="1:10" x14ac:dyDescent="0.25">
      <c r="A2594">
        <v>27839548</v>
      </c>
      <c r="B2594" t="s">
        <v>17</v>
      </c>
      <c r="C2594" s="4">
        <v>44771.775616736108</v>
      </c>
      <c r="D2594" t="s">
        <v>1957</v>
      </c>
      <c r="E2594" t="s">
        <v>30</v>
      </c>
      <c r="F2594" t="s">
        <v>55</v>
      </c>
      <c r="G2594" t="s">
        <v>119</v>
      </c>
      <c r="H2594" t="s">
        <v>64</v>
      </c>
      <c r="I2594" t="s">
        <v>21</v>
      </c>
      <c r="J2594" t="s">
        <v>203</v>
      </c>
    </row>
    <row r="2595" spans="1:10" x14ac:dyDescent="0.25">
      <c r="A2595">
        <v>27839555</v>
      </c>
      <c r="B2595" t="s">
        <v>17</v>
      </c>
      <c r="C2595" s="4">
        <v>44771.775646921298</v>
      </c>
      <c r="D2595" t="s">
        <v>1975</v>
      </c>
      <c r="E2595" t="s">
        <v>191</v>
      </c>
      <c r="F2595" t="s">
        <v>49</v>
      </c>
      <c r="G2595" t="s">
        <v>128</v>
      </c>
      <c r="H2595" t="s">
        <v>25</v>
      </c>
      <c r="I2595" t="s">
        <v>21</v>
      </c>
      <c r="J2595" t="s">
        <v>543</v>
      </c>
    </row>
    <row r="2596" spans="1:10" x14ac:dyDescent="0.25">
      <c r="A2596">
        <v>27839578</v>
      </c>
      <c r="B2596" t="s">
        <v>17</v>
      </c>
      <c r="C2596" s="4">
        <v>44771.776144641197</v>
      </c>
      <c r="D2596" t="s">
        <v>1980</v>
      </c>
      <c r="E2596" t="s">
        <v>62</v>
      </c>
      <c r="F2596" t="s">
        <v>57</v>
      </c>
      <c r="G2596" t="s">
        <v>255</v>
      </c>
      <c r="H2596" t="s">
        <v>54</v>
      </c>
      <c r="I2596" t="s">
        <v>21</v>
      </c>
      <c r="J2596" t="s">
        <v>1981</v>
      </c>
    </row>
    <row r="2597" spans="1:10" x14ac:dyDescent="0.25">
      <c r="A2597">
        <v>27839591</v>
      </c>
      <c r="B2597" t="s">
        <v>17</v>
      </c>
      <c r="C2597" s="4">
        <v>44771.776473217593</v>
      </c>
      <c r="D2597" t="s">
        <v>1982</v>
      </c>
      <c r="E2597" t="s">
        <v>38</v>
      </c>
      <c r="F2597" t="s">
        <v>23</v>
      </c>
      <c r="G2597" t="s">
        <v>110</v>
      </c>
      <c r="H2597" t="s">
        <v>29</v>
      </c>
      <c r="I2597" t="s">
        <v>21</v>
      </c>
      <c r="J2597" t="s">
        <v>389</v>
      </c>
    </row>
    <row r="2598" spans="1:10" x14ac:dyDescent="0.25">
      <c r="A2598">
        <v>27839610</v>
      </c>
      <c r="B2598" t="s">
        <v>17</v>
      </c>
      <c r="C2598" s="4">
        <v>44771.776813888893</v>
      </c>
      <c r="F2598" t="s">
        <v>18</v>
      </c>
      <c r="G2598" t="s">
        <v>380</v>
      </c>
      <c r="H2598" t="s">
        <v>42</v>
      </c>
      <c r="I2598" t="s">
        <v>21</v>
      </c>
    </row>
    <row r="2599" spans="1:10" x14ac:dyDescent="0.25">
      <c r="A2599">
        <v>27839612</v>
      </c>
      <c r="B2599" t="s">
        <v>17</v>
      </c>
      <c r="C2599" s="4">
        <v>44771.776819756953</v>
      </c>
      <c r="D2599" t="s">
        <v>1983</v>
      </c>
      <c r="E2599" t="s">
        <v>27</v>
      </c>
      <c r="F2599" t="s">
        <v>18</v>
      </c>
      <c r="G2599" t="s">
        <v>380</v>
      </c>
      <c r="H2599" t="s">
        <v>54</v>
      </c>
      <c r="I2599" t="s">
        <v>21</v>
      </c>
      <c r="J2599" t="s">
        <v>478</v>
      </c>
    </row>
    <row r="2600" spans="1:10" x14ac:dyDescent="0.25">
      <c r="A2600">
        <v>27839614</v>
      </c>
      <c r="B2600" t="s">
        <v>17</v>
      </c>
      <c r="C2600" s="4">
        <v>44771.776826724526</v>
      </c>
      <c r="D2600" t="s">
        <v>1849</v>
      </c>
      <c r="E2600" t="s">
        <v>27</v>
      </c>
      <c r="F2600" t="s">
        <v>18</v>
      </c>
      <c r="G2600" t="s">
        <v>226</v>
      </c>
      <c r="H2600" t="s">
        <v>29</v>
      </c>
      <c r="I2600" t="s">
        <v>21</v>
      </c>
      <c r="J2600" t="s">
        <v>1834</v>
      </c>
    </row>
    <row r="2601" spans="1:10" x14ac:dyDescent="0.25">
      <c r="A2601">
        <v>27839634</v>
      </c>
      <c r="B2601" t="s">
        <v>17</v>
      </c>
      <c r="C2601" s="4">
        <v>44771.77716391204</v>
      </c>
      <c r="D2601" t="s">
        <v>1984</v>
      </c>
      <c r="E2601" t="s">
        <v>38</v>
      </c>
      <c r="F2601" t="s">
        <v>55</v>
      </c>
      <c r="G2601" t="s">
        <v>351</v>
      </c>
      <c r="H2601" t="s">
        <v>42</v>
      </c>
      <c r="I2601" t="s">
        <v>21</v>
      </c>
      <c r="J2601" t="s">
        <v>1985</v>
      </c>
    </row>
    <row r="2602" spans="1:10" x14ac:dyDescent="0.25">
      <c r="A2602">
        <v>27839643</v>
      </c>
      <c r="B2602" t="s">
        <v>17</v>
      </c>
      <c r="C2602" s="4">
        <v>44771.777436469907</v>
      </c>
      <c r="D2602" t="s">
        <v>1986</v>
      </c>
      <c r="E2602" t="s">
        <v>62</v>
      </c>
      <c r="F2602" t="s">
        <v>18</v>
      </c>
      <c r="G2602" t="s">
        <v>61</v>
      </c>
      <c r="H2602" t="s">
        <v>29</v>
      </c>
      <c r="I2602" t="s">
        <v>21</v>
      </c>
      <c r="J2602" t="s">
        <v>1987</v>
      </c>
    </row>
    <row r="2603" spans="1:10" x14ac:dyDescent="0.25">
      <c r="A2603">
        <v>27839657</v>
      </c>
      <c r="B2603" t="s">
        <v>17</v>
      </c>
      <c r="C2603" s="4">
        <v>44771.777728425928</v>
      </c>
      <c r="D2603" t="s">
        <v>1976</v>
      </c>
      <c r="E2603" t="s">
        <v>38</v>
      </c>
      <c r="F2603" t="s">
        <v>49</v>
      </c>
      <c r="G2603" t="s">
        <v>146</v>
      </c>
      <c r="H2603" t="s">
        <v>54</v>
      </c>
      <c r="I2603" t="s">
        <v>21</v>
      </c>
      <c r="J2603" t="s">
        <v>557</v>
      </c>
    </row>
    <row r="2604" spans="1:10" x14ac:dyDescent="0.25">
      <c r="A2604">
        <v>27839663</v>
      </c>
      <c r="B2604" t="s">
        <v>17</v>
      </c>
      <c r="C2604" s="4">
        <v>44771.777774201393</v>
      </c>
      <c r="D2604" t="s">
        <v>1984</v>
      </c>
      <c r="E2604" t="s">
        <v>38</v>
      </c>
      <c r="F2604" t="s">
        <v>55</v>
      </c>
      <c r="G2604" t="s">
        <v>351</v>
      </c>
      <c r="H2604" t="s">
        <v>54</v>
      </c>
      <c r="I2604" t="s">
        <v>21</v>
      </c>
      <c r="J2604" t="s">
        <v>1985</v>
      </c>
    </row>
    <row r="2605" spans="1:10" x14ac:dyDescent="0.25">
      <c r="A2605">
        <v>27839680</v>
      </c>
      <c r="B2605" t="s">
        <v>17</v>
      </c>
      <c r="C2605" s="4">
        <v>44771.777932581019</v>
      </c>
      <c r="D2605" t="s">
        <v>1971</v>
      </c>
      <c r="E2605" t="s">
        <v>38</v>
      </c>
      <c r="F2605" t="s">
        <v>55</v>
      </c>
      <c r="G2605" t="s">
        <v>248</v>
      </c>
      <c r="H2605" t="s">
        <v>40</v>
      </c>
      <c r="I2605" t="s">
        <v>21</v>
      </c>
      <c r="J2605" t="s">
        <v>1972</v>
      </c>
    </row>
    <row r="2606" spans="1:10" x14ac:dyDescent="0.25">
      <c r="A2606">
        <v>27839684</v>
      </c>
      <c r="B2606" t="s">
        <v>17</v>
      </c>
      <c r="C2606" s="4">
        <v>44771.778145821758</v>
      </c>
      <c r="D2606" t="s">
        <v>1970</v>
      </c>
      <c r="E2606" t="s">
        <v>38</v>
      </c>
      <c r="F2606" t="s">
        <v>52</v>
      </c>
      <c r="G2606" t="s">
        <v>165</v>
      </c>
      <c r="H2606" t="s">
        <v>40</v>
      </c>
      <c r="I2606" t="s">
        <v>21</v>
      </c>
      <c r="J2606" t="s">
        <v>545</v>
      </c>
    </row>
    <row r="2607" spans="1:10" x14ac:dyDescent="0.25">
      <c r="A2607">
        <v>27839690</v>
      </c>
      <c r="B2607" t="s">
        <v>17</v>
      </c>
      <c r="C2607" s="4">
        <v>44771.778390590283</v>
      </c>
      <c r="D2607" t="s">
        <v>1971</v>
      </c>
      <c r="E2607" t="s">
        <v>38</v>
      </c>
      <c r="F2607" t="s">
        <v>55</v>
      </c>
      <c r="G2607" t="s">
        <v>248</v>
      </c>
      <c r="H2607" t="s">
        <v>25</v>
      </c>
      <c r="I2607" t="s">
        <v>21</v>
      </c>
      <c r="J2607" t="s">
        <v>1972</v>
      </c>
    </row>
    <row r="2608" spans="1:10" x14ac:dyDescent="0.25">
      <c r="A2608">
        <v>27839705</v>
      </c>
      <c r="B2608" t="s">
        <v>17</v>
      </c>
      <c r="C2608" s="4">
        <v>44771.778665775462</v>
      </c>
      <c r="D2608" t="s">
        <v>1970</v>
      </c>
      <c r="E2608" t="s">
        <v>38</v>
      </c>
      <c r="F2608" t="s">
        <v>52</v>
      </c>
      <c r="G2608" t="s">
        <v>165</v>
      </c>
      <c r="H2608" t="s">
        <v>25</v>
      </c>
      <c r="I2608" t="s">
        <v>21</v>
      </c>
      <c r="J2608" t="s">
        <v>545</v>
      </c>
    </row>
    <row r="2609" spans="1:10" x14ac:dyDescent="0.25">
      <c r="A2609">
        <v>27839753</v>
      </c>
      <c r="B2609" t="s">
        <v>17</v>
      </c>
      <c r="C2609" s="4">
        <v>44771.780520381937</v>
      </c>
      <c r="D2609" t="s">
        <v>1988</v>
      </c>
      <c r="E2609" t="s">
        <v>38</v>
      </c>
      <c r="F2609" t="s">
        <v>52</v>
      </c>
      <c r="G2609" t="s">
        <v>229</v>
      </c>
      <c r="H2609" t="s">
        <v>42</v>
      </c>
      <c r="I2609" t="s">
        <v>21</v>
      </c>
      <c r="J2609" t="s">
        <v>1109</v>
      </c>
    </row>
    <row r="2610" spans="1:10" x14ac:dyDescent="0.25">
      <c r="A2610">
        <v>27839764</v>
      </c>
      <c r="B2610" t="s">
        <v>17</v>
      </c>
      <c r="C2610" s="4">
        <v>44771.781151053241</v>
      </c>
      <c r="F2610" t="s">
        <v>23</v>
      </c>
      <c r="G2610" t="s">
        <v>224</v>
      </c>
      <c r="H2610" t="s">
        <v>68</v>
      </c>
      <c r="I2610" t="s">
        <v>21</v>
      </c>
    </row>
    <row r="2611" spans="1:10" x14ac:dyDescent="0.25">
      <c r="A2611">
        <v>27839794</v>
      </c>
      <c r="B2611" t="s">
        <v>17</v>
      </c>
      <c r="C2611" s="4">
        <v>44771.781865763893</v>
      </c>
      <c r="F2611" t="s">
        <v>23</v>
      </c>
      <c r="G2611" t="s">
        <v>224</v>
      </c>
      <c r="H2611" t="s">
        <v>67</v>
      </c>
      <c r="I2611" t="s">
        <v>21</v>
      </c>
    </row>
    <row r="2612" spans="1:10" x14ac:dyDescent="0.25">
      <c r="A2612">
        <v>27839805</v>
      </c>
      <c r="B2612" t="s">
        <v>17</v>
      </c>
      <c r="C2612" s="4">
        <v>44771.782096527779</v>
      </c>
      <c r="D2612" t="s">
        <v>1989</v>
      </c>
      <c r="E2612" t="s">
        <v>62</v>
      </c>
      <c r="F2612" t="s">
        <v>49</v>
      </c>
      <c r="G2612" t="s">
        <v>359</v>
      </c>
      <c r="H2612" t="s">
        <v>29</v>
      </c>
      <c r="I2612" t="s">
        <v>21</v>
      </c>
      <c r="J2612" t="s">
        <v>1990</v>
      </c>
    </row>
    <row r="2613" spans="1:10" x14ac:dyDescent="0.25">
      <c r="A2613">
        <v>27839816</v>
      </c>
      <c r="B2613" t="s">
        <v>17</v>
      </c>
      <c r="C2613" s="4">
        <v>44771.78228605324</v>
      </c>
      <c r="D2613" t="s">
        <v>1988</v>
      </c>
      <c r="E2613" t="s">
        <v>38</v>
      </c>
      <c r="F2613" t="s">
        <v>52</v>
      </c>
      <c r="G2613" t="s">
        <v>229</v>
      </c>
      <c r="H2613" t="s">
        <v>54</v>
      </c>
      <c r="I2613" t="s">
        <v>21</v>
      </c>
      <c r="J2613" t="s">
        <v>1109</v>
      </c>
    </row>
    <row r="2614" spans="1:10" x14ac:dyDescent="0.25">
      <c r="A2614">
        <v>27839828</v>
      </c>
      <c r="B2614" t="s">
        <v>17</v>
      </c>
      <c r="C2614" s="4">
        <v>44771.782766516197</v>
      </c>
      <c r="F2614" t="s">
        <v>23</v>
      </c>
      <c r="G2614" t="s">
        <v>224</v>
      </c>
      <c r="H2614" t="s">
        <v>68</v>
      </c>
      <c r="I2614" t="s">
        <v>21</v>
      </c>
    </row>
    <row r="2615" spans="1:10" x14ac:dyDescent="0.25">
      <c r="A2615">
        <v>27839833</v>
      </c>
      <c r="B2615" t="s">
        <v>17</v>
      </c>
      <c r="C2615" s="4">
        <v>44771.78284482639</v>
      </c>
      <c r="F2615" t="s">
        <v>23</v>
      </c>
      <c r="G2615" t="s">
        <v>224</v>
      </c>
      <c r="H2615" t="s">
        <v>67</v>
      </c>
      <c r="I2615" t="s">
        <v>21</v>
      </c>
    </row>
    <row r="2616" spans="1:10" x14ac:dyDescent="0.25">
      <c r="A2616">
        <v>27839840</v>
      </c>
      <c r="B2616" t="s">
        <v>17</v>
      </c>
      <c r="C2616" s="4">
        <v>44771.782951041663</v>
      </c>
      <c r="D2616" t="s">
        <v>1991</v>
      </c>
      <c r="E2616" t="s">
        <v>22</v>
      </c>
      <c r="F2616" t="s">
        <v>31</v>
      </c>
      <c r="G2616" t="s">
        <v>137</v>
      </c>
      <c r="H2616" t="s">
        <v>42</v>
      </c>
      <c r="I2616" t="s">
        <v>21</v>
      </c>
      <c r="J2616" t="s">
        <v>594</v>
      </c>
    </row>
    <row r="2617" spans="1:10" x14ac:dyDescent="0.25">
      <c r="A2617">
        <v>27839846</v>
      </c>
      <c r="B2617" t="s">
        <v>17</v>
      </c>
      <c r="C2617" s="4">
        <v>44771.783009039347</v>
      </c>
      <c r="D2617" t="s">
        <v>1992</v>
      </c>
      <c r="E2617" t="s">
        <v>38</v>
      </c>
      <c r="F2617" t="s">
        <v>49</v>
      </c>
      <c r="G2617" t="s">
        <v>74</v>
      </c>
      <c r="H2617" t="s">
        <v>42</v>
      </c>
      <c r="I2617" t="s">
        <v>21</v>
      </c>
      <c r="J2617" t="s">
        <v>1993</v>
      </c>
    </row>
    <row r="2618" spans="1:10" x14ac:dyDescent="0.25">
      <c r="A2618">
        <v>27839853</v>
      </c>
      <c r="B2618" t="s">
        <v>17</v>
      </c>
      <c r="C2618" s="4">
        <v>44771.783217951393</v>
      </c>
      <c r="D2618" t="s">
        <v>1983</v>
      </c>
      <c r="E2618" t="s">
        <v>27</v>
      </c>
      <c r="F2618" t="s">
        <v>18</v>
      </c>
      <c r="G2618" t="s">
        <v>380</v>
      </c>
      <c r="H2618" t="s">
        <v>40</v>
      </c>
      <c r="I2618" t="s">
        <v>21</v>
      </c>
      <c r="J2618" t="s">
        <v>478</v>
      </c>
    </row>
    <row r="2619" spans="1:10" x14ac:dyDescent="0.25">
      <c r="A2619">
        <v>27839856</v>
      </c>
      <c r="B2619" t="s">
        <v>17</v>
      </c>
      <c r="C2619" s="4">
        <v>44771.783476608798</v>
      </c>
      <c r="D2619" t="s">
        <v>1994</v>
      </c>
      <c r="E2619" t="s">
        <v>27</v>
      </c>
      <c r="F2619" t="s">
        <v>18</v>
      </c>
      <c r="G2619" t="s">
        <v>183</v>
      </c>
      <c r="H2619" t="s">
        <v>29</v>
      </c>
      <c r="I2619" t="s">
        <v>21</v>
      </c>
      <c r="J2619" t="s">
        <v>1995</v>
      </c>
    </row>
    <row r="2620" spans="1:10" x14ac:dyDescent="0.25">
      <c r="A2620">
        <v>27839873</v>
      </c>
      <c r="B2620" t="s">
        <v>17</v>
      </c>
      <c r="C2620" s="4">
        <v>44771.783736585647</v>
      </c>
      <c r="D2620" t="s">
        <v>1976</v>
      </c>
      <c r="E2620" t="s">
        <v>38</v>
      </c>
      <c r="F2620" t="s">
        <v>49</v>
      </c>
      <c r="G2620" t="s">
        <v>146</v>
      </c>
      <c r="H2620" t="s">
        <v>40</v>
      </c>
      <c r="I2620" t="s">
        <v>21</v>
      </c>
      <c r="J2620" t="s">
        <v>557</v>
      </c>
    </row>
    <row r="2621" spans="1:10" x14ac:dyDescent="0.25">
      <c r="A2621">
        <v>27839875</v>
      </c>
      <c r="B2621" t="s">
        <v>17</v>
      </c>
      <c r="C2621" s="4">
        <v>44771.783837696763</v>
      </c>
      <c r="F2621" t="s">
        <v>23</v>
      </c>
      <c r="G2621" t="s">
        <v>224</v>
      </c>
      <c r="H2621" t="s">
        <v>68</v>
      </c>
      <c r="I2621" t="s">
        <v>21</v>
      </c>
    </row>
    <row r="2622" spans="1:10" x14ac:dyDescent="0.25">
      <c r="A2622">
        <v>27839881</v>
      </c>
      <c r="B2622" t="s">
        <v>17</v>
      </c>
      <c r="C2622" s="4">
        <v>44771.783902442126</v>
      </c>
      <c r="F2622" t="s">
        <v>23</v>
      </c>
      <c r="G2622" t="s">
        <v>224</v>
      </c>
      <c r="H2622" t="s">
        <v>20</v>
      </c>
      <c r="I2622" t="s">
        <v>21</v>
      </c>
    </row>
    <row r="2623" spans="1:10" x14ac:dyDescent="0.25">
      <c r="A2623">
        <v>27839890</v>
      </c>
      <c r="B2623" t="s">
        <v>17</v>
      </c>
      <c r="C2623" s="4">
        <v>44771.783960243047</v>
      </c>
      <c r="D2623" t="s">
        <v>1983</v>
      </c>
      <c r="E2623" t="s">
        <v>27</v>
      </c>
      <c r="F2623" t="s">
        <v>18</v>
      </c>
      <c r="G2623" t="s">
        <v>380</v>
      </c>
      <c r="H2623" t="s">
        <v>25</v>
      </c>
      <c r="I2623" t="s">
        <v>21</v>
      </c>
      <c r="J2623" t="s">
        <v>478</v>
      </c>
    </row>
    <row r="2624" spans="1:10" x14ac:dyDescent="0.25">
      <c r="A2624">
        <v>27839906</v>
      </c>
      <c r="B2624" t="s">
        <v>17</v>
      </c>
      <c r="C2624" s="4">
        <v>44771.784094305563</v>
      </c>
      <c r="D2624" t="s">
        <v>1996</v>
      </c>
      <c r="E2624" t="s">
        <v>38</v>
      </c>
      <c r="F2624" t="s">
        <v>23</v>
      </c>
      <c r="G2624" t="s">
        <v>224</v>
      </c>
      <c r="H2624" t="s">
        <v>118</v>
      </c>
      <c r="I2624" t="s">
        <v>36</v>
      </c>
    </row>
    <row r="2625" spans="1:10" x14ac:dyDescent="0.25">
      <c r="A2625">
        <v>27839912</v>
      </c>
      <c r="B2625" t="s">
        <v>17</v>
      </c>
      <c r="C2625" s="4">
        <v>44771.784108356478</v>
      </c>
      <c r="D2625" t="s">
        <v>1997</v>
      </c>
      <c r="E2625" t="s">
        <v>38</v>
      </c>
      <c r="F2625" t="s">
        <v>52</v>
      </c>
      <c r="G2625" t="s">
        <v>206</v>
      </c>
      <c r="H2625" t="s">
        <v>42</v>
      </c>
      <c r="I2625" t="s">
        <v>21</v>
      </c>
      <c r="J2625" t="s">
        <v>1998</v>
      </c>
    </row>
    <row r="2626" spans="1:10" x14ac:dyDescent="0.25">
      <c r="A2626">
        <v>27839916</v>
      </c>
      <c r="B2626" t="s">
        <v>17</v>
      </c>
      <c r="C2626" s="4">
        <v>44771.784118101852</v>
      </c>
      <c r="D2626" t="s">
        <v>1980</v>
      </c>
      <c r="E2626" t="s">
        <v>62</v>
      </c>
      <c r="F2626" t="s">
        <v>57</v>
      </c>
      <c r="G2626" t="s">
        <v>255</v>
      </c>
      <c r="H2626" t="s">
        <v>40</v>
      </c>
      <c r="I2626" t="s">
        <v>21</v>
      </c>
      <c r="J2626" t="s">
        <v>1981</v>
      </c>
    </row>
    <row r="2627" spans="1:10" x14ac:dyDescent="0.25">
      <c r="A2627">
        <v>27839921</v>
      </c>
      <c r="B2627" t="s">
        <v>17</v>
      </c>
      <c r="C2627" s="4">
        <v>44771.784247071759</v>
      </c>
      <c r="D2627" t="s">
        <v>1996</v>
      </c>
      <c r="E2627" t="s">
        <v>38</v>
      </c>
      <c r="F2627" t="s">
        <v>23</v>
      </c>
      <c r="G2627" t="s">
        <v>224</v>
      </c>
      <c r="H2627" t="s">
        <v>35</v>
      </c>
      <c r="I2627" t="s">
        <v>36</v>
      </c>
    </row>
    <row r="2628" spans="1:10" x14ac:dyDescent="0.25">
      <c r="A2628">
        <v>27839927</v>
      </c>
      <c r="B2628" t="s">
        <v>17</v>
      </c>
      <c r="C2628" s="4">
        <v>44771.784330046299</v>
      </c>
      <c r="D2628" t="s">
        <v>1976</v>
      </c>
      <c r="E2628" t="s">
        <v>38</v>
      </c>
      <c r="F2628" t="s">
        <v>49</v>
      </c>
      <c r="G2628" t="s">
        <v>146</v>
      </c>
      <c r="H2628" t="s">
        <v>25</v>
      </c>
      <c r="I2628" t="s">
        <v>21</v>
      </c>
      <c r="J2628" t="s">
        <v>557</v>
      </c>
    </row>
    <row r="2629" spans="1:10" x14ac:dyDescent="0.25">
      <c r="A2629">
        <v>27839938</v>
      </c>
      <c r="B2629" t="s">
        <v>17</v>
      </c>
      <c r="C2629" s="4">
        <v>44771.784381550933</v>
      </c>
      <c r="D2629" t="s">
        <v>1996</v>
      </c>
      <c r="E2629" t="s">
        <v>38</v>
      </c>
      <c r="F2629" t="s">
        <v>23</v>
      </c>
      <c r="G2629" t="s">
        <v>224</v>
      </c>
      <c r="H2629" t="s">
        <v>79</v>
      </c>
      <c r="I2629" t="s">
        <v>21</v>
      </c>
    </row>
    <row r="2630" spans="1:10" x14ac:dyDescent="0.25">
      <c r="A2630">
        <v>27839944</v>
      </c>
      <c r="B2630" t="s">
        <v>17</v>
      </c>
      <c r="C2630" s="4">
        <v>44771.784397743053</v>
      </c>
      <c r="D2630" t="s">
        <v>1999</v>
      </c>
      <c r="E2630" t="s">
        <v>30</v>
      </c>
      <c r="F2630" t="s">
        <v>23</v>
      </c>
      <c r="G2630" t="s">
        <v>355</v>
      </c>
      <c r="H2630" t="s">
        <v>29</v>
      </c>
      <c r="I2630" t="s">
        <v>21</v>
      </c>
      <c r="J2630" t="s">
        <v>354</v>
      </c>
    </row>
    <row r="2631" spans="1:10" x14ac:dyDescent="0.25">
      <c r="A2631">
        <v>27839951</v>
      </c>
      <c r="B2631" t="s">
        <v>17</v>
      </c>
      <c r="C2631" s="4">
        <v>44771.784406250001</v>
      </c>
      <c r="D2631" t="s">
        <v>1980</v>
      </c>
      <c r="E2631" t="s">
        <v>62</v>
      </c>
      <c r="F2631" t="s">
        <v>57</v>
      </c>
      <c r="G2631" t="s">
        <v>255</v>
      </c>
      <c r="H2631" t="s">
        <v>25</v>
      </c>
      <c r="I2631" t="s">
        <v>21</v>
      </c>
      <c r="J2631" t="s">
        <v>1981</v>
      </c>
    </row>
    <row r="2632" spans="1:10" x14ac:dyDescent="0.25">
      <c r="A2632">
        <v>27839966</v>
      </c>
      <c r="B2632" t="s">
        <v>17</v>
      </c>
      <c r="C2632" s="4">
        <v>44771.784465590281</v>
      </c>
      <c r="F2632" t="s">
        <v>23</v>
      </c>
      <c r="G2632" t="s">
        <v>224</v>
      </c>
      <c r="H2632" t="s">
        <v>20</v>
      </c>
      <c r="I2632" t="s">
        <v>21</v>
      </c>
    </row>
    <row r="2633" spans="1:10" x14ac:dyDescent="0.25">
      <c r="A2633">
        <v>27839984</v>
      </c>
      <c r="B2633" t="s">
        <v>17</v>
      </c>
      <c r="C2633" s="4">
        <v>44771.785313171298</v>
      </c>
      <c r="D2633" t="s">
        <v>1991</v>
      </c>
      <c r="E2633" t="s">
        <v>22</v>
      </c>
      <c r="F2633" t="s">
        <v>31</v>
      </c>
      <c r="G2633" t="s">
        <v>137</v>
      </c>
      <c r="H2633" t="s">
        <v>54</v>
      </c>
      <c r="I2633" t="s">
        <v>21</v>
      </c>
      <c r="J2633" t="s">
        <v>594</v>
      </c>
    </row>
    <row r="2634" spans="1:10" x14ac:dyDescent="0.25">
      <c r="A2634">
        <v>27839989</v>
      </c>
      <c r="B2634" t="s">
        <v>17</v>
      </c>
      <c r="C2634" s="4">
        <v>44771.785336180546</v>
      </c>
      <c r="D2634" t="s">
        <v>1984</v>
      </c>
      <c r="E2634" t="s">
        <v>38</v>
      </c>
      <c r="F2634" t="s">
        <v>55</v>
      </c>
      <c r="G2634" t="s">
        <v>351</v>
      </c>
      <c r="H2634" t="s">
        <v>40</v>
      </c>
      <c r="I2634" t="s">
        <v>21</v>
      </c>
      <c r="J2634" t="s">
        <v>1985</v>
      </c>
    </row>
    <row r="2635" spans="1:10" x14ac:dyDescent="0.25">
      <c r="A2635">
        <v>27839990</v>
      </c>
      <c r="B2635" t="s">
        <v>17</v>
      </c>
      <c r="C2635" s="4">
        <v>44771.78534091435</v>
      </c>
      <c r="D2635" t="s">
        <v>1996</v>
      </c>
      <c r="E2635" t="s">
        <v>22</v>
      </c>
      <c r="F2635" t="s">
        <v>23</v>
      </c>
      <c r="G2635" t="s">
        <v>224</v>
      </c>
      <c r="H2635" t="s">
        <v>79</v>
      </c>
      <c r="I2635" t="s">
        <v>21</v>
      </c>
    </row>
    <row r="2636" spans="1:10" x14ac:dyDescent="0.25">
      <c r="A2636">
        <v>27840005</v>
      </c>
      <c r="B2636" t="s">
        <v>17</v>
      </c>
      <c r="C2636" s="4">
        <v>44771.785555578703</v>
      </c>
      <c r="D2636" t="s">
        <v>2000</v>
      </c>
      <c r="E2636" t="s">
        <v>38</v>
      </c>
      <c r="F2636" t="s">
        <v>31</v>
      </c>
      <c r="G2636" t="s">
        <v>215</v>
      </c>
      <c r="H2636" t="s">
        <v>42</v>
      </c>
      <c r="I2636" t="s">
        <v>21</v>
      </c>
      <c r="J2636" t="s">
        <v>497</v>
      </c>
    </row>
    <row r="2637" spans="1:10" x14ac:dyDescent="0.25">
      <c r="A2637">
        <v>27840017</v>
      </c>
      <c r="B2637" t="s">
        <v>17</v>
      </c>
      <c r="C2637" s="4">
        <v>44771.785758749997</v>
      </c>
      <c r="D2637" t="s">
        <v>1992</v>
      </c>
      <c r="E2637" t="s">
        <v>38</v>
      </c>
      <c r="F2637" t="s">
        <v>49</v>
      </c>
      <c r="G2637" t="s">
        <v>74</v>
      </c>
      <c r="H2637" t="s">
        <v>54</v>
      </c>
      <c r="I2637" t="s">
        <v>21</v>
      </c>
      <c r="J2637" t="s">
        <v>1993</v>
      </c>
    </row>
    <row r="2638" spans="1:10" x14ac:dyDescent="0.25">
      <c r="A2638">
        <v>27840027</v>
      </c>
      <c r="B2638" t="s">
        <v>17</v>
      </c>
      <c r="C2638" s="4">
        <v>44771.785899270842</v>
      </c>
      <c r="D2638" t="s">
        <v>1984</v>
      </c>
      <c r="E2638" t="s">
        <v>38</v>
      </c>
      <c r="F2638" t="s">
        <v>55</v>
      </c>
      <c r="G2638" t="s">
        <v>351</v>
      </c>
      <c r="H2638" t="s">
        <v>25</v>
      </c>
      <c r="I2638" t="s">
        <v>21</v>
      </c>
      <c r="J2638" t="s">
        <v>1985</v>
      </c>
    </row>
    <row r="2639" spans="1:10" x14ac:dyDescent="0.25">
      <c r="A2639">
        <v>27840039</v>
      </c>
      <c r="B2639" t="s">
        <v>17</v>
      </c>
      <c r="C2639" s="4">
        <v>44771.78617039352</v>
      </c>
      <c r="D2639" t="s">
        <v>2001</v>
      </c>
      <c r="E2639" t="s">
        <v>27</v>
      </c>
      <c r="F2639" t="s">
        <v>18</v>
      </c>
      <c r="G2639" t="s">
        <v>265</v>
      </c>
      <c r="H2639" t="s">
        <v>29</v>
      </c>
      <c r="I2639" t="s">
        <v>21</v>
      </c>
      <c r="J2639" t="s">
        <v>2002</v>
      </c>
    </row>
    <row r="2640" spans="1:10" x14ac:dyDescent="0.25">
      <c r="A2640">
        <v>27840057</v>
      </c>
      <c r="B2640" t="s">
        <v>17</v>
      </c>
      <c r="C2640" s="4">
        <v>44771.786539050932</v>
      </c>
      <c r="D2640" t="s">
        <v>2003</v>
      </c>
      <c r="E2640" t="s">
        <v>38</v>
      </c>
      <c r="F2640" t="s">
        <v>52</v>
      </c>
      <c r="G2640" t="s">
        <v>91</v>
      </c>
      <c r="H2640" t="s">
        <v>42</v>
      </c>
      <c r="I2640" t="s">
        <v>21</v>
      </c>
      <c r="J2640" t="s">
        <v>479</v>
      </c>
    </row>
    <row r="2641" spans="1:10" x14ac:dyDescent="0.25">
      <c r="A2641">
        <v>27840064</v>
      </c>
      <c r="B2641" t="s">
        <v>17</v>
      </c>
      <c r="C2641" s="4">
        <v>44771.786992199071</v>
      </c>
      <c r="D2641" t="s">
        <v>1997</v>
      </c>
      <c r="E2641" t="s">
        <v>38</v>
      </c>
      <c r="F2641" t="s">
        <v>52</v>
      </c>
      <c r="G2641" t="s">
        <v>206</v>
      </c>
      <c r="H2641" t="s">
        <v>54</v>
      </c>
      <c r="I2641" t="s">
        <v>21</v>
      </c>
      <c r="J2641" t="s">
        <v>1998</v>
      </c>
    </row>
    <row r="2642" spans="1:10" x14ac:dyDescent="0.25">
      <c r="A2642">
        <v>27840071</v>
      </c>
      <c r="B2642" t="s">
        <v>17</v>
      </c>
      <c r="C2642" s="4">
        <v>44771.787210543982</v>
      </c>
      <c r="D2642" t="s">
        <v>2000</v>
      </c>
      <c r="E2642" t="s">
        <v>38</v>
      </c>
      <c r="F2642" t="s">
        <v>31</v>
      </c>
      <c r="G2642" t="s">
        <v>215</v>
      </c>
      <c r="H2642" t="s">
        <v>54</v>
      </c>
      <c r="I2642" t="s">
        <v>21</v>
      </c>
      <c r="J2642" t="s">
        <v>497</v>
      </c>
    </row>
    <row r="2643" spans="1:10" x14ac:dyDescent="0.25">
      <c r="A2643">
        <v>27840094</v>
      </c>
      <c r="B2643" t="s">
        <v>17</v>
      </c>
      <c r="C2643" s="4">
        <v>44771.787432696758</v>
      </c>
      <c r="D2643" t="s">
        <v>1894</v>
      </c>
      <c r="E2643" t="s">
        <v>27</v>
      </c>
      <c r="F2643" t="s">
        <v>18</v>
      </c>
      <c r="G2643" t="s">
        <v>83</v>
      </c>
      <c r="H2643" t="s">
        <v>29</v>
      </c>
      <c r="I2643" t="s">
        <v>21</v>
      </c>
      <c r="J2643" t="s">
        <v>2004</v>
      </c>
    </row>
    <row r="2644" spans="1:10" x14ac:dyDescent="0.25">
      <c r="A2644">
        <v>27840104</v>
      </c>
      <c r="B2644" t="s">
        <v>17</v>
      </c>
      <c r="C2644" s="4">
        <v>44771.787800937498</v>
      </c>
      <c r="D2644" t="s">
        <v>1988</v>
      </c>
      <c r="E2644" t="s">
        <v>38</v>
      </c>
      <c r="F2644" t="s">
        <v>52</v>
      </c>
      <c r="G2644" t="s">
        <v>229</v>
      </c>
      <c r="H2644" t="s">
        <v>40</v>
      </c>
      <c r="I2644" t="s">
        <v>21</v>
      </c>
      <c r="J2644" t="s">
        <v>1109</v>
      </c>
    </row>
    <row r="2645" spans="1:10" x14ac:dyDescent="0.25">
      <c r="A2645">
        <v>27840117</v>
      </c>
      <c r="B2645" t="s">
        <v>17</v>
      </c>
      <c r="C2645" s="4">
        <v>44771.788368530091</v>
      </c>
      <c r="D2645" t="s">
        <v>1988</v>
      </c>
      <c r="E2645" t="s">
        <v>38</v>
      </c>
      <c r="F2645" t="s">
        <v>52</v>
      </c>
      <c r="G2645" t="s">
        <v>229</v>
      </c>
      <c r="H2645" t="s">
        <v>25</v>
      </c>
      <c r="I2645" t="s">
        <v>21</v>
      </c>
      <c r="J2645" t="s">
        <v>1109</v>
      </c>
    </row>
    <row r="2646" spans="1:10" x14ac:dyDescent="0.25">
      <c r="A2646">
        <v>27840125</v>
      </c>
      <c r="B2646" t="s">
        <v>17</v>
      </c>
      <c r="C2646" s="4">
        <v>44771.788376689823</v>
      </c>
      <c r="F2646" t="s">
        <v>23</v>
      </c>
      <c r="G2646" t="s">
        <v>355</v>
      </c>
      <c r="H2646" t="s">
        <v>20</v>
      </c>
      <c r="I2646" t="s">
        <v>21</v>
      </c>
    </row>
    <row r="2647" spans="1:10" x14ac:dyDescent="0.25">
      <c r="A2647">
        <v>27840136</v>
      </c>
      <c r="B2647" t="s">
        <v>17</v>
      </c>
      <c r="C2647" s="4">
        <v>44771.788796111112</v>
      </c>
      <c r="D2647" t="s">
        <v>2005</v>
      </c>
      <c r="E2647" t="s">
        <v>38</v>
      </c>
      <c r="F2647" t="s">
        <v>55</v>
      </c>
      <c r="G2647" t="s">
        <v>275</v>
      </c>
      <c r="H2647" t="s">
        <v>42</v>
      </c>
      <c r="I2647" t="s">
        <v>21</v>
      </c>
      <c r="J2647" t="s">
        <v>2006</v>
      </c>
    </row>
    <row r="2648" spans="1:10" x14ac:dyDescent="0.25">
      <c r="A2648">
        <v>27840142</v>
      </c>
      <c r="B2648" t="s">
        <v>17</v>
      </c>
      <c r="C2648" s="4">
        <v>44771.788884212961</v>
      </c>
      <c r="D2648" t="s">
        <v>2007</v>
      </c>
      <c r="E2648" t="s">
        <v>22</v>
      </c>
      <c r="F2648" t="s">
        <v>31</v>
      </c>
      <c r="G2648" t="s">
        <v>159</v>
      </c>
      <c r="H2648" t="s">
        <v>40</v>
      </c>
      <c r="I2648" t="s">
        <v>21</v>
      </c>
    </row>
    <row r="2649" spans="1:10" x14ac:dyDescent="0.25">
      <c r="A2649">
        <v>27840149</v>
      </c>
      <c r="B2649" t="s">
        <v>17</v>
      </c>
      <c r="C2649" s="4">
        <v>44771.789273923612</v>
      </c>
      <c r="D2649" t="s">
        <v>2007</v>
      </c>
      <c r="E2649" t="s">
        <v>22</v>
      </c>
      <c r="F2649" t="s">
        <v>31</v>
      </c>
      <c r="G2649" t="s">
        <v>159</v>
      </c>
      <c r="H2649" t="s">
        <v>25</v>
      </c>
      <c r="I2649" t="s">
        <v>21</v>
      </c>
    </row>
    <row r="2650" spans="1:10" x14ac:dyDescent="0.25">
      <c r="A2650">
        <v>27840152</v>
      </c>
      <c r="B2650" t="s">
        <v>17</v>
      </c>
      <c r="C2650" s="4">
        <v>44771.789277951393</v>
      </c>
      <c r="D2650" t="s">
        <v>2003</v>
      </c>
      <c r="E2650" t="s">
        <v>38</v>
      </c>
      <c r="F2650" t="s">
        <v>52</v>
      </c>
      <c r="G2650" t="s">
        <v>91</v>
      </c>
      <c r="H2650" t="s">
        <v>54</v>
      </c>
      <c r="I2650" t="s">
        <v>21</v>
      </c>
      <c r="J2650" t="s">
        <v>479</v>
      </c>
    </row>
    <row r="2651" spans="1:10" x14ac:dyDescent="0.25">
      <c r="A2651">
        <v>27840171</v>
      </c>
      <c r="B2651" t="s">
        <v>17</v>
      </c>
      <c r="C2651" s="4">
        <v>44771.789722199072</v>
      </c>
      <c r="D2651" t="s">
        <v>2008</v>
      </c>
      <c r="E2651" t="s">
        <v>22</v>
      </c>
      <c r="F2651" t="s">
        <v>23</v>
      </c>
      <c r="G2651" t="s">
        <v>175</v>
      </c>
      <c r="H2651" t="s">
        <v>42</v>
      </c>
      <c r="I2651" t="s">
        <v>21</v>
      </c>
      <c r="J2651" t="s">
        <v>2009</v>
      </c>
    </row>
    <row r="2652" spans="1:10" x14ac:dyDescent="0.25">
      <c r="A2652">
        <v>27840182</v>
      </c>
      <c r="B2652" t="s">
        <v>17</v>
      </c>
      <c r="C2652" s="4">
        <v>44771.790243090283</v>
      </c>
      <c r="D2652" t="s">
        <v>2010</v>
      </c>
      <c r="E2652" t="s">
        <v>38</v>
      </c>
      <c r="F2652" t="s">
        <v>31</v>
      </c>
      <c r="G2652" t="s">
        <v>161</v>
      </c>
      <c r="H2652" t="s">
        <v>42</v>
      </c>
      <c r="I2652" t="s">
        <v>21</v>
      </c>
      <c r="J2652" t="s">
        <v>1196</v>
      </c>
    </row>
    <row r="2653" spans="1:10" x14ac:dyDescent="0.25">
      <c r="A2653">
        <v>27840186</v>
      </c>
      <c r="B2653" t="s">
        <v>17</v>
      </c>
      <c r="C2653" s="4">
        <v>44771.790285763891</v>
      </c>
      <c r="D2653" t="s">
        <v>2008</v>
      </c>
      <c r="E2653" t="s">
        <v>22</v>
      </c>
      <c r="F2653" t="s">
        <v>23</v>
      </c>
      <c r="G2653" t="s">
        <v>175</v>
      </c>
      <c r="H2653" t="s">
        <v>54</v>
      </c>
      <c r="I2653" t="s">
        <v>21</v>
      </c>
      <c r="J2653" t="s">
        <v>2009</v>
      </c>
    </row>
    <row r="2654" spans="1:10" x14ac:dyDescent="0.25">
      <c r="A2654">
        <v>27840201</v>
      </c>
      <c r="B2654" t="s">
        <v>17</v>
      </c>
      <c r="C2654" s="4">
        <v>44771.790918530103</v>
      </c>
      <c r="D2654" t="s">
        <v>1991</v>
      </c>
      <c r="E2654" t="s">
        <v>22</v>
      </c>
      <c r="F2654" t="s">
        <v>31</v>
      </c>
      <c r="G2654" t="s">
        <v>137</v>
      </c>
      <c r="H2654" t="s">
        <v>40</v>
      </c>
      <c r="I2654" t="s">
        <v>21</v>
      </c>
      <c r="J2654" t="s">
        <v>594</v>
      </c>
    </row>
    <row r="2655" spans="1:10" x14ac:dyDescent="0.25">
      <c r="A2655">
        <v>27840204</v>
      </c>
      <c r="B2655" t="s">
        <v>17</v>
      </c>
      <c r="C2655" s="4">
        <v>44771.791067789352</v>
      </c>
      <c r="D2655" t="s">
        <v>2011</v>
      </c>
      <c r="E2655" t="s">
        <v>371</v>
      </c>
      <c r="F2655" t="s">
        <v>49</v>
      </c>
      <c r="G2655" t="s">
        <v>250</v>
      </c>
      <c r="H2655" t="s">
        <v>29</v>
      </c>
      <c r="I2655" t="s">
        <v>21</v>
      </c>
      <c r="J2655" t="s">
        <v>444</v>
      </c>
    </row>
    <row r="2656" spans="1:10" x14ac:dyDescent="0.25">
      <c r="A2656">
        <v>27840226</v>
      </c>
      <c r="B2656" t="s">
        <v>17</v>
      </c>
      <c r="C2656" s="4">
        <v>44771.791229247683</v>
      </c>
      <c r="E2656" t="s">
        <v>30</v>
      </c>
      <c r="F2656" t="s">
        <v>23</v>
      </c>
      <c r="G2656" t="s">
        <v>355</v>
      </c>
      <c r="H2656" t="s">
        <v>40</v>
      </c>
      <c r="I2656" t="s">
        <v>21</v>
      </c>
    </row>
    <row r="2657" spans="1:10" x14ac:dyDescent="0.25">
      <c r="A2657">
        <v>27840235</v>
      </c>
      <c r="B2657" t="s">
        <v>17</v>
      </c>
      <c r="C2657" s="4">
        <v>44771.791285543979</v>
      </c>
      <c r="D2657" t="s">
        <v>2012</v>
      </c>
      <c r="E2657" t="s">
        <v>22</v>
      </c>
      <c r="F2657" t="s">
        <v>31</v>
      </c>
      <c r="G2657" t="s">
        <v>141</v>
      </c>
      <c r="H2657" t="s">
        <v>42</v>
      </c>
      <c r="I2657" t="s">
        <v>21</v>
      </c>
      <c r="J2657" t="s">
        <v>1048</v>
      </c>
    </row>
    <row r="2658" spans="1:10" x14ac:dyDescent="0.25">
      <c r="A2658">
        <v>27840245</v>
      </c>
      <c r="B2658" t="s">
        <v>17</v>
      </c>
      <c r="C2658" s="4">
        <v>44771.791362928241</v>
      </c>
      <c r="D2658" t="s">
        <v>1991</v>
      </c>
      <c r="E2658" t="s">
        <v>22</v>
      </c>
      <c r="F2658" t="s">
        <v>31</v>
      </c>
      <c r="G2658" t="s">
        <v>137</v>
      </c>
      <c r="H2658" t="s">
        <v>25</v>
      </c>
      <c r="I2658" t="s">
        <v>21</v>
      </c>
      <c r="J2658" t="s">
        <v>594</v>
      </c>
    </row>
    <row r="2659" spans="1:10" x14ac:dyDescent="0.25">
      <c r="A2659">
        <v>27840278</v>
      </c>
      <c r="B2659" t="s">
        <v>17</v>
      </c>
      <c r="C2659" s="4">
        <v>44771.792005717587</v>
      </c>
      <c r="D2659" t="s">
        <v>2005</v>
      </c>
      <c r="E2659" t="s">
        <v>38</v>
      </c>
      <c r="F2659" t="s">
        <v>55</v>
      </c>
      <c r="G2659" t="s">
        <v>275</v>
      </c>
      <c r="H2659" t="s">
        <v>54</v>
      </c>
      <c r="I2659" t="s">
        <v>21</v>
      </c>
      <c r="J2659" t="s">
        <v>2006</v>
      </c>
    </row>
    <row r="2660" spans="1:10" x14ac:dyDescent="0.25">
      <c r="A2660">
        <v>27840283</v>
      </c>
      <c r="B2660" t="s">
        <v>17</v>
      </c>
      <c r="C2660" s="4">
        <v>44771.792280462963</v>
      </c>
      <c r="D2660" t="s">
        <v>2012</v>
      </c>
      <c r="E2660" t="s">
        <v>22</v>
      </c>
      <c r="F2660" t="s">
        <v>31</v>
      </c>
      <c r="G2660" t="s">
        <v>141</v>
      </c>
      <c r="H2660" t="s">
        <v>54</v>
      </c>
      <c r="I2660" t="s">
        <v>21</v>
      </c>
      <c r="J2660" t="s">
        <v>1048</v>
      </c>
    </row>
    <row r="2661" spans="1:10" x14ac:dyDescent="0.25">
      <c r="A2661">
        <v>27840294</v>
      </c>
      <c r="B2661" t="s">
        <v>17</v>
      </c>
      <c r="C2661" s="4">
        <v>44771.792415081021</v>
      </c>
      <c r="D2661" t="s">
        <v>1992</v>
      </c>
      <c r="E2661" t="s">
        <v>38</v>
      </c>
      <c r="F2661" t="s">
        <v>49</v>
      </c>
      <c r="G2661" t="s">
        <v>74</v>
      </c>
      <c r="H2661" t="s">
        <v>40</v>
      </c>
      <c r="I2661" t="s">
        <v>21</v>
      </c>
      <c r="J2661" t="s">
        <v>1993</v>
      </c>
    </row>
    <row r="2662" spans="1:10" x14ac:dyDescent="0.25">
      <c r="A2662">
        <v>27840300</v>
      </c>
      <c r="B2662" t="s">
        <v>17</v>
      </c>
      <c r="C2662" s="4">
        <v>44771.792642291657</v>
      </c>
      <c r="E2662" t="s">
        <v>30</v>
      </c>
      <c r="F2662" t="s">
        <v>23</v>
      </c>
      <c r="G2662" t="s">
        <v>355</v>
      </c>
      <c r="H2662" t="s">
        <v>581</v>
      </c>
      <c r="I2662" t="s">
        <v>36</v>
      </c>
    </row>
    <row r="2663" spans="1:10" x14ac:dyDescent="0.25">
      <c r="A2663">
        <v>27840303</v>
      </c>
      <c r="B2663" t="s">
        <v>17</v>
      </c>
      <c r="C2663" s="4">
        <v>44771.79268111111</v>
      </c>
      <c r="E2663" t="s">
        <v>30</v>
      </c>
      <c r="F2663" t="s">
        <v>23</v>
      </c>
      <c r="G2663" t="s">
        <v>355</v>
      </c>
      <c r="H2663" t="s">
        <v>122</v>
      </c>
      <c r="I2663" t="s">
        <v>36</v>
      </c>
    </row>
    <row r="2664" spans="1:10" x14ac:dyDescent="0.25">
      <c r="A2664">
        <v>27840311</v>
      </c>
      <c r="B2664" t="s">
        <v>17</v>
      </c>
      <c r="C2664" s="4">
        <v>44771.79278546296</v>
      </c>
      <c r="D2664" t="s">
        <v>2003</v>
      </c>
      <c r="E2664" t="s">
        <v>38</v>
      </c>
      <c r="F2664" t="s">
        <v>52</v>
      </c>
      <c r="G2664" t="s">
        <v>91</v>
      </c>
      <c r="H2664" t="s">
        <v>40</v>
      </c>
      <c r="I2664" t="s">
        <v>21</v>
      </c>
      <c r="J2664" t="s">
        <v>479</v>
      </c>
    </row>
    <row r="2665" spans="1:10" x14ac:dyDescent="0.25">
      <c r="A2665">
        <v>27840314</v>
      </c>
      <c r="B2665" t="s">
        <v>17</v>
      </c>
      <c r="C2665" s="4">
        <v>44771.792837731482</v>
      </c>
      <c r="D2665" t="s">
        <v>2000</v>
      </c>
      <c r="E2665" t="s">
        <v>38</v>
      </c>
      <c r="F2665" t="s">
        <v>31</v>
      </c>
      <c r="G2665" t="s">
        <v>215</v>
      </c>
      <c r="H2665" t="s">
        <v>40</v>
      </c>
      <c r="I2665" t="s">
        <v>21</v>
      </c>
      <c r="J2665" t="s">
        <v>497</v>
      </c>
    </row>
    <row r="2666" spans="1:10" x14ac:dyDescent="0.25">
      <c r="A2666">
        <v>27840315</v>
      </c>
      <c r="B2666" t="s">
        <v>17</v>
      </c>
      <c r="C2666" s="4">
        <v>44771.79297141204</v>
      </c>
      <c r="D2666" t="s">
        <v>1992</v>
      </c>
      <c r="E2666" t="s">
        <v>38</v>
      </c>
      <c r="F2666" t="s">
        <v>49</v>
      </c>
      <c r="G2666" t="s">
        <v>74</v>
      </c>
      <c r="H2666" t="s">
        <v>25</v>
      </c>
      <c r="I2666" t="s">
        <v>21</v>
      </c>
      <c r="J2666" t="s">
        <v>1993</v>
      </c>
    </row>
    <row r="2667" spans="1:10" x14ac:dyDescent="0.25">
      <c r="A2667">
        <v>27840330</v>
      </c>
      <c r="B2667" t="s">
        <v>17</v>
      </c>
      <c r="C2667" s="4">
        <v>44771.793187175928</v>
      </c>
      <c r="D2667" t="s">
        <v>2000</v>
      </c>
      <c r="E2667" t="s">
        <v>38</v>
      </c>
      <c r="F2667" t="s">
        <v>31</v>
      </c>
      <c r="G2667" t="s">
        <v>215</v>
      </c>
      <c r="H2667" t="s">
        <v>25</v>
      </c>
      <c r="I2667" t="s">
        <v>21</v>
      </c>
      <c r="J2667" t="s">
        <v>497</v>
      </c>
    </row>
    <row r="2668" spans="1:10" x14ac:dyDescent="0.25">
      <c r="A2668">
        <v>27840354</v>
      </c>
      <c r="B2668" t="s">
        <v>17</v>
      </c>
      <c r="C2668" s="4">
        <v>44771.793426805547</v>
      </c>
      <c r="F2668" t="s">
        <v>18</v>
      </c>
      <c r="G2668" t="s">
        <v>260</v>
      </c>
      <c r="H2668" t="s">
        <v>42</v>
      </c>
      <c r="I2668" t="s">
        <v>21</v>
      </c>
    </row>
    <row r="2669" spans="1:10" x14ac:dyDescent="0.25">
      <c r="A2669">
        <v>27840356</v>
      </c>
      <c r="B2669" t="s">
        <v>17</v>
      </c>
      <c r="C2669" s="4">
        <v>44771.79343766204</v>
      </c>
      <c r="D2669" t="s">
        <v>2013</v>
      </c>
      <c r="E2669" t="s">
        <v>62</v>
      </c>
      <c r="F2669" t="s">
        <v>18</v>
      </c>
      <c r="G2669" t="s">
        <v>260</v>
      </c>
      <c r="H2669" t="s">
        <v>54</v>
      </c>
      <c r="I2669" t="s">
        <v>21</v>
      </c>
      <c r="J2669" t="s">
        <v>2014</v>
      </c>
    </row>
    <row r="2670" spans="1:10" x14ac:dyDescent="0.25">
      <c r="A2670">
        <v>27840359</v>
      </c>
      <c r="B2670" t="s">
        <v>17</v>
      </c>
      <c r="C2670" s="4">
        <v>44771.793462152767</v>
      </c>
      <c r="D2670" t="s">
        <v>1997</v>
      </c>
      <c r="E2670" t="s">
        <v>38</v>
      </c>
      <c r="F2670" t="s">
        <v>52</v>
      </c>
      <c r="G2670" t="s">
        <v>206</v>
      </c>
      <c r="H2670" t="s">
        <v>40</v>
      </c>
      <c r="I2670" t="s">
        <v>21</v>
      </c>
      <c r="J2670" t="s">
        <v>1998</v>
      </c>
    </row>
    <row r="2671" spans="1:10" x14ac:dyDescent="0.25">
      <c r="A2671">
        <v>27840361</v>
      </c>
      <c r="B2671" t="s">
        <v>17</v>
      </c>
      <c r="C2671" s="4">
        <v>44771.793478657397</v>
      </c>
      <c r="D2671" t="s">
        <v>2003</v>
      </c>
      <c r="E2671" t="s">
        <v>38</v>
      </c>
      <c r="F2671" t="s">
        <v>52</v>
      </c>
      <c r="G2671" t="s">
        <v>91</v>
      </c>
      <c r="H2671" t="s">
        <v>25</v>
      </c>
      <c r="I2671" t="s">
        <v>21</v>
      </c>
      <c r="J2671" t="s">
        <v>479</v>
      </c>
    </row>
    <row r="2672" spans="1:10" x14ac:dyDescent="0.25">
      <c r="A2672">
        <v>27840385</v>
      </c>
      <c r="B2672" t="s">
        <v>17</v>
      </c>
      <c r="C2672" s="4">
        <v>44771.793958136572</v>
      </c>
      <c r="D2672" t="s">
        <v>1997</v>
      </c>
      <c r="E2672" t="s">
        <v>38</v>
      </c>
      <c r="F2672" t="s">
        <v>52</v>
      </c>
      <c r="G2672" t="s">
        <v>206</v>
      </c>
      <c r="H2672" t="s">
        <v>25</v>
      </c>
      <c r="I2672" t="s">
        <v>21</v>
      </c>
      <c r="J2672" t="s">
        <v>1998</v>
      </c>
    </row>
    <row r="2673" spans="1:10" x14ac:dyDescent="0.25">
      <c r="A2673">
        <v>27840404</v>
      </c>
      <c r="B2673" t="s">
        <v>17</v>
      </c>
      <c r="C2673" s="4">
        <v>44771.794236400463</v>
      </c>
      <c r="D2673" t="s">
        <v>2015</v>
      </c>
      <c r="E2673" t="s">
        <v>38</v>
      </c>
      <c r="F2673" t="s">
        <v>23</v>
      </c>
      <c r="G2673" t="s">
        <v>108</v>
      </c>
      <c r="H2673" t="s">
        <v>42</v>
      </c>
      <c r="I2673" t="s">
        <v>21</v>
      </c>
      <c r="J2673" t="s">
        <v>472</v>
      </c>
    </row>
    <row r="2674" spans="1:10" x14ac:dyDescent="0.25">
      <c r="A2674">
        <v>27840407</v>
      </c>
      <c r="B2674" t="s">
        <v>17</v>
      </c>
      <c r="C2674" s="4">
        <v>44771.794388090268</v>
      </c>
      <c r="D2674" t="s">
        <v>2016</v>
      </c>
      <c r="E2674" t="s">
        <v>123</v>
      </c>
      <c r="F2674" t="s">
        <v>49</v>
      </c>
      <c r="G2674" t="s">
        <v>130</v>
      </c>
      <c r="H2674" t="s">
        <v>29</v>
      </c>
      <c r="I2674" t="s">
        <v>21</v>
      </c>
      <c r="J2674" t="s">
        <v>451</v>
      </c>
    </row>
    <row r="2675" spans="1:10" x14ac:dyDescent="0.25">
      <c r="A2675">
        <v>27840422</v>
      </c>
      <c r="B2675" t="s">
        <v>17</v>
      </c>
      <c r="C2675" s="4">
        <v>44771.79460721065</v>
      </c>
      <c r="D2675" t="s">
        <v>2005</v>
      </c>
      <c r="E2675" t="s">
        <v>38</v>
      </c>
      <c r="F2675" t="s">
        <v>55</v>
      </c>
      <c r="G2675" t="s">
        <v>275</v>
      </c>
      <c r="H2675" t="s">
        <v>40</v>
      </c>
      <c r="I2675" t="s">
        <v>21</v>
      </c>
      <c r="J2675" t="s">
        <v>2006</v>
      </c>
    </row>
    <row r="2676" spans="1:10" x14ac:dyDescent="0.25">
      <c r="A2676">
        <v>27840423</v>
      </c>
      <c r="B2676" t="s">
        <v>17</v>
      </c>
      <c r="C2676" s="4">
        <v>44771.794670138886</v>
      </c>
      <c r="D2676" t="s">
        <v>2017</v>
      </c>
      <c r="E2676" t="s">
        <v>27</v>
      </c>
      <c r="F2676" t="s">
        <v>18</v>
      </c>
      <c r="G2676" t="s">
        <v>375</v>
      </c>
      <c r="H2676" t="s">
        <v>29</v>
      </c>
      <c r="I2676" t="s">
        <v>21</v>
      </c>
      <c r="J2676" t="s">
        <v>177</v>
      </c>
    </row>
    <row r="2677" spans="1:10" x14ac:dyDescent="0.25">
      <c r="A2677">
        <v>27840434</v>
      </c>
      <c r="B2677" t="s">
        <v>17</v>
      </c>
      <c r="C2677" s="4">
        <v>44771.794734768519</v>
      </c>
      <c r="D2677" t="s">
        <v>2018</v>
      </c>
      <c r="E2677" t="s">
        <v>129</v>
      </c>
      <c r="F2677" t="s">
        <v>18</v>
      </c>
      <c r="G2677" t="s">
        <v>186</v>
      </c>
      <c r="H2677" t="s">
        <v>29</v>
      </c>
      <c r="I2677" t="s">
        <v>21</v>
      </c>
      <c r="J2677" t="s">
        <v>2019</v>
      </c>
    </row>
    <row r="2678" spans="1:10" x14ac:dyDescent="0.25">
      <c r="A2678">
        <v>27840445</v>
      </c>
      <c r="B2678" t="s">
        <v>17</v>
      </c>
      <c r="C2678" s="4">
        <v>44771.79489287037</v>
      </c>
      <c r="D2678" t="s">
        <v>1440</v>
      </c>
      <c r="E2678" t="s">
        <v>939</v>
      </c>
      <c r="F2678" t="s">
        <v>18</v>
      </c>
      <c r="G2678" t="s">
        <v>418</v>
      </c>
      <c r="H2678" t="s">
        <v>29</v>
      </c>
      <c r="I2678" t="s">
        <v>21</v>
      </c>
      <c r="J2678" t="s">
        <v>547</v>
      </c>
    </row>
    <row r="2679" spans="1:10" x14ac:dyDescent="0.25">
      <c r="A2679">
        <v>27840461</v>
      </c>
      <c r="B2679" t="s">
        <v>17</v>
      </c>
      <c r="C2679" s="4">
        <v>44771.795219236112</v>
      </c>
      <c r="D2679" t="s">
        <v>2005</v>
      </c>
      <c r="E2679" t="s">
        <v>38</v>
      </c>
      <c r="F2679" t="s">
        <v>55</v>
      </c>
      <c r="G2679" t="s">
        <v>275</v>
      </c>
      <c r="H2679" t="s">
        <v>25</v>
      </c>
      <c r="I2679" t="s">
        <v>21</v>
      </c>
      <c r="J2679" t="s">
        <v>2006</v>
      </c>
    </row>
    <row r="2680" spans="1:10" x14ac:dyDescent="0.25">
      <c r="A2680">
        <v>27840498</v>
      </c>
      <c r="B2680" t="s">
        <v>17</v>
      </c>
      <c r="C2680" s="4">
        <v>44771.796023379633</v>
      </c>
      <c r="D2680" t="s">
        <v>2008</v>
      </c>
      <c r="E2680" t="s">
        <v>22</v>
      </c>
      <c r="F2680" t="s">
        <v>23</v>
      </c>
      <c r="G2680" t="s">
        <v>175</v>
      </c>
      <c r="H2680" t="s">
        <v>40</v>
      </c>
      <c r="I2680" t="s">
        <v>21</v>
      </c>
      <c r="J2680" t="s">
        <v>2009</v>
      </c>
    </row>
    <row r="2681" spans="1:10" x14ac:dyDescent="0.25">
      <c r="A2681">
        <v>27840503</v>
      </c>
      <c r="B2681" t="s">
        <v>17</v>
      </c>
      <c r="C2681" s="4">
        <v>44771.796580312497</v>
      </c>
      <c r="D2681" t="s">
        <v>2008</v>
      </c>
      <c r="E2681" t="s">
        <v>22</v>
      </c>
      <c r="F2681" t="s">
        <v>23</v>
      </c>
      <c r="G2681" t="s">
        <v>175</v>
      </c>
      <c r="H2681" t="s">
        <v>25</v>
      </c>
      <c r="I2681" t="s">
        <v>21</v>
      </c>
      <c r="J2681" t="s">
        <v>2009</v>
      </c>
    </row>
    <row r="2682" spans="1:10" x14ac:dyDescent="0.25">
      <c r="A2682">
        <v>27840514</v>
      </c>
      <c r="B2682" t="s">
        <v>17</v>
      </c>
      <c r="C2682" s="4">
        <v>44771.796639432869</v>
      </c>
      <c r="D2682" t="s">
        <v>2010</v>
      </c>
      <c r="E2682" t="s">
        <v>38</v>
      </c>
      <c r="F2682" t="s">
        <v>31</v>
      </c>
      <c r="G2682" t="s">
        <v>161</v>
      </c>
      <c r="H2682" t="s">
        <v>54</v>
      </c>
      <c r="I2682" t="s">
        <v>21</v>
      </c>
      <c r="J2682" t="s">
        <v>1196</v>
      </c>
    </row>
    <row r="2683" spans="1:10" x14ac:dyDescent="0.25">
      <c r="A2683">
        <v>27840522</v>
      </c>
      <c r="B2683" t="s">
        <v>17</v>
      </c>
      <c r="C2683" s="4">
        <v>44771.796879733804</v>
      </c>
      <c r="D2683" t="s">
        <v>2015</v>
      </c>
      <c r="E2683" t="s">
        <v>38</v>
      </c>
      <c r="F2683" t="s">
        <v>23</v>
      </c>
      <c r="G2683" t="s">
        <v>108</v>
      </c>
      <c r="H2683" t="s">
        <v>54</v>
      </c>
      <c r="I2683" t="s">
        <v>21</v>
      </c>
      <c r="J2683" t="s">
        <v>472</v>
      </c>
    </row>
    <row r="2684" spans="1:10" x14ac:dyDescent="0.25">
      <c r="A2684">
        <v>27840556</v>
      </c>
      <c r="B2684" t="s">
        <v>17</v>
      </c>
      <c r="C2684" s="4">
        <v>44771.798402731481</v>
      </c>
      <c r="D2684" t="s">
        <v>2020</v>
      </c>
      <c r="E2684" t="s">
        <v>27</v>
      </c>
      <c r="F2684" t="s">
        <v>49</v>
      </c>
      <c r="G2684" t="s">
        <v>359</v>
      </c>
      <c r="H2684" t="s">
        <v>42</v>
      </c>
      <c r="I2684" t="s">
        <v>21</v>
      </c>
      <c r="J2684" t="s">
        <v>2021</v>
      </c>
    </row>
    <row r="2685" spans="1:10" x14ac:dyDescent="0.25">
      <c r="A2685">
        <v>27840564</v>
      </c>
      <c r="B2685" t="s">
        <v>17</v>
      </c>
      <c r="C2685" s="4">
        <v>44771.798576712958</v>
      </c>
      <c r="D2685" t="s">
        <v>2022</v>
      </c>
      <c r="E2685" t="s">
        <v>27</v>
      </c>
      <c r="F2685" t="s">
        <v>18</v>
      </c>
      <c r="G2685" t="s">
        <v>61</v>
      </c>
      <c r="H2685" t="s">
        <v>42</v>
      </c>
      <c r="I2685" t="s">
        <v>21</v>
      </c>
      <c r="J2685" t="s">
        <v>2023</v>
      </c>
    </row>
    <row r="2686" spans="1:10" x14ac:dyDescent="0.25">
      <c r="A2686">
        <v>27840574</v>
      </c>
      <c r="B2686" t="s">
        <v>17</v>
      </c>
      <c r="C2686" s="4">
        <v>44771.798669293981</v>
      </c>
      <c r="D2686" t="s">
        <v>2020</v>
      </c>
      <c r="E2686" t="s">
        <v>27</v>
      </c>
      <c r="F2686" t="s">
        <v>49</v>
      </c>
      <c r="G2686" t="s">
        <v>359</v>
      </c>
      <c r="H2686" t="s">
        <v>239</v>
      </c>
      <c r="I2686" t="s">
        <v>21</v>
      </c>
      <c r="J2686" t="s">
        <v>2021</v>
      </c>
    </row>
    <row r="2687" spans="1:10" x14ac:dyDescent="0.25">
      <c r="A2687">
        <v>27840575</v>
      </c>
      <c r="B2687" t="s">
        <v>17</v>
      </c>
      <c r="C2687" s="4">
        <v>44771.798677592589</v>
      </c>
      <c r="D2687" t="s">
        <v>2020</v>
      </c>
      <c r="E2687" t="s">
        <v>27</v>
      </c>
      <c r="F2687" t="s">
        <v>49</v>
      </c>
      <c r="G2687" t="s">
        <v>359</v>
      </c>
      <c r="H2687" t="s">
        <v>240</v>
      </c>
      <c r="I2687" t="s">
        <v>21</v>
      </c>
      <c r="J2687" t="s">
        <v>2021</v>
      </c>
    </row>
    <row r="2688" spans="1:10" x14ac:dyDescent="0.25">
      <c r="A2688">
        <v>27840580</v>
      </c>
      <c r="B2688" t="s">
        <v>17</v>
      </c>
      <c r="C2688" s="4">
        <v>44771.798705266207</v>
      </c>
      <c r="D2688" t="s">
        <v>2022</v>
      </c>
      <c r="E2688" t="s">
        <v>27</v>
      </c>
      <c r="F2688" t="s">
        <v>18</v>
      </c>
      <c r="G2688" t="s">
        <v>61</v>
      </c>
      <c r="H2688" t="s">
        <v>54</v>
      </c>
      <c r="I2688" t="s">
        <v>21</v>
      </c>
      <c r="J2688" t="s">
        <v>2023</v>
      </c>
    </row>
    <row r="2689" spans="1:10" x14ac:dyDescent="0.25">
      <c r="A2689">
        <v>27840587</v>
      </c>
      <c r="B2689" t="s">
        <v>17</v>
      </c>
      <c r="C2689" s="4">
        <v>44771.798777175929</v>
      </c>
      <c r="D2689" t="s">
        <v>2010</v>
      </c>
      <c r="E2689" t="s">
        <v>38</v>
      </c>
      <c r="F2689" t="s">
        <v>31</v>
      </c>
      <c r="G2689" t="s">
        <v>161</v>
      </c>
      <c r="H2689" t="s">
        <v>40</v>
      </c>
      <c r="I2689" t="s">
        <v>21</v>
      </c>
      <c r="J2689" t="s">
        <v>1196</v>
      </c>
    </row>
    <row r="2690" spans="1:10" x14ac:dyDescent="0.25">
      <c r="A2690">
        <v>27840594</v>
      </c>
      <c r="B2690" t="s">
        <v>17</v>
      </c>
      <c r="C2690" s="4">
        <v>44771.799280868057</v>
      </c>
      <c r="D2690" t="s">
        <v>2024</v>
      </c>
      <c r="E2690" t="s">
        <v>129</v>
      </c>
      <c r="F2690" t="s">
        <v>49</v>
      </c>
      <c r="G2690" t="s">
        <v>50</v>
      </c>
      <c r="H2690" t="s">
        <v>29</v>
      </c>
      <c r="I2690" t="s">
        <v>21</v>
      </c>
      <c r="J2690" t="s">
        <v>2025</v>
      </c>
    </row>
    <row r="2691" spans="1:10" x14ac:dyDescent="0.25">
      <c r="A2691">
        <v>27840601</v>
      </c>
      <c r="B2691" t="s">
        <v>17</v>
      </c>
      <c r="C2691" s="4">
        <v>44771.799340405087</v>
      </c>
      <c r="D2691" t="s">
        <v>1945</v>
      </c>
      <c r="E2691" t="s">
        <v>38</v>
      </c>
      <c r="F2691" t="s">
        <v>33</v>
      </c>
      <c r="G2691" t="s">
        <v>316</v>
      </c>
      <c r="H2691" t="s">
        <v>232</v>
      </c>
      <c r="I2691" t="s">
        <v>21</v>
      </c>
      <c r="J2691" t="s">
        <v>1779</v>
      </c>
    </row>
    <row r="2692" spans="1:10" x14ac:dyDescent="0.25">
      <c r="A2692">
        <v>27840611</v>
      </c>
      <c r="B2692" t="s">
        <v>17</v>
      </c>
      <c r="C2692" s="4">
        <v>44771.799467337973</v>
      </c>
      <c r="D2692" t="s">
        <v>2012</v>
      </c>
      <c r="E2692" t="s">
        <v>22</v>
      </c>
      <c r="F2692" t="s">
        <v>31</v>
      </c>
      <c r="G2692" t="s">
        <v>141</v>
      </c>
      <c r="H2692" t="s">
        <v>40</v>
      </c>
      <c r="I2692" t="s">
        <v>21</v>
      </c>
      <c r="J2692" t="s">
        <v>1048</v>
      </c>
    </row>
    <row r="2693" spans="1:10" x14ac:dyDescent="0.25">
      <c r="A2693">
        <v>27840612</v>
      </c>
      <c r="B2693" t="s">
        <v>17</v>
      </c>
      <c r="C2693" s="4">
        <v>44771.799581030093</v>
      </c>
      <c r="D2693" t="s">
        <v>2010</v>
      </c>
      <c r="E2693" t="s">
        <v>38</v>
      </c>
      <c r="F2693" t="s">
        <v>31</v>
      </c>
      <c r="G2693" t="s">
        <v>161</v>
      </c>
      <c r="H2693" t="s">
        <v>25</v>
      </c>
      <c r="I2693" t="s">
        <v>21</v>
      </c>
      <c r="J2693" t="s">
        <v>1196</v>
      </c>
    </row>
    <row r="2694" spans="1:10" x14ac:dyDescent="0.25">
      <c r="A2694">
        <v>27840629</v>
      </c>
      <c r="B2694" t="s">
        <v>17</v>
      </c>
      <c r="C2694" s="4">
        <v>44771.79982659722</v>
      </c>
      <c r="D2694" t="s">
        <v>2012</v>
      </c>
      <c r="E2694" t="s">
        <v>22</v>
      </c>
      <c r="F2694" t="s">
        <v>31</v>
      </c>
      <c r="G2694" t="s">
        <v>141</v>
      </c>
      <c r="H2694" t="s">
        <v>25</v>
      </c>
      <c r="I2694" t="s">
        <v>21</v>
      </c>
      <c r="J2694" t="s">
        <v>1048</v>
      </c>
    </row>
    <row r="2695" spans="1:10" x14ac:dyDescent="0.25">
      <c r="A2695">
        <v>27840641</v>
      </c>
      <c r="B2695" t="s">
        <v>17</v>
      </c>
      <c r="C2695" s="4">
        <v>44771.799849618059</v>
      </c>
      <c r="D2695" t="s">
        <v>2026</v>
      </c>
      <c r="E2695" t="s">
        <v>62</v>
      </c>
      <c r="F2695" t="s">
        <v>57</v>
      </c>
      <c r="G2695" t="s">
        <v>221</v>
      </c>
      <c r="H2695" t="s">
        <v>42</v>
      </c>
      <c r="I2695" t="s">
        <v>21</v>
      </c>
      <c r="J2695" t="s">
        <v>2027</v>
      </c>
    </row>
    <row r="2696" spans="1:10" x14ac:dyDescent="0.25">
      <c r="A2696">
        <v>27840650</v>
      </c>
      <c r="B2696" t="s">
        <v>17</v>
      </c>
      <c r="C2696" s="4">
        <v>44771.800100324072</v>
      </c>
      <c r="D2696" t="s">
        <v>2013</v>
      </c>
      <c r="E2696" t="s">
        <v>62</v>
      </c>
      <c r="F2696" t="s">
        <v>18</v>
      </c>
      <c r="G2696" t="s">
        <v>260</v>
      </c>
      <c r="H2696" t="s">
        <v>40</v>
      </c>
      <c r="I2696" t="s">
        <v>21</v>
      </c>
      <c r="J2696" t="s">
        <v>2014</v>
      </c>
    </row>
    <row r="2697" spans="1:10" x14ac:dyDescent="0.25">
      <c r="A2697">
        <v>27840659</v>
      </c>
      <c r="B2697" t="s">
        <v>17</v>
      </c>
      <c r="C2697" s="4">
        <v>44771.800471493058</v>
      </c>
      <c r="D2697" t="s">
        <v>2013</v>
      </c>
      <c r="E2697" t="s">
        <v>62</v>
      </c>
      <c r="F2697" t="s">
        <v>18</v>
      </c>
      <c r="G2697" t="s">
        <v>260</v>
      </c>
      <c r="H2697" t="s">
        <v>25</v>
      </c>
      <c r="I2697" t="s">
        <v>21</v>
      </c>
      <c r="J2697" t="s">
        <v>2014</v>
      </c>
    </row>
    <row r="2698" spans="1:10" x14ac:dyDescent="0.25">
      <c r="A2698">
        <v>27840692</v>
      </c>
      <c r="B2698" t="s">
        <v>17</v>
      </c>
      <c r="C2698" s="4">
        <v>44771.800950520832</v>
      </c>
      <c r="D2698" t="s">
        <v>2028</v>
      </c>
      <c r="E2698" t="s">
        <v>27</v>
      </c>
      <c r="F2698" t="s">
        <v>18</v>
      </c>
      <c r="G2698" t="s">
        <v>186</v>
      </c>
      <c r="H2698" t="s">
        <v>42</v>
      </c>
      <c r="I2698" t="s">
        <v>21</v>
      </c>
      <c r="J2698" t="s">
        <v>504</v>
      </c>
    </row>
    <row r="2699" spans="1:10" x14ac:dyDescent="0.25">
      <c r="A2699">
        <v>27840696</v>
      </c>
      <c r="B2699" t="s">
        <v>17</v>
      </c>
      <c r="C2699" s="4">
        <v>44771.801005740737</v>
      </c>
      <c r="D2699" t="s">
        <v>2028</v>
      </c>
      <c r="E2699" t="s">
        <v>27</v>
      </c>
      <c r="F2699" t="s">
        <v>18</v>
      </c>
      <c r="G2699" t="s">
        <v>186</v>
      </c>
      <c r="H2699" t="s">
        <v>54</v>
      </c>
      <c r="I2699" t="s">
        <v>21</v>
      </c>
      <c r="J2699" t="s">
        <v>504</v>
      </c>
    </row>
    <row r="2700" spans="1:10" x14ac:dyDescent="0.25">
      <c r="A2700">
        <v>27840716</v>
      </c>
      <c r="B2700" t="s">
        <v>17</v>
      </c>
      <c r="C2700" s="4">
        <v>44771.801894456017</v>
      </c>
      <c r="D2700" t="s">
        <v>2015</v>
      </c>
      <c r="E2700" t="s">
        <v>38</v>
      </c>
      <c r="F2700" t="s">
        <v>23</v>
      </c>
      <c r="G2700" t="s">
        <v>108</v>
      </c>
      <c r="H2700" t="s">
        <v>40</v>
      </c>
      <c r="I2700" t="s">
        <v>21</v>
      </c>
      <c r="J2700" t="s">
        <v>472</v>
      </c>
    </row>
    <row r="2701" spans="1:10" x14ac:dyDescent="0.25">
      <c r="A2701">
        <v>27840733</v>
      </c>
      <c r="B2701" t="s">
        <v>17</v>
      </c>
      <c r="C2701" s="4">
        <v>44771.80235820602</v>
      </c>
      <c r="D2701" t="s">
        <v>2015</v>
      </c>
      <c r="E2701" t="s">
        <v>38</v>
      </c>
      <c r="F2701" t="s">
        <v>23</v>
      </c>
      <c r="G2701" t="s">
        <v>108</v>
      </c>
      <c r="H2701" t="s">
        <v>25</v>
      </c>
      <c r="I2701" t="s">
        <v>21</v>
      </c>
      <c r="J2701" t="s">
        <v>472</v>
      </c>
    </row>
    <row r="2702" spans="1:10" x14ac:dyDescent="0.25">
      <c r="A2702">
        <v>27840761</v>
      </c>
      <c r="B2702" t="s">
        <v>17</v>
      </c>
      <c r="C2702" s="4">
        <v>44771.802916886583</v>
      </c>
      <c r="D2702" t="s">
        <v>2029</v>
      </c>
      <c r="E2702" t="s">
        <v>38</v>
      </c>
      <c r="F2702" t="s">
        <v>31</v>
      </c>
      <c r="G2702" t="s">
        <v>199</v>
      </c>
      <c r="H2702" t="s">
        <v>42</v>
      </c>
      <c r="I2702" t="s">
        <v>21</v>
      </c>
      <c r="J2702" t="s">
        <v>490</v>
      </c>
    </row>
    <row r="2703" spans="1:10" x14ac:dyDescent="0.25">
      <c r="A2703">
        <v>27840783</v>
      </c>
      <c r="B2703" t="s">
        <v>17</v>
      </c>
      <c r="C2703" s="4">
        <v>44771.804168645831</v>
      </c>
      <c r="D2703" t="s">
        <v>2022</v>
      </c>
      <c r="E2703" t="s">
        <v>27</v>
      </c>
      <c r="F2703" t="s">
        <v>18</v>
      </c>
      <c r="G2703" t="s">
        <v>61</v>
      </c>
      <c r="H2703" t="s">
        <v>40</v>
      </c>
      <c r="I2703" t="s">
        <v>21</v>
      </c>
      <c r="J2703" t="s">
        <v>2023</v>
      </c>
    </row>
    <row r="2704" spans="1:10" x14ac:dyDescent="0.25">
      <c r="A2704">
        <v>27840789</v>
      </c>
      <c r="B2704" t="s">
        <v>17</v>
      </c>
      <c r="C2704" s="4">
        <v>44771.804496446763</v>
      </c>
      <c r="D2704" t="s">
        <v>2022</v>
      </c>
      <c r="E2704" t="s">
        <v>27</v>
      </c>
      <c r="F2704" t="s">
        <v>18</v>
      </c>
      <c r="G2704" t="s">
        <v>61</v>
      </c>
      <c r="H2704" t="s">
        <v>25</v>
      </c>
      <c r="I2704" t="s">
        <v>21</v>
      </c>
      <c r="J2704" t="s">
        <v>2023</v>
      </c>
    </row>
    <row r="2705" spans="1:10" x14ac:dyDescent="0.25">
      <c r="A2705">
        <v>27840807</v>
      </c>
      <c r="B2705" t="s">
        <v>17</v>
      </c>
      <c r="C2705" s="4">
        <v>44771.804826539352</v>
      </c>
      <c r="D2705" t="s">
        <v>2030</v>
      </c>
      <c r="E2705" t="s">
        <v>38</v>
      </c>
      <c r="F2705" t="s">
        <v>31</v>
      </c>
      <c r="G2705" t="s">
        <v>150</v>
      </c>
      <c r="H2705" t="s">
        <v>42</v>
      </c>
      <c r="I2705" t="s">
        <v>21</v>
      </c>
      <c r="J2705" t="s">
        <v>477</v>
      </c>
    </row>
    <row r="2706" spans="1:10" x14ac:dyDescent="0.25">
      <c r="A2706">
        <v>27840817</v>
      </c>
      <c r="B2706" t="s">
        <v>17</v>
      </c>
      <c r="C2706" s="4">
        <v>44771.805437627307</v>
      </c>
      <c r="D2706" t="s">
        <v>2020</v>
      </c>
      <c r="E2706" t="s">
        <v>27</v>
      </c>
      <c r="F2706" t="s">
        <v>49</v>
      </c>
      <c r="G2706" t="s">
        <v>359</v>
      </c>
      <c r="H2706" t="s">
        <v>40</v>
      </c>
      <c r="I2706" t="s">
        <v>21</v>
      </c>
      <c r="J2706" t="s">
        <v>2021</v>
      </c>
    </row>
    <row r="2707" spans="1:10" x14ac:dyDescent="0.25">
      <c r="A2707">
        <v>27840828</v>
      </c>
      <c r="B2707" t="s">
        <v>17</v>
      </c>
      <c r="C2707" s="4">
        <v>44771.806025046288</v>
      </c>
      <c r="D2707" t="s">
        <v>2020</v>
      </c>
      <c r="E2707" t="s">
        <v>27</v>
      </c>
      <c r="F2707" t="s">
        <v>49</v>
      </c>
      <c r="G2707" t="s">
        <v>359</v>
      </c>
      <c r="H2707" t="s">
        <v>25</v>
      </c>
      <c r="I2707" t="s">
        <v>21</v>
      </c>
      <c r="J2707" t="s">
        <v>2021</v>
      </c>
    </row>
    <row r="2708" spans="1:10" x14ac:dyDescent="0.25">
      <c r="A2708">
        <v>27840839</v>
      </c>
      <c r="B2708" t="s">
        <v>17</v>
      </c>
      <c r="C2708" s="4">
        <v>44771.806128321761</v>
      </c>
      <c r="D2708" t="s">
        <v>2031</v>
      </c>
      <c r="E2708" t="s">
        <v>27</v>
      </c>
      <c r="F2708" t="s">
        <v>18</v>
      </c>
      <c r="G2708" t="s">
        <v>273</v>
      </c>
      <c r="H2708" t="s">
        <v>29</v>
      </c>
      <c r="I2708" t="s">
        <v>21</v>
      </c>
      <c r="J2708" t="s">
        <v>2032</v>
      </c>
    </row>
    <row r="2709" spans="1:10" x14ac:dyDescent="0.25">
      <c r="A2709">
        <v>27840867</v>
      </c>
      <c r="B2709" t="s">
        <v>17</v>
      </c>
      <c r="C2709" s="4">
        <v>44771.80665071759</v>
      </c>
      <c r="D2709" t="s">
        <v>2033</v>
      </c>
      <c r="E2709" t="s">
        <v>62</v>
      </c>
      <c r="F2709" t="s">
        <v>31</v>
      </c>
      <c r="G2709" t="s">
        <v>133</v>
      </c>
      <c r="H2709" t="s">
        <v>29</v>
      </c>
      <c r="I2709" t="s">
        <v>21</v>
      </c>
      <c r="J2709" t="s">
        <v>2034</v>
      </c>
    </row>
    <row r="2710" spans="1:10" x14ac:dyDescent="0.25">
      <c r="A2710">
        <v>27840878</v>
      </c>
      <c r="B2710" t="s">
        <v>17</v>
      </c>
      <c r="C2710" s="4">
        <v>44771.806951458333</v>
      </c>
      <c r="D2710" t="s">
        <v>2029</v>
      </c>
      <c r="E2710" t="s">
        <v>38</v>
      </c>
      <c r="F2710" t="s">
        <v>31</v>
      </c>
      <c r="G2710" t="s">
        <v>199</v>
      </c>
      <c r="H2710" t="s">
        <v>54</v>
      </c>
      <c r="I2710" t="s">
        <v>21</v>
      </c>
      <c r="J2710" t="s">
        <v>490</v>
      </c>
    </row>
    <row r="2711" spans="1:10" x14ac:dyDescent="0.25">
      <c r="A2711">
        <v>27840905</v>
      </c>
      <c r="B2711" t="s">
        <v>17</v>
      </c>
      <c r="C2711" s="4">
        <v>44771.807892962963</v>
      </c>
      <c r="D2711" t="s">
        <v>2035</v>
      </c>
      <c r="E2711" t="s">
        <v>62</v>
      </c>
      <c r="F2711" t="s">
        <v>18</v>
      </c>
      <c r="G2711" t="s">
        <v>28</v>
      </c>
      <c r="H2711" t="s">
        <v>29</v>
      </c>
      <c r="I2711" t="s">
        <v>21</v>
      </c>
      <c r="J2711" t="s">
        <v>2036</v>
      </c>
    </row>
    <row r="2712" spans="1:10" x14ac:dyDescent="0.25">
      <c r="A2712">
        <v>27840917</v>
      </c>
      <c r="B2712" t="s">
        <v>17</v>
      </c>
      <c r="C2712" s="4">
        <v>44771.808027326391</v>
      </c>
      <c r="D2712" t="s">
        <v>2037</v>
      </c>
      <c r="E2712" t="s">
        <v>349</v>
      </c>
      <c r="F2712" t="s">
        <v>49</v>
      </c>
      <c r="G2712" t="s">
        <v>201</v>
      </c>
      <c r="H2712" t="s">
        <v>29</v>
      </c>
      <c r="I2712" t="s">
        <v>21</v>
      </c>
      <c r="J2712" t="s">
        <v>2038</v>
      </c>
    </row>
    <row r="2713" spans="1:10" x14ac:dyDescent="0.25">
      <c r="A2713">
        <v>27840927</v>
      </c>
      <c r="B2713" t="s">
        <v>17</v>
      </c>
      <c r="C2713" s="4">
        <v>44771.80811820602</v>
      </c>
      <c r="D2713" t="s">
        <v>2039</v>
      </c>
      <c r="E2713" t="s">
        <v>27</v>
      </c>
      <c r="F2713" t="s">
        <v>18</v>
      </c>
      <c r="G2713" t="s">
        <v>396</v>
      </c>
      <c r="H2713" t="s">
        <v>29</v>
      </c>
      <c r="I2713" t="s">
        <v>21</v>
      </c>
      <c r="J2713" t="s">
        <v>2040</v>
      </c>
    </row>
    <row r="2714" spans="1:10" x14ac:dyDescent="0.25">
      <c r="A2714">
        <v>27840935</v>
      </c>
      <c r="B2714" t="s">
        <v>17</v>
      </c>
      <c r="C2714" s="4">
        <v>44771.80815167824</v>
      </c>
      <c r="D2714" t="s">
        <v>2030</v>
      </c>
      <c r="E2714" t="s">
        <v>38</v>
      </c>
      <c r="F2714" t="s">
        <v>31</v>
      </c>
      <c r="G2714" t="s">
        <v>150</v>
      </c>
      <c r="H2714" t="s">
        <v>54</v>
      </c>
      <c r="I2714" t="s">
        <v>21</v>
      </c>
      <c r="J2714" t="s">
        <v>477</v>
      </c>
    </row>
    <row r="2715" spans="1:10" x14ac:dyDescent="0.25">
      <c r="A2715">
        <v>27840939</v>
      </c>
      <c r="B2715" t="s">
        <v>17</v>
      </c>
      <c r="C2715" s="4">
        <v>44771.808183055553</v>
      </c>
      <c r="D2715" t="s">
        <v>2041</v>
      </c>
      <c r="E2715" t="s">
        <v>27</v>
      </c>
      <c r="F2715" t="s">
        <v>18</v>
      </c>
      <c r="G2715" t="s">
        <v>396</v>
      </c>
      <c r="H2715" t="s">
        <v>42</v>
      </c>
      <c r="I2715" t="s">
        <v>21</v>
      </c>
      <c r="J2715" t="s">
        <v>2042</v>
      </c>
    </row>
    <row r="2716" spans="1:10" x14ac:dyDescent="0.25">
      <c r="A2716">
        <v>27840950</v>
      </c>
      <c r="B2716" t="s">
        <v>17</v>
      </c>
      <c r="C2716" s="4">
        <v>44771.808280173609</v>
      </c>
      <c r="D2716" t="s">
        <v>2026</v>
      </c>
      <c r="E2716" t="s">
        <v>62</v>
      </c>
      <c r="F2716" t="s">
        <v>57</v>
      </c>
      <c r="G2716" t="s">
        <v>221</v>
      </c>
      <c r="H2716" t="s">
        <v>54</v>
      </c>
      <c r="I2716" t="s">
        <v>21</v>
      </c>
      <c r="J2716" t="s">
        <v>2027</v>
      </c>
    </row>
    <row r="2717" spans="1:10" x14ac:dyDescent="0.25">
      <c r="A2717">
        <v>27840955</v>
      </c>
      <c r="B2717" t="s">
        <v>17</v>
      </c>
      <c r="C2717" s="4">
        <v>44771.808383460651</v>
      </c>
      <c r="D2717" t="s">
        <v>2041</v>
      </c>
      <c r="E2717" t="s">
        <v>27</v>
      </c>
      <c r="F2717" t="s">
        <v>18</v>
      </c>
      <c r="G2717" t="s">
        <v>396</v>
      </c>
      <c r="H2717" t="s">
        <v>54</v>
      </c>
      <c r="I2717" t="s">
        <v>21</v>
      </c>
      <c r="J2717" t="s">
        <v>2042</v>
      </c>
    </row>
    <row r="2718" spans="1:10" x14ac:dyDescent="0.25">
      <c r="A2718">
        <v>27840963</v>
      </c>
      <c r="B2718" t="s">
        <v>17</v>
      </c>
      <c r="C2718" s="4">
        <v>44771.808588333333</v>
      </c>
      <c r="D2718" t="s">
        <v>2043</v>
      </c>
      <c r="E2718" t="s">
        <v>38</v>
      </c>
      <c r="F2718" t="s">
        <v>23</v>
      </c>
      <c r="G2718" t="s">
        <v>224</v>
      </c>
      <c r="H2718" t="s">
        <v>42</v>
      </c>
      <c r="I2718" t="s">
        <v>21</v>
      </c>
      <c r="J2718" t="s">
        <v>2044</v>
      </c>
    </row>
    <row r="2719" spans="1:10" x14ac:dyDescent="0.25">
      <c r="A2719">
        <v>27840973</v>
      </c>
      <c r="B2719" t="s">
        <v>17</v>
      </c>
      <c r="C2719" s="4">
        <v>44771.808871261572</v>
      </c>
      <c r="D2719" t="s">
        <v>2028</v>
      </c>
      <c r="E2719" t="s">
        <v>27</v>
      </c>
      <c r="F2719" t="s">
        <v>18</v>
      </c>
      <c r="G2719" t="s">
        <v>186</v>
      </c>
      <c r="H2719" t="s">
        <v>40</v>
      </c>
      <c r="I2719" t="s">
        <v>21</v>
      </c>
      <c r="J2719" t="s">
        <v>504</v>
      </c>
    </row>
    <row r="2720" spans="1:10" x14ac:dyDescent="0.25">
      <c r="A2720">
        <v>27840977</v>
      </c>
      <c r="B2720" t="s">
        <v>17</v>
      </c>
      <c r="C2720" s="4">
        <v>44771.808954837958</v>
      </c>
      <c r="D2720" t="s">
        <v>2026</v>
      </c>
      <c r="E2720" t="s">
        <v>62</v>
      </c>
      <c r="F2720" t="s">
        <v>57</v>
      </c>
      <c r="G2720" t="s">
        <v>221</v>
      </c>
      <c r="H2720" t="s">
        <v>40</v>
      </c>
      <c r="I2720" t="s">
        <v>21</v>
      </c>
      <c r="J2720" t="s">
        <v>2027</v>
      </c>
    </row>
    <row r="2721" spans="1:10" x14ac:dyDescent="0.25">
      <c r="A2721">
        <v>27840989</v>
      </c>
      <c r="B2721" t="s">
        <v>17</v>
      </c>
      <c r="C2721" s="4">
        <v>44771.809282731483</v>
      </c>
      <c r="D2721" t="s">
        <v>2045</v>
      </c>
      <c r="E2721" t="s">
        <v>38</v>
      </c>
      <c r="F2721" t="s">
        <v>52</v>
      </c>
      <c r="G2721" t="s">
        <v>69</v>
      </c>
      <c r="H2721" t="s">
        <v>42</v>
      </c>
      <c r="I2721" t="s">
        <v>21</v>
      </c>
      <c r="J2721" t="s">
        <v>1643</v>
      </c>
    </row>
    <row r="2722" spans="1:10" x14ac:dyDescent="0.25">
      <c r="A2722">
        <v>27840994</v>
      </c>
      <c r="B2722" t="s">
        <v>17</v>
      </c>
      <c r="C2722" s="4">
        <v>44771.80931434028</v>
      </c>
      <c r="D2722" t="s">
        <v>2026</v>
      </c>
      <c r="E2722" t="s">
        <v>62</v>
      </c>
      <c r="F2722" t="s">
        <v>57</v>
      </c>
      <c r="G2722" t="s">
        <v>221</v>
      </c>
      <c r="H2722" t="s">
        <v>25</v>
      </c>
      <c r="I2722" t="s">
        <v>21</v>
      </c>
      <c r="J2722" t="s">
        <v>2027</v>
      </c>
    </row>
    <row r="2723" spans="1:10" x14ac:dyDescent="0.25">
      <c r="A2723">
        <v>27841006</v>
      </c>
      <c r="B2723" t="s">
        <v>17</v>
      </c>
      <c r="C2723" s="4">
        <v>44771.809457025462</v>
      </c>
      <c r="D2723" t="s">
        <v>2028</v>
      </c>
      <c r="E2723" t="s">
        <v>27</v>
      </c>
      <c r="F2723" t="s">
        <v>18</v>
      </c>
      <c r="G2723" t="s">
        <v>186</v>
      </c>
      <c r="H2723" t="s">
        <v>25</v>
      </c>
      <c r="I2723" t="s">
        <v>21</v>
      </c>
      <c r="J2723" t="s">
        <v>504</v>
      </c>
    </row>
    <row r="2724" spans="1:10" x14ac:dyDescent="0.25">
      <c r="A2724">
        <v>27841015</v>
      </c>
      <c r="B2724" t="s">
        <v>17</v>
      </c>
      <c r="C2724" s="4">
        <v>44771.809478564814</v>
      </c>
      <c r="D2724" t="s">
        <v>2046</v>
      </c>
      <c r="E2724" t="s">
        <v>129</v>
      </c>
      <c r="F2724" t="s">
        <v>49</v>
      </c>
      <c r="G2724" t="s">
        <v>73</v>
      </c>
      <c r="H2724" t="s">
        <v>29</v>
      </c>
      <c r="I2724" t="s">
        <v>21</v>
      </c>
      <c r="J2724" t="s">
        <v>2047</v>
      </c>
    </row>
    <row r="2725" spans="1:10" x14ac:dyDescent="0.25">
      <c r="A2725">
        <v>27841029</v>
      </c>
      <c r="B2725" t="s">
        <v>17</v>
      </c>
      <c r="C2725" s="4">
        <v>44771.809574305553</v>
      </c>
      <c r="D2725" t="s">
        <v>2048</v>
      </c>
      <c r="E2725" t="s">
        <v>62</v>
      </c>
      <c r="F2725" t="s">
        <v>57</v>
      </c>
      <c r="G2725" t="s">
        <v>76</v>
      </c>
      <c r="H2725" t="s">
        <v>29</v>
      </c>
      <c r="I2725" t="s">
        <v>21</v>
      </c>
      <c r="J2725" t="s">
        <v>2049</v>
      </c>
    </row>
    <row r="2726" spans="1:10" x14ac:dyDescent="0.25">
      <c r="A2726">
        <v>27841049</v>
      </c>
      <c r="B2726" t="s">
        <v>17</v>
      </c>
      <c r="C2726" s="4">
        <v>44771.809977314813</v>
      </c>
      <c r="D2726" t="s">
        <v>2050</v>
      </c>
      <c r="E2726" t="s">
        <v>22</v>
      </c>
      <c r="F2726" t="s">
        <v>52</v>
      </c>
      <c r="G2726" t="s">
        <v>234</v>
      </c>
      <c r="H2726" t="s">
        <v>42</v>
      </c>
      <c r="I2726" t="s">
        <v>21</v>
      </c>
      <c r="J2726" t="s">
        <v>474</v>
      </c>
    </row>
    <row r="2727" spans="1:10" x14ac:dyDescent="0.25">
      <c r="A2727">
        <v>27841056</v>
      </c>
      <c r="B2727" t="s">
        <v>17</v>
      </c>
      <c r="C2727" s="4">
        <v>44771.810445636584</v>
      </c>
      <c r="D2727" t="s">
        <v>2045</v>
      </c>
      <c r="E2727" t="s">
        <v>38</v>
      </c>
      <c r="F2727" t="s">
        <v>52</v>
      </c>
      <c r="G2727" t="s">
        <v>69</v>
      </c>
      <c r="H2727" t="s">
        <v>54</v>
      </c>
      <c r="I2727" t="s">
        <v>21</v>
      </c>
      <c r="J2727" t="s">
        <v>1643</v>
      </c>
    </row>
    <row r="2728" spans="1:10" x14ac:dyDescent="0.25">
      <c r="A2728">
        <v>27841073</v>
      </c>
      <c r="B2728" t="s">
        <v>17</v>
      </c>
      <c r="C2728" s="4">
        <v>44771.811192326393</v>
      </c>
      <c r="D2728" t="s">
        <v>2051</v>
      </c>
      <c r="E2728" t="s">
        <v>38</v>
      </c>
      <c r="F2728" t="s">
        <v>23</v>
      </c>
      <c r="G2728" t="s">
        <v>120</v>
      </c>
      <c r="H2728" t="s">
        <v>42</v>
      </c>
      <c r="I2728" t="s">
        <v>21</v>
      </c>
      <c r="J2728" t="s">
        <v>498</v>
      </c>
    </row>
    <row r="2729" spans="1:10" x14ac:dyDescent="0.25">
      <c r="A2729">
        <v>27841076</v>
      </c>
      <c r="B2729" t="s">
        <v>17</v>
      </c>
      <c r="C2729" s="4">
        <v>44771.811194479167</v>
      </c>
      <c r="D2729" t="s">
        <v>2029</v>
      </c>
      <c r="E2729" t="s">
        <v>38</v>
      </c>
      <c r="F2729" t="s">
        <v>31</v>
      </c>
      <c r="G2729" t="s">
        <v>199</v>
      </c>
      <c r="H2729" t="s">
        <v>40</v>
      </c>
      <c r="I2729" t="s">
        <v>21</v>
      </c>
      <c r="J2729" t="s">
        <v>490</v>
      </c>
    </row>
    <row r="2730" spans="1:10" x14ac:dyDescent="0.25">
      <c r="A2730">
        <v>27841081</v>
      </c>
      <c r="B2730" t="s">
        <v>17</v>
      </c>
      <c r="C2730" s="4">
        <v>44771.811626284732</v>
      </c>
      <c r="D2730" t="s">
        <v>2029</v>
      </c>
      <c r="E2730" t="s">
        <v>38</v>
      </c>
      <c r="F2730" t="s">
        <v>31</v>
      </c>
      <c r="G2730" t="s">
        <v>199</v>
      </c>
      <c r="H2730" t="s">
        <v>25</v>
      </c>
      <c r="I2730" t="s">
        <v>21</v>
      </c>
      <c r="J2730" t="s">
        <v>490</v>
      </c>
    </row>
    <row r="2731" spans="1:10" x14ac:dyDescent="0.25">
      <c r="A2731">
        <v>27841100</v>
      </c>
      <c r="B2731" t="s">
        <v>17</v>
      </c>
      <c r="C2731" s="4">
        <v>44771.812101076393</v>
      </c>
      <c r="D2731" t="s">
        <v>2050</v>
      </c>
      <c r="E2731" t="s">
        <v>22</v>
      </c>
      <c r="F2731" t="s">
        <v>52</v>
      </c>
      <c r="G2731" t="s">
        <v>234</v>
      </c>
      <c r="H2731" t="s">
        <v>54</v>
      </c>
      <c r="I2731" t="s">
        <v>21</v>
      </c>
      <c r="J2731" t="s">
        <v>474</v>
      </c>
    </row>
    <row r="2732" spans="1:10" x14ac:dyDescent="0.25">
      <c r="A2732">
        <v>27841111</v>
      </c>
      <c r="B2732" t="s">
        <v>17</v>
      </c>
      <c r="C2732" s="4">
        <v>44771.812407685182</v>
      </c>
      <c r="D2732" t="s">
        <v>2052</v>
      </c>
      <c r="E2732" t="s">
        <v>38</v>
      </c>
      <c r="F2732" t="s">
        <v>23</v>
      </c>
      <c r="G2732" t="s">
        <v>337</v>
      </c>
      <c r="H2732" t="s">
        <v>42</v>
      </c>
      <c r="I2732" t="s">
        <v>21</v>
      </c>
      <c r="J2732" t="s">
        <v>2053</v>
      </c>
    </row>
    <row r="2733" spans="1:10" x14ac:dyDescent="0.25">
      <c r="A2733">
        <v>27841125</v>
      </c>
      <c r="B2733" t="s">
        <v>17</v>
      </c>
      <c r="C2733" s="4">
        <v>44771.812601180558</v>
      </c>
      <c r="D2733" t="s">
        <v>2051</v>
      </c>
      <c r="E2733" t="s">
        <v>38</v>
      </c>
      <c r="F2733" t="s">
        <v>23</v>
      </c>
      <c r="G2733" t="s">
        <v>120</v>
      </c>
      <c r="H2733" t="s">
        <v>54</v>
      </c>
      <c r="I2733" t="s">
        <v>21</v>
      </c>
      <c r="J2733" t="s">
        <v>498</v>
      </c>
    </row>
    <row r="2734" spans="1:10" x14ac:dyDescent="0.25">
      <c r="A2734">
        <v>27841138</v>
      </c>
      <c r="B2734" t="s">
        <v>17</v>
      </c>
      <c r="C2734" s="4">
        <v>44771.813304212963</v>
      </c>
      <c r="D2734" t="s">
        <v>2054</v>
      </c>
      <c r="E2734" t="s">
        <v>129</v>
      </c>
      <c r="F2734" t="s">
        <v>49</v>
      </c>
      <c r="G2734" t="s">
        <v>192</v>
      </c>
      <c r="H2734" t="s">
        <v>29</v>
      </c>
      <c r="I2734" t="s">
        <v>21</v>
      </c>
      <c r="J2734" t="s">
        <v>446</v>
      </c>
    </row>
    <row r="2735" spans="1:10" x14ac:dyDescent="0.25">
      <c r="A2735">
        <v>27841144</v>
      </c>
      <c r="B2735" t="s">
        <v>17</v>
      </c>
      <c r="C2735" s="4">
        <v>44771.813406226851</v>
      </c>
      <c r="D2735" t="s">
        <v>2055</v>
      </c>
      <c r="E2735" t="s">
        <v>27</v>
      </c>
      <c r="F2735" t="s">
        <v>18</v>
      </c>
      <c r="G2735" t="s">
        <v>285</v>
      </c>
      <c r="H2735" t="s">
        <v>29</v>
      </c>
      <c r="I2735" t="s">
        <v>21</v>
      </c>
      <c r="J2735" t="s">
        <v>2056</v>
      </c>
    </row>
    <row r="2736" spans="1:10" x14ac:dyDescent="0.25">
      <c r="A2736">
        <v>27841163</v>
      </c>
      <c r="B2736" t="s">
        <v>17</v>
      </c>
      <c r="C2736" s="4">
        <v>44771.813767268519</v>
      </c>
      <c r="D2736" t="s">
        <v>2057</v>
      </c>
      <c r="E2736" t="s">
        <v>349</v>
      </c>
      <c r="F2736" t="s">
        <v>49</v>
      </c>
      <c r="G2736" t="s">
        <v>106</v>
      </c>
      <c r="H2736" t="s">
        <v>29</v>
      </c>
      <c r="I2736" t="s">
        <v>21</v>
      </c>
      <c r="J2736" t="s">
        <v>2058</v>
      </c>
    </row>
    <row r="2737" spans="1:10" x14ac:dyDescent="0.25">
      <c r="A2737">
        <v>27841176</v>
      </c>
      <c r="B2737" t="s">
        <v>17</v>
      </c>
      <c r="C2737" s="4">
        <v>44771.813992986114</v>
      </c>
      <c r="D2737" t="s">
        <v>2052</v>
      </c>
      <c r="E2737" t="s">
        <v>38</v>
      </c>
      <c r="F2737" t="s">
        <v>23</v>
      </c>
      <c r="G2737" t="s">
        <v>337</v>
      </c>
      <c r="H2737" t="s">
        <v>54</v>
      </c>
      <c r="I2737" t="s">
        <v>21</v>
      </c>
      <c r="J2737" t="s">
        <v>2053</v>
      </c>
    </row>
    <row r="2738" spans="1:10" x14ac:dyDescent="0.25">
      <c r="A2738">
        <v>27841184</v>
      </c>
      <c r="B2738" t="s">
        <v>17</v>
      </c>
      <c r="C2738" s="4">
        <v>44771.814085752318</v>
      </c>
      <c r="D2738" t="s">
        <v>2059</v>
      </c>
      <c r="E2738" t="s">
        <v>38</v>
      </c>
      <c r="F2738" t="s">
        <v>52</v>
      </c>
      <c r="G2738" t="s">
        <v>65</v>
      </c>
      <c r="H2738" t="s">
        <v>42</v>
      </c>
      <c r="I2738" t="s">
        <v>21</v>
      </c>
      <c r="J2738" t="s">
        <v>549</v>
      </c>
    </row>
    <row r="2739" spans="1:10" x14ac:dyDescent="0.25">
      <c r="A2739">
        <v>27841188</v>
      </c>
      <c r="B2739" t="s">
        <v>17</v>
      </c>
      <c r="C2739" s="4">
        <v>44771.81417096065</v>
      </c>
      <c r="F2739" t="s">
        <v>31</v>
      </c>
      <c r="G2739" t="s">
        <v>133</v>
      </c>
      <c r="H2739" t="s">
        <v>20</v>
      </c>
      <c r="I2739" t="s">
        <v>21</v>
      </c>
    </row>
    <row r="2740" spans="1:10" x14ac:dyDescent="0.25">
      <c r="A2740">
        <v>27841199</v>
      </c>
      <c r="B2740" t="s">
        <v>17</v>
      </c>
      <c r="C2740" s="4">
        <v>44771.814635347233</v>
      </c>
      <c r="D2740" t="s">
        <v>2043</v>
      </c>
      <c r="E2740" t="s">
        <v>38</v>
      </c>
      <c r="F2740" t="s">
        <v>23</v>
      </c>
      <c r="G2740" t="s">
        <v>224</v>
      </c>
      <c r="H2740" t="s">
        <v>54</v>
      </c>
      <c r="I2740" t="s">
        <v>21</v>
      </c>
      <c r="J2740" t="s">
        <v>2044</v>
      </c>
    </row>
    <row r="2741" spans="1:10" x14ac:dyDescent="0.25">
      <c r="A2741">
        <v>27841205</v>
      </c>
      <c r="B2741" t="s">
        <v>17</v>
      </c>
      <c r="C2741" s="4">
        <v>44771.814937060182</v>
      </c>
      <c r="D2741" t="s">
        <v>2060</v>
      </c>
      <c r="E2741" t="s">
        <v>123</v>
      </c>
      <c r="F2741" t="s">
        <v>49</v>
      </c>
      <c r="G2741" t="s">
        <v>218</v>
      </c>
      <c r="H2741" t="s">
        <v>29</v>
      </c>
      <c r="I2741" t="s">
        <v>21</v>
      </c>
      <c r="J2741" t="s">
        <v>2061</v>
      </c>
    </row>
    <row r="2742" spans="1:10" x14ac:dyDescent="0.25">
      <c r="A2742">
        <v>27841220</v>
      </c>
      <c r="B2742" t="s">
        <v>17</v>
      </c>
      <c r="C2742" s="4">
        <v>44771.815343668983</v>
      </c>
      <c r="D2742" t="s">
        <v>2030</v>
      </c>
      <c r="E2742" t="s">
        <v>38</v>
      </c>
      <c r="F2742" t="s">
        <v>31</v>
      </c>
      <c r="G2742" t="s">
        <v>150</v>
      </c>
      <c r="H2742" t="s">
        <v>40</v>
      </c>
      <c r="I2742" t="s">
        <v>21</v>
      </c>
      <c r="J2742" t="s">
        <v>477</v>
      </c>
    </row>
    <row r="2743" spans="1:10" x14ac:dyDescent="0.25">
      <c r="A2743">
        <v>27841226</v>
      </c>
      <c r="B2743" t="s">
        <v>17</v>
      </c>
      <c r="C2743" s="4">
        <v>44771.815458854173</v>
      </c>
      <c r="D2743" t="s">
        <v>2043</v>
      </c>
      <c r="E2743" t="s">
        <v>38</v>
      </c>
      <c r="F2743" t="s">
        <v>23</v>
      </c>
      <c r="G2743" t="s">
        <v>224</v>
      </c>
      <c r="H2743" t="s">
        <v>40</v>
      </c>
      <c r="I2743" t="s">
        <v>21</v>
      </c>
      <c r="J2743" t="s">
        <v>2044</v>
      </c>
    </row>
    <row r="2744" spans="1:10" x14ac:dyDescent="0.25">
      <c r="A2744">
        <v>27841229</v>
      </c>
      <c r="B2744" t="s">
        <v>17</v>
      </c>
      <c r="C2744" s="4">
        <v>44771.815522280092</v>
      </c>
      <c r="D2744" t="s">
        <v>2062</v>
      </c>
      <c r="E2744" t="s">
        <v>48</v>
      </c>
      <c r="F2744" t="s">
        <v>49</v>
      </c>
      <c r="G2744" t="s">
        <v>213</v>
      </c>
      <c r="H2744" t="s">
        <v>29</v>
      </c>
      <c r="I2744" t="s">
        <v>21</v>
      </c>
      <c r="J2744" t="s">
        <v>2063</v>
      </c>
    </row>
    <row r="2745" spans="1:10" x14ac:dyDescent="0.25">
      <c r="A2745">
        <v>27841241</v>
      </c>
      <c r="B2745" t="s">
        <v>17</v>
      </c>
      <c r="C2745" s="4">
        <v>44771.815576712957</v>
      </c>
      <c r="D2745" t="s">
        <v>2041</v>
      </c>
      <c r="E2745" t="s">
        <v>27</v>
      </c>
      <c r="F2745" t="s">
        <v>18</v>
      </c>
      <c r="G2745" t="s">
        <v>396</v>
      </c>
      <c r="H2745" t="s">
        <v>40</v>
      </c>
      <c r="I2745" t="s">
        <v>21</v>
      </c>
      <c r="J2745" t="s">
        <v>2042</v>
      </c>
    </row>
    <row r="2746" spans="1:10" x14ac:dyDescent="0.25">
      <c r="A2746">
        <v>27841248</v>
      </c>
      <c r="B2746" t="s">
        <v>17</v>
      </c>
      <c r="C2746" s="4">
        <v>44771.815897546287</v>
      </c>
      <c r="D2746" t="s">
        <v>2030</v>
      </c>
      <c r="E2746" t="s">
        <v>38</v>
      </c>
      <c r="F2746" t="s">
        <v>31</v>
      </c>
      <c r="G2746" t="s">
        <v>150</v>
      </c>
      <c r="H2746" t="s">
        <v>25</v>
      </c>
      <c r="I2746" t="s">
        <v>21</v>
      </c>
      <c r="J2746" t="s">
        <v>477</v>
      </c>
    </row>
    <row r="2747" spans="1:10" x14ac:dyDescent="0.25">
      <c r="A2747">
        <v>27841260</v>
      </c>
      <c r="B2747" t="s">
        <v>17</v>
      </c>
      <c r="C2747" s="4">
        <v>44771.815965949078</v>
      </c>
      <c r="D2747" t="s">
        <v>2043</v>
      </c>
      <c r="E2747" t="s">
        <v>38</v>
      </c>
      <c r="F2747" t="s">
        <v>23</v>
      </c>
      <c r="G2747" t="s">
        <v>224</v>
      </c>
      <c r="H2747" t="s">
        <v>25</v>
      </c>
      <c r="I2747" t="s">
        <v>21</v>
      </c>
      <c r="J2747" t="s">
        <v>2044</v>
      </c>
    </row>
    <row r="2748" spans="1:10" x14ac:dyDescent="0.25">
      <c r="A2748">
        <v>27841281</v>
      </c>
      <c r="B2748" t="s">
        <v>17</v>
      </c>
      <c r="C2748" s="4">
        <v>44771.816110960652</v>
      </c>
      <c r="D2748" t="s">
        <v>2041</v>
      </c>
      <c r="E2748" t="s">
        <v>27</v>
      </c>
      <c r="F2748" t="s">
        <v>18</v>
      </c>
      <c r="G2748" t="s">
        <v>396</v>
      </c>
      <c r="H2748" t="s">
        <v>25</v>
      </c>
      <c r="I2748" t="s">
        <v>21</v>
      </c>
      <c r="J2748" t="s">
        <v>2042</v>
      </c>
    </row>
    <row r="2749" spans="1:10" x14ac:dyDescent="0.25">
      <c r="A2749">
        <v>27841317</v>
      </c>
      <c r="B2749" t="s">
        <v>17</v>
      </c>
      <c r="C2749" s="4">
        <v>44771.817873043983</v>
      </c>
      <c r="D2749" t="s">
        <v>2050</v>
      </c>
      <c r="E2749" t="s">
        <v>22</v>
      </c>
      <c r="F2749" t="s">
        <v>52</v>
      </c>
      <c r="G2749" t="s">
        <v>234</v>
      </c>
      <c r="H2749" t="s">
        <v>40</v>
      </c>
      <c r="I2749" t="s">
        <v>21</v>
      </c>
      <c r="J2749" t="s">
        <v>474</v>
      </c>
    </row>
    <row r="2750" spans="1:10" x14ac:dyDescent="0.25">
      <c r="A2750">
        <v>27841323</v>
      </c>
      <c r="B2750" t="s">
        <v>17</v>
      </c>
      <c r="C2750" s="4">
        <v>44771.818161782408</v>
      </c>
      <c r="D2750" t="s">
        <v>2059</v>
      </c>
      <c r="E2750" t="s">
        <v>38</v>
      </c>
      <c r="F2750" t="s">
        <v>52</v>
      </c>
      <c r="G2750" t="s">
        <v>65</v>
      </c>
      <c r="H2750" t="s">
        <v>54</v>
      </c>
      <c r="I2750" t="s">
        <v>21</v>
      </c>
      <c r="J2750" t="s">
        <v>549</v>
      </c>
    </row>
    <row r="2751" spans="1:10" x14ac:dyDescent="0.25">
      <c r="A2751">
        <v>27841325</v>
      </c>
      <c r="B2751" t="s">
        <v>17</v>
      </c>
      <c r="C2751" s="4">
        <v>44771.8181640162</v>
      </c>
      <c r="D2751" t="s">
        <v>2064</v>
      </c>
      <c r="E2751" t="s">
        <v>62</v>
      </c>
      <c r="F2751" t="s">
        <v>57</v>
      </c>
      <c r="G2751" t="s">
        <v>244</v>
      </c>
      <c r="H2751" t="s">
        <v>29</v>
      </c>
      <c r="I2751" t="s">
        <v>21</v>
      </c>
      <c r="J2751" t="s">
        <v>2065</v>
      </c>
    </row>
    <row r="2752" spans="1:10" x14ac:dyDescent="0.25">
      <c r="A2752">
        <v>27841336</v>
      </c>
      <c r="B2752" t="s">
        <v>17</v>
      </c>
      <c r="C2752" s="4">
        <v>44771.818325706023</v>
      </c>
      <c r="D2752" t="s">
        <v>2050</v>
      </c>
      <c r="E2752" t="s">
        <v>22</v>
      </c>
      <c r="F2752" t="s">
        <v>52</v>
      </c>
      <c r="G2752" t="s">
        <v>234</v>
      </c>
      <c r="H2752" t="s">
        <v>25</v>
      </c>
      <c r="I2752" t="s">
        <v>21</v>
      </c>
      <c r="J2752" t="s">
        <v>474</v>
      </c>
    </row>
    <row r="2753" spans="1:10" x14ac:dyDescent="0.25">
      <c r="A2753">
        <v>27841354</v>
      </c>
      <c r="B2753" t="s">
        <v>17</v>
      </c>
      <c r="C2753" s="4">
        <v>44771.818731932872</v>
      </c>
      <c r="D2753" t="s">
        <v>2045</v>
      </c>
      <c r="E2753" t="s">
        <v>38</v>
      </c>
      <c r="F2753" t="s">
        <v>52</v>
      </c>
      <c r="G2753" t="s">
        <v>69</v>
      </c>
      <c r="H2753" t="s">
        <v>40</v>
      </c>
      <c r="I2753" t="s">
        <v>21</v>
      </c>
      <c r="J2753" t="s">
        <v>1643</v>
      </c>
    </row>
    <row r="2754" spans="1:10" x14ac:dyDescent="0.25">
      <c r="A2754">
        <v>27841360</v>
      </c>
      <c r="B2754" t="s">
        <v>17</v>
      </c>
      <c r="C2754" s="4">
        <v>44771.819202048609</v>
      </c>
      <c r="D2754" t="s">
        <v>2045</v>
      </c>
      <c r="E2754" t="s">
        <v>38</v>
      </c>
      <c r="F2754" t="s">
        <v>52</v>
      </c>
      <c r="G2754" t="s">
        <v>69</v>
      </c>
      <c r="H2754" t="s">
        <v>25</v>
      </c>
      <c r="I2754" t="s">
        <v>21</v>
      </c>
      <c r="J2754" t="s">
        <v>1643</v>
      </c>
    </row>
    <row r="2755" spans="1:10" x14ac:dyDescent="0.25">
      <c r="A2755">
        <v>27841375</v>
      </c>
      <c r="B2755" t="s">
        <v>17</v>
      </c>
      <c r="C2755" s="4">
        <v>44771.819294004628</v>
      </c>
      <c r="D2755" t="s">
        <v>2066</v>
      </c>
      <c r="E2755" t="s">
        <v>38</v>
      </c>
      <c r="F2755" t="s">
        <v>52</v>
      </c>
      <c r="G2755" t="s">
        <v>408</v>
      </c>
      <c r="H2755" t="s">
        <v>42</v>
      </c>
      <c r="I2755" t="s">
        <v>21</v>
      </c>
      <c r="J2755" t="s">
        <v>481</v>
      </c>
    </row>
    <row r="2756" spans="1:10" x14ac:dyDescent="0.25">
      <c r="A2756">
        <v>27841398</v>
      </c>
      <c r="B2756" t="s">
        <v>17</v>
      </c>
      <c r="C2756" s="4">
        <v>44771.819929155092</v>
      </c>
      <c r="D2756" t="s">
        <v>2051</v>
      </c>
      <c r="E2756" t="s">
        <v>38</v>
      </c>
      <c r="F2756" t="s">
        <v>23</v>
      </c>
      <c r="G2756" t="s">
        <v>120</v>
      </c>
      <c r="H2756" t="s">
        <v>40</v>
      </c>
      <c r="I2756" t="s">
        <v>21</v>
      </c>
      <c r="J2756" t="s">
        <v>498</v>
      </c>
    </row>
    <row r="2757" spans="1:10" x14ac:dyDescent="0.25">
      <c r="A2757">
        <v>27841400</v>
      </c>
      <c r="B2757" t="s">
        <v>17</v>
      </c>
      <c r="C2757" s="4">
        <v>44771.819995763894</v>
      </c>
      <c r="D2757" t="s">
        <v>2067</v>
      </c>
      <c r="E2757" t="s">
        <v>48</v>
      </c>
      <c r="F2757" t="s">
        <v>49</v>
      </c>
      <c r="G2757" t="s">
        <v>50</v>
      </c>
      <c r="H2757" t="s">
        <v>29</v>
      </c>
      <c r="I2757" t="s">
        <v>21</v>
      </c>
      <c r="J2757" t="s">
        <v>2068</v>
      </c>
    </row>
    <row r="2758" spans="1:10" x14ac:dyDescent="0.25">
      <c r="A2758">
        <v>27841411</v>
      </c>
      <c r="B2758" t="s">
        <v>17</v>
      </c>
      <c r="C2758" s="4">
        <v>44771.820063009262</v>
      </c>
      <c r="D2758" t="s">
        <v>2066</v>
      </c>
      <c r="E2758" t="s">
        <v>38</v>
      </c>
      <c r="F2758" t="s">
        <v>52</v>
      </c>
      <c r="G2758" t="s">
        <v>408</v>
      </c>
      <c r="H2758" t="s">
        <v>54</v>
      </c>
      <c r="I2758" t="s">
        <v>21</v>
      </c>
      <c r="J2758" t="s">
        <v>481</v>
      </c>
    </row>
    <row r="2759" spans="1:10" x14ac:dyDescent="0.25">
      <c r="A2759">
        <v>27841428</v>
      </c>
      <c r="B2759" t="s">
        <v>17</v>
      </c>
      <c r="C2759" s="4">
        <v>44771.820616712961</v>
      </c>
      <c r="D2759" t="s">
        <v>2051</v>
      </c>
      <c r="E2759" t="s">
        <v>38</v>
      </c>
      <c r="F2759" t="s">
        <v>23</v>
      </c>
      <c r="G2759" t="s">
        <v>120</v>
      </c>
      <c r="H2759" t="s">
        <v>25</v>
      </c>
      <c r="I2759" t="s">
        <v>21</v>
      </c>
      <c r="J2759" t="s">
        <v>498</v>
      </c>
    </row>
    <row r="2760" spans="1:10" x14ac:dyDescent="0.25">
      <c r="A2760">
        <v>27841451</v>
      </c>
      <c r="B2760" t="s">
        <v>17</v>
      </c>
      <c r="C2760" s="4">
        <v>44771.821494351847</v>
      </c>
      <c r="D2760" t="s">
        <v>2052</v>
      </c>
      <c r="E2760" t="s">
        <v>38</v>
      </c>
      <c r="F2760" t="s">
        <v>23</v>
      </c>
      <c r="G2760" t="s">
        <v>337</v>
      </c>
      <c r="H2760" t="s">
        <v>40</v>
      </c>
      <c r="I2760" t="s">
        <v>21</v>
      </c>
      <c r="J2760" t="s">
        <v>2053</v>
      </c>
    </row>
    <row r="2761" spans="1:10" x14ac:dyDescent="0.25">
      <c r="A2761">
        <v>27841455</v>
      </c>
      <c r="B2761" t="s">
        <v>17</v>
      </c>
      <c r="C2761" s="4">
        <v>44771.821706828698</v>
      </c>
      <c r="F2761" t="s">
        <v>52</v>
      </c>
      <c r="G2761" t="s">
        <v>400</v>
      </c>
      <c r="H2761" t="s">
        <v>20</v>
      </c>
      <c r="I2761" t="s">
        <v>21</v>
      </c>
    </row>
    <row r="2762" spans="1:10" x14ac:dyDescent="0.25">
      <c r="A2762">
        <v>27841461</v>
      </c>
      <c r="B2762" t="s">
        <v>17</v>
      </c>
      <c r="C2762" s="4">
        <v>44771.821888819453</v>
      </c>
      <c r="F2762" t="s">
        <v>31</v>
      </c>
      <c r="G2762" t="s">
        <v>39</v>
      </c>
      <c r="H2762" t="s">
        <v>20</v>
      </c>
      <c r="I2762" t="s">
        <v>21</v>
      </c>
    </row>
    <row r="2763" spans="1:10" x14ac:dyDescent="0.25">
      <c r="A2763">
        <v>27841467</v>
      </c>
      <c r="B2763" t="s">
        <v>17</v>
      </c>
      <c r="C2763" s="4">
        <v>44771.821951736107</v>
      </c>
      <c r="D2763" t="s">
        <v>2059</v>
      </c>
      <c r="E2763" t="s">
        <v>38</v>
      </c>
      <c r="F2763" t="s">
        <v>52</v>
      </c>
      <c r="G2763" t="s">
        <v>65</v>
      </c>
      <c r="H2763" t="s">
        <v>40</v>
      </c>
      <c r="I2763" t="s">
        <v>21</v>
      </c>
      <c r="J2763" t="s">
        <v>549</v>
      </c>
    </row>
    <row r="2764" spans="1:10" x14ac:dyDescent="0.25">
      <c r="A2764">
        <v>27841468</v>
      </c>
      <c r="B2764" t="s">
        <v>17</v>
      </c>
      <c r="C2764" s="4">
        <v>44771.821978738422</v>
      </c>
      <c r="D2764" t="s">
        <v>2052</v>
      </c>
      <c r="E2764" t="s">
        <v>38</v>
      </c>
      <c r="F2764" t="s">
        <v>23</v>
      </c>
      <c r="G2764" t="s">
        <v>337</v>
      </c>
      <c r="H2764" t="s">
        <v>25</v>
      </c>
      <c r="I2764" t="s">
        <v>21</v>
      </c>
      <c r="J2764" t="s">
        <v>2053</v>
      </c>
    </row>
    <row r="2765" spans="1:10" x14ac:dyDescent="0.25">
      <c r="A2765">
        <v>27841485</v>
      </c>
      <c r="B2765" t="s">
        <v>17</v>
      </c>
      <c r="C2765" s="4">
        <v>44771.822205092591</v>
      </c>
      <c r="F2765" t="s">
        <v>49</v>
      </c>
      <c r="G2765" t="s">
        <v>218</v>
      </c>
      <c r="H2765" t="s">
        <v>20</v>
      </c>
      <c r="I2765" t="s">
        <v>21</v>
      </c>
    </row>
    <row r="2766" spans="1:10" x14ac:dyDescent="0.25">
      <c r="A2766">
        <v>27841495</v>
      </c>
      <c r="B2766" t="s">
        <v>17</v>
      </c>
      <c r="C2766" s="4">
        <v>44771.822445451391</v>
      </c>
      <c r="D2766" t="s">
        <v>2059</v>
      </c>
      <c r="E2766" t="s">
        <v>38</v>
      </c>
      <c r="F2766" t="s">
        <v>52</v>
      </c>
      <c r="G2766" t="s">
        <v>65</v>
      </c>
      <c r="H2766" t="s">
        <v>25</v>
      </c>
      <c r="I2766" t="s">
        <v>21</v>
      </c>
      <c r="J2766" t="s">
        <v>549</v>
      </c>
    </row>
    <row r="2767" spans="1:10" x14ac:dyDescent="0.25">
      <c r="A2767">
        <v>27841516</v>
      </c>
      <c r="B2767" t="s">
        <v>17</v>
      </c>
      <c r="C2767" s="4">
        <v>44771.822766354169</v>
      </c>
      <c r="D2767" t="s">
        <v>2069</v>
      </c>
      <c r="E2767" t="s">
        <v>38</v>
      </c>
      <c r="F2767" t="s">
        <v>55</v>
      </c>
      <c r="G2767" t="s">
        <v>204</v>
      </c>
      <c r="H2767" t="s">
        <v>42</v>
      </c>
      <c r="I2767" t="s">
        <v>21</v>
      </c>
      <c r="J2767" t="s">
        <v>2070</v>
      </c>
    </row>
    <row r="2768" spans="1:10" x14ac:dyDescent="0.25">
      <c r="A2768">
        <v>27841548</v>
      </c>
      <c r="B2768" t="s">
        <v>17</v>
      </c>
      <c r="C2768" s="4">
        <v>44771.823068090278</v>
      </c>
      <c r="D2768" t="s">
        <v>2071</v>
      </c>
      <c r="E2768" t="s">
        <v>387</v>
      </c>
      <c r="F2768" t="s">
        <v>49</v>
      </c>
      <c r="G2768" t="s">
        <v>218</v>
      </c>
      <c r="H2768" t="s">
        <v>40</v>
      </c>
      <c r="I2768" t="s">
        <v>21</v>
      </c>
    </row>
    <row r="2769" spans="1:10" x14ac:dyDescent="0.25">
      <c r="A2769">
        <v>27841560</v>
      </c>
      <c r="B2769" t="s">
        <v>17</v>
      </c>
      <c r="C2769" s="4">
        <v>44771.823369108803</v>
      </c>
      <c r="F2769" t="s">
        <v>23</v>
      </c>
      <c r="G2769" t="s">
        <v>180</v>
      </c>
      <c r="H2769" t="s">
        <v>20</v>
      </c>
      <c r="I2769" t="s">
        <v>21</v>
      </c>
    </row>
    <row r="2770" spans="1:10" x14ac:dyDescent="0.25">
      <c r="A2770">
        <v>27841565</v>
      </c>
      <c r="B2770" t="s">
        <v>17</v>
      </c>
      <c r="C2770" s="4">
        <v>44771.823406412041</v>
      </c>
      <c r="D2770" t="s">
        <v>2072</v>
      </c>
      <c r="E2770" t="s">
        <v>38</v>
      </c>
      <c r="F2770" t="s">
        <v>49</v>
      </c>
      <c r="G2770" t="s">
        <v>80</v>
      </c>
      <c r="H2770" t="s">
        <v>29</v>
      </c>
      <c r="I2770" t="s">
        <v>21</v>
      </c>
      <c r="J2770" t="s">
        <v>2073</v>
      </c>
    </row>
    <row r="2771" spans="1:10" x14ac:dyDescent="0.25">
      <c r="A2771">
        <v>27841573</v>
      </c>
      <c r="B2771" t="s">
        <v>17</v>
      </c>
      <c r="C2771" s="4">
        <v>44771.823490439812</v>
      </c>
      <c r="D2771" t="s">
        <v>2071</v>
      </c>
      <c r="E2771" t="s">
        <v>387</v>
      </c>
      <c r="F2771" t="s">
        <v>49</v>
      </c>
      <c r="G2771" t="s">
        <v>218</v>
      </c>
      <c r="H2771" t="s">
        <v>25</v>
      </c>
      <c r="I2771" t="s">
        <v>21</v>
      </c>
    </row>
    <row r="2772" spans="1:10" x14ac:dyDescent="0.25">
      <c r="A2772">
        <v>27841591</v>
      </c>
      <c r="B2772" t="s">
        <v>17</v>
      </c>
      <c r="C2772" s="4">
        <v>44771.823692291669</v>
      </c>
      <c r="D2772" t="s">
        <v>2074</v>
      </c>
      <c r="E2772" t="s">
        <v>191</v>
      </c>
      <c r="F2772" t="s">
        <v>49</v>
      </c>
      <c r="G2772" t="s">
        <v>250</v>
      </c>
      <c r="H2772" t="s">
        <v>42</v>
      </c>
      <c r="I2772" t="s">
        <v>21</v>
      </c>
      <c r="J2772" t="s">
        <v>2075</v>
      </c>
    </row>
    <row r="2773" spans="1:10" x14ac:dyDescent="0.25">
      <c r="A2773">
        <v>27841603</v>
      </c>
      <c r="B2773" t="s">
        <v>17</v>
      </c>
      <c r="C2773" s="4">
        <v>44771.824357523154</v>
      </c>
      <c r="D2773" t="s">
        <v>2069</v>
      </c>
      <c r="E2773" t="s">
        <v>38</v>
      </c>
      <c r="F2773" t="s">
        <v>55</v>
      </c>
      <c r="G2773" t="s">
        <v>204</v>
      </c>
      <c r="H2773" t="s">
        <v>54</v>
      </c>
      <c r="I2773" t="s">
        <v>21</v>
      </c>
      <c r="J2773" t="s">
        <v>2070</v>
      </c>
    </row>
    <row r="2774" spans="1:10" x14ac:dyDescent="0.25">
      <c r="A2774">
        <v>27841622</v>
      </c>
      <c r="B2774" t="s">
        <v>17</v>
      </c>
      <c r="C2774" s="4">
        <v>44771.825081180563</v>
      </c>
      <c r="D2774" t="s">
        <v>2076</v>
      </c>
      <c r="E2774" t="s">
        <v>72</v>
      </c>
      <c r="F2774" t="s">
        <v>49</v>
      </c>
      <c r="G2774" t="s">
        <v>132</v>
      </c>
      <c r="H2774" t="s">
        <v>42</v>
      </c>
      <c r="I2774" t="s">
        <v>21</v>
      </c>
      <c r="J2774" t="s">
        <v>2077</v>
      </c>
    </row>
    <row r="2775" spans="1:10" x14ac:dyDescent="0.25">
      <c r="A2775">
        <v>27841633</v>
      </c>
      <c r="B2775" t="s">
        <v>17</v>
      </c>
      <c r="C2775" s="4">
        <v>44771.825312384259</v>
      </c>
      <c r="D2775" t="s">
        <v>2078</v>
      </c>
      <c r="E2775" t="s">
        <v>38</v>
      </c>
      <c r="F2775" t="s">
        <v>52</v>
      </c>
      <c r="G2775" t="s">
        <v>100</v>
      </c>
      <c r="H2775" t="s">
        <v>42</v>
      </c>
      <c r="I2775" t="s">
        <v>21</v>
      </c>
      <c r="J2775" t="s">
        <v>499</v>
      </c>
    </row>
    <row r="2776" spans="1:10" x14ac:dyDescent="0.25">
      <c r="A2776">
        <v>27841639</v>
      </c>
      <c r="B2776" t="s">
        <v>17</v>
      </c>
      <c r="C2776" s="4">
        <v>44771.825628067127</v>
      </c>
      <c r="D2776" t="s">
        <v>2076</v>
      </c>
      <c r="E2776" t="s">
        <v>72</v>
      </c>
      <c r="F2776" t="s">
        <v>49</v>
      </c>
      <c r="G2776" t="s">
        <v>132</v>
      </c>
      <c r="H2776" t="s">
        <v>239</v>
      </c>
      <c r="I2776" t="s">
        <v>21</v>
      </c>
      <c r="J2776" t="s">
        <v>2077</v>
      </c>
    </row>
    <row r="2777" spans="1:10" x14ac:dyDescent="0.25">
      <c r="A2777">
        <v>27841640</v>
      </c>
      <c r="B2777" t="s">
        <v>17</v>
      </c>
      <c r="C2777" s="4">
        <v>44771.825634675923</v>
      </c>
      <c r="D2777" t="s">
        <v>2076</v>
      </c>
      <c r="E2777" t="s">
        <v>72</v>
      </c>
      <c r="F2777" t="s">
        <v>49</v>
      </c>
      <c r="G2777" t="s">
        <v>132</v>
      </c>
      <c r="H2777" t="s">
        <v>240</v>
      </c>
      <c r="I2777" t="s">
        <v>21</v>
      </c>
      <c r="J2777" t="s">
        <v>2077</v>
      </c>
    </row>
    <row r="2778" spans="1:10" x14ac:dyDescent="0.25">
      <c r="A2778">
        <v>27841648</v>
      </c>
      <c r="B2778" t="s">
        <v>17</v>
      </c>
      <c r="C2778" s="4">
        <v>44771.82572173611</v>
      </c>
      <c r="D2778" t="s">
        <v>2079</v>
      </c>
      <c r="E2778" t="s">
        <v>38</v>
      </c>
      <c r="F2778" t="s">
        <v>31</v>
      </c>
      <c r="G2778" t="s">
        <v>133</v>
      </c>
      <c r="H2778" t="s">
        <v>40</v>
      </c>
      <c r="I2778" t="s">
        <v>21</v>
      </c>
    </row>
    <row r="2779" spans="1:10" x14ac:dyDescent="0.25">
      <c r="A2779">
        <v>27841658</v>
      </c>
      <c r="B2779" t="s">
        <v>17</v>
      </c>
      <c r="C2779" s="4">
        <v>44771.826140104167</v>
      </c>
      <c r="D2779" t="s">
        <v>2078</v>
      </c>
      <c r="E2779" t="s">
        <v>38</v>
      </c>
      <c r="F2779" t="s">
        <v>52</v>
      </c>
      <c r="G2779" t="s">
        <v>100</v>
      </c>
      <c r="H2779" t="s">
        <v>54</v>
      </c>
      <c r="I2779" t="s">
        <v>21</v>
      </c>
      <c r="J2779" t="s">
        <v>499</v>
      </c>
    </row>
    <row r="2780" spans="1:10" x14ac:dyDescent="0.25">
      <c r="A2780">
        <v>27841672</v>
      </c>
      <c r="B2780" t="s">
        <v>17</v>
      </c>
      <c r="C2780" s="4">
        <v>44771.826373321761</v>
      </c>
      <c r="D2780" t="s">
        <v>2079</v>
      </c>
      <c r="E2780" t="s">
        <v>38</v>
      </c>
      <c r="F2780" t="s">
        <v>31</v>
      </c>
      <c r="G2780" t="s">
        <v>133</v>
      </c>
      <c r="H2780" t="s">
        <v>25</v>
      </c>
      <c r="I2780" t="s">
        <v>21</v>
      </c>
    </row>
    <row r="2781" spans="1:10" x14ac:dyDescent="0.25">
      <c r="A2781">
        <v>27841696</v>
      </c>
      <c r="B2781" t="s">
        <v>17</v>
      </c>
      <c r="C2781" s="4">
        <v>44771.826817372683</v>
      </c>
      <c r="D2781" t="s">
        <v>2080</v>
      </c>
      <c r="E2781" t="s">
        <v>22</v>
      </c>
      <c r="F2781" t="s">
        <v>23</v>
      </c>
      <c r="G2781" t="s">
        <v>178</v>
      </c>
      <c r="H2781" t="s">
        <v>42</v>
      </c>
      <c r="I2781" t="s">
        <v>21</v>
      </c>
      <c r="J2781" t="s">
        <v>480</v>
      </c>
    </row>
    <row r="2782" spans="1:10" x14ac:dyDescent="0.25">
      <c r="A2782">
        <v>27841711</v>
      </c>
      <c r="B2782" t="s">
        <v>17</v>
      </c>
      <c r="C2782" s="4">
        <v>44771.827331828703</v>
      </c>
      <c r="D2782" t="s">
        <v>2066</v>
      </c>
      <c r="E2782" t="s">
        <v>38</v>
      </c>
      <c r="F2782" t="s">
        <v>52</v>
      </c>
      <c r="G2782" t="s">
        <v>408</v>
      </c>
      <c r="H2782" t="s">
        <v>40</v>
      </c>
      <c r="I2782" t="s">
        <v>21</v>
      </c>
      <c r="J2782" t="s">
        <v>481</v>
      </c>
    </row>
    <row r="2783" spans="1:10" x14ac:dyDescent="0.25">
      <c r="A2783">
        <v>27841714</v>
      </c>
      <c r="B2783" t="s">
        <v>17</v>
      </c>
      <c r="C2783" s="4">
        <v>44771.827490439813</v>
      </c>
      <c r="D2783" t="s">
        <v>2081</v>
      </c>
      <c r="E2783" t="s">
        <v>27</v>
      </c>
      <c r="F2783" t="s">
        <v>18</v>
      </c>
      <c r="G2783" t="s">
        <v>262</v>
      </c>
      <c r="H2783" t="s">
        <v>29</v>
      </c>
      <c r="I2783" t="s">
        <v>21</v>
      </c>
      <c r="J2783" t="s">
        <v>2082</v>
      </c>
    </row>
    <row r="2784" spans="1:10" x14ac:dyDescent="0.25">
      <c r="A2784">
        <v>27841723</v>
      </c>
      <c r="B2784" t="s">
        <v>17</v>
      </c>
      <c r="C2784" s="4">
        <v>44771.827719386572</v>
      </c>
      <c r="D2784" t="s">
        <v>2074</v>
      </c>
      <c r="E2784" t="s">
        <v>191</v>
      </c>
      <c r="F2784" t="s">
        <v>49</v>
      </c>
      <c r="G2784" t="s">
        <v>250</v>
      </c>
      <c r="H2784" t="s">
        <v>54</v>
      </c>
      <c r="I2784" t="s">
        <v>21</v>
      </c>
      <c r="J2784" t="s">
        <v>2075</v>
      </c>
    </row>
    <row r="2785" spans="1:10" x14ac:dyDescent="0.25">
      <c r="A2785">
        <v>27841728</v>
      </c>
      <c r="B2785" t="s">
        <v>17</v>
      </c>
      <c r="C2785" s="4">
        <v>44771.827798055558</v>
      </c>
      <c r="D2785" t="s">
        <v>2066</v>
      </c>
      <c r="E2785" t="s">
        <v>38</v>
      </c>
      <c r="F2785" t="s">
        <v>52</v>
      </c>
      <c r="G2785" t="s">
        <v>408</v>
      </c>
      <c r="H2785" t="s">
        <v>25</v>
      </c>
      <c r="I2785" t="s">
        <v>21</v>
      </c>
      <c r="J2785" t="s">
        <v>481</v>
      </c>
    </row>
    <row r="2786" spans="1:10" x14ac:dyDescent="0.25">
      <c r="A2786">
        <v>27841734</v>
      </c>
      <c r="B2786" t="s">
        <v>17</v>
      </c>
      <c r="C2786" s="4">
        <v>44771.827810983799</v>
      </c>
      <c r="D2786" t="s">
        <v>2080</v>
      </c>
      <c r="E2786" t="s">
        <v>22</v>
      </c>
      <c r="F2786" t="s">
        <v>23</v>
      </c>
      <c r="G2786" t="s">
        <v>178</v>
      </c>
      <c r="H2786" t="s">
        <v>54</v>
      </c>
      <c r="I2786" t="s">
        <v>21</v>
      </c>
      <c r="J2786" t="s">
        <v>480</v>
      </c>
    </row>
    <row r="2787" spans="1:10" x14ac:dyDescent="0.25">
      <c r="A2787">
        <v>27841750</v>
      </c>
      <c r="B2787" t="s">
        <v>17</v>
      </c>
      <c r="C2787" s="4">
        <v>44771.828090219897</v>
      </c>
      <c r="D2787" t="s">
        <v>2083</v>
      </c>
      <c r="E2787" t="s">
        <v>38</v>
      </c>
      <c r="F2787" t="s">
        <v>52</v>
      </c>
      <c r="G2787" t="s">
        <v>90</v>
      </c>
      <c r="H2787" t="s">
        <v>42</v>
      </c>
      <c r="I2787" t="s">
        <v>21</v>
      </c>
      <c r="J2787" t="s">
        <v>2084</v>
      </c>
    </row>
    <row r="2788" spans="1:10" x14ac:dyDescent="0.25">
      <c r="A2788">
        <v>27841764</v>
      </c>
      <c r="B2788" t="s">
        <v>17</v>
      </c>
      <c r="C2788" s="4">
        <v>44771.82885813657</v>
      </c>
      <c r="D2788" t="s">
        <v>2069</v>
      </c>
      <c r="E2788" t="s">
        <v>38</v>
      </c>
      <c r="F2788" t="s">
        <v>55</v>
      </c>
      <c r="G2788" t="s">
        <v>204</v>
      </c>
      <c r="H2788" t="s">
        <v>40</v>
      </c>
      <c r="I2788" t="s">
        <v>21</v>
      </c>
      <c r="J2788" t="s">
        <v>2070</v>
      </c>
    </row>
    <row r="2789" spans="1:10" x14ac:dyDescent="0.25">
      <c r="A2789">
        <v>27841776</v>
      </c>
      <c r="B2789" t="s">
        <v>17</v>
      </c>
      <c r="C2789" s="4">
        <v>44771.829321145837</v>
      </c>
      <c r="D2789" t="s">
        <v>2085</v>
      </c>
      <c r="E2789" t="s">
        <v>38</v>
      </c>
      <c r="F2789" t="s">
        <v>31</v>
      </c>
      <c r="G2789" t="s">
        <v>39</v>
      </c>
      <c r="H2789" t="s">
        <v>40</v>
      </c>
      <c r="I2789" t="s">
        <v>21</v>
      </c>
    </row>
    <row r="2790" spans="1:10" x14ac:dyDescent="0.25">
      <c r="A2790">
        <v>27841778</v>
      </c>
      <c r="B2790" t="s">
        <v>17</v>
      </c>
      <c r="C2790" s="4">
        <v>44771.829347384257</v>
      </c>
      <c r="D2790" t="s">
        <v>2069</v>
      </c>
      <c r="E2790" t="s">
        <v>38</v>
      </c>
      <c r="F2790" t="s">
        <v>55</v>
      </c>
      <c r="G2790" t="s">
        <v>204</v>
      </c>
      <c r="H2790" t="s">
        <v>25</v>
      </c>
      <c r="I2790" t="s">
        <v>21</v>
      </c>
      <c r="J2790" t="s">
        <v>2070</v>
      </c>
    </row>
    <row r="2791" spans="1:10" x14ac:dyDescent="0.25">
      <c r="A2791">
        <v>27841805</v>
      </c>
      <c r="B2791" t="s">
        <v>17</v>
      </c>
      <c r="C2791" s="4">
        <v>44771.829895995368</v>
      </c>
      <c r="D2791" t="s">
        <v>2086</v>
      </c>
      <c r="E2791" t="s">
        <v>62</v>
      </c>
      <c r="F2791" t="s">
        <v>57</v>
      </c>
      <c r="G2791" t="s">
        <v>244</v>
      </c>
      <c r="H2791" t="s">
        <v>42</v>
      </c>
      <c r="I2791" t="s">
        <v>21</v>
      </c>
      <c r="J2791" t="s">
        <v>2087</v>
      </c>
    </row>
    <row r="2792" spans="1:10" x14ac:dyDescent="0.25">
      <c r="A2792">
        <v>27841823</v>
      </c>
      <c r="B2792" t="s">
        <v>17</v>
      </c>
      <c r="C2792" s="4">
        <v>44771.830456261567</v>
      </c>
      <c r="D2792" t="s">
        <v>2085</v>
      </c>
      <c r="E2792" t="s">
        <v>38</v>
      </c>
      <c r="F2792" t="s">
        <v>31</v>
      </c>
      <c r="G2792" t="s">
        <v>39</v>
      </c>
      <c r="H2792" t="s">
        <v>25</v>
      </c>
      <c r="I2792" t="s">
        <v>21</v>
      </c>
    </row>
    <row r="2793" spans="1:10" x14ac:dyDescent="0.25">
      <c r="A2793">
        <v>27841837</v>
      </c>
      <c r="B2793" t="s">
        <v>17</v>
      </c>
      <c r="C2793" s="4">
        <v>44771.830662592591</v>
      </c>
      <c r="F2793" t="s">
        <v>31</v>
      </c>
      <c r="G2793" t="s">
        <v>157</v>
      </c>
      <c r="H2793" t="s">
        <v>20</v>
      </c>
      <c r="I2793" t="s">
        <v>21</v>
      </c>
    </row>
    <row r="2794" spans="1:10" x14ac:dyDescent="0.25">
      <c r="A2794">
        <v>27841840</v>
      </c>
      <c r="B2794" t="s">
        <v>17</v>
      </c>
      <c r="C2794" s="4">
        <v>44771.830690057868</v>
      </c>
      <c r="D2794" t="s">
        <v>2088</v>
      </c>
      <c r="E2794" t="s">
        <v>117</v>
      </c>
      <c r="F2794" t="s">
        <v>52</v>
      </c>
      <c r="G2794" t="s">
        <v>400</v>
      </c>
      <c r="H2794" t="s">
        <v>40</v>
      </c>
      <c r="I2794" t="s">
        <v>21</v>
      </c>
    </row>
    <row r="2795" spans="1:10" x14ac:dyDescent="0.25">
      <c r="A2795">
        <v>27841845</v>
      </c>
      <c r="B2795" t="s">
        <v>17</v>
      </c>
      <c r="C2795" s="4">
        <v>44771.830901458343</v>
      </c>
      <c r="D2795" t="s">
        <v>2083</v>
      </c>
      <c r="E2795" t="s">
        <v>38</v>
      </c>
      <c r="F2795" t="s">
        <v>52</v>
      </c>
      <c r="G2795" t="s">
        <v>90</v>
      </c>
      <c r="H2795" t="s">
        <v>54</v>
      </c>
      <c r="I2795" t="s">
        <v>21</v>
      </c>
      <c r="J2795" t="s">
        <v>2084</v>
      </c>
    </row>
    <row r="2796" spans="1:10" x14ac:dyDescent="0.25">
      <c r="A2796">
        <v>27841853</v>
      </c>
      <c r="B2796" t="s">
        <v>17</v>
      </c>
      <c r="C2796" s="4">
        <v>44771.831061053243</v>
      </c>
      <c r="D2796" t="s">
        <v>2089</v>
      </c>
      <c r="E2796" t="s">
        <v>62</v>
      </c>
      <c r="F2796" t="s">
        <v>49</v>
      </c>
      <c r="G2796" t="s">
        <v>359</v>
      </c>
      <c r="H2796" t="s">
        <v>29</v>
      </c>
      <c r="I2796" t="s">
        <v>21</v>
      </c>
      <c r="J2796" t="s">
        <v>2090</v>
      </c>
    </row>
    <row r="2797" spans="1:10" x14ac:dyDescent="0.25">
      <c r="A2797">
        <v>27841860</v>
      </c>
      <c r="B2797" t="s">
        <v>17</v>
      </c>
      <c r="C2797" s="4">
        <v>44771.831254884259</v>
      </c>
      <c r="D2797" t="s">
        <v>2088</v>
      </c>
      <c r="E2797" t="s">
        <v>117</v>
      </c>
      <c r="F2797" t="s">
        <v>52</v>
      </c>
      <c r="G2797" t="s">
        <v>400</v>
      </c>
      <c r="H2797" t="s">
        <v>25</v>
      </c>
      <c r="I2797" t="s">
        <v>21</v>
      </c>
    </row>
    <row r="2798" spans="1:10" x14ac:dyDescent="0.25">
      <c r="A2798">
        <v>27841872</v>
      </c>
      <c r="B2798" t="s">
        <v>17</v>
      </c>
      <c r="C2798" s="4">
        <v>44771.831634027767</v>
      </c>
      <c r="D2798" t="s">
        <v>2078</v>
      </c>
      <c r="E2798" t="s">
        <v>38</v>
      </c>
      <c r="F2798" t="s">
        <v>52</v>
      </c>
      <c r="G2798" t="s">
        <v>100</v>
      </c>
      <c r="H2798" t="s">
        <v>40</v>
      </c>
      <c r="I2798" t="s">
        <v>21</v>
      </c>
      <c r="J2798" t="s">
        <v>499</v>
      </c>
    </row>
    <row r="2799" spans="1:10" x14ac:dyDescent="0.25">
      <c r="A2799">
        <v>27841878</v>
      </c>
      <c r="B2799" t="s">
        <v>17</v>
      </c>
      <c r="C2799" s="4">
        <v>44771.831794050922</v>
      </c>
      <c r="D2799" t="s">
        <v>2091</v>
      </c>
      <c r="E2799" t="s">
        <v>184</v>
      </c>
      <c r="F2799" t="s">
        <v>57</v>
      </c>
      <c r="G2799" t="s">
        <v>76</v>
      </c>
      <c r="H2799" t="s">
        <v>42</v>
      </c>
      <c r="I2799" t="s">
        <v>21</v>
      </c>
      <c r="J2799" t="s">
        <v>2092</v>
      </c>
    </row>
    <row r="2800" spans="1:10" x14ac:dyDescent="0.25">
      <c r="A2800">
        <v>27841885</v>
      </c>
      <c r="B2800" t="s">
        <v>17</v>
      </c>
      <c r="C2800" s="4">
        <v>44771.832004745367</v>
      </c>
      <c r="D2800" t="s">
        <v>2086</v>
      </c>
      <c r="E2800" t="s">
        <v>62</v>
      </c>
      <c r="F2800" t="s">
        <v>57</v>
      </c>
      <c r="G2800" t="s">
        <v>244</v>
      </c>
      <c r="H2800" t="s">
        <v>54</v>
      </c>
      <c r="I2800" t="s">
        <v>21</v>
      </c>
      <c r="J2800" t="s">
        <v>2087</v>
      </c>
    </row>
    <row r="2801" spans="1:10" x14ac:dyDescent="0.25">
      <c r="A2801">
        <v>27841889</v>
      </c>
      <c r="B2801" t="s">
        <v>17</v>
      </c>
      <c r="C2801" s="4">
        <v>44771.832083900466</v>
      </c>
      <c r="D2801" t="s">
        <v>2078</v>
      </c>
      <c r="E2801" t="s">
        <v>38</v>
      </c>
      <c r="F2801" t="s">
        <v>52</v>
      </c>
      <c r="G2801" t="s">
        <v>100</v>
      </c>
      <c r="H2801" t="s">
        <v>25</v>
      </c>
      <c r="I2801" t="s">
        <v>21</v>
      </c>
      <c r="J2801" t="s">
        <v>499</v>
      </c>
    </row>
    <row r="2802" spans="1:10" x14ac:dyDescent="0.25">
      <c r="A2802">
        <v>27841906</v>
      </c>
      <c r="B2802" t="s">
        <v>17</v>
      </c>
      <c r="C2802" s="4">
        <v>44771.832991087962</v>
      </c>
      <c r="D2802" t="s">
        <v>2074</v>
      </c>
      <c r="E2802" t="s">
        <v>191</v>
      </c>
      <c r="F2802" t="s">
        <v>49</v>
      </c>
      <c r="G2802" t="s">
        <v>250</v>
      </c>
      <c r="H2802" t="s">
        <v>40</v>
      </c>
      <c r="I2802" t="s">
        <v>21</v>
      </c>
      <c r="J2802" t="s">
        <v>2075</v>
      </c>
    </row>
    <row r="2803" spans="1:10" x14ac:dyDescent="0.25">
      <c r="A2803">
        <v>27841918</v>
      </c>
      <c r="B2803" t="s">
        <v>17</v>
      </c>
      <c r="C2803" s="4">
        <v>44771.833581087973</v>
      </c>
      <c r="D2803" t="s">
        <v>2074</v>
      </c>
      <c r="E2803" t="s">
        <v>191</v>
      </c>
      <c r="F2803" t="s">
        <v>49</v>
      </c>
      <c r="G2803" t="s">
        <v>250</v>
      </c>
      <c r="H2803" t="s">
        <v>25</v>
      </c>
      <c r="I2803" t="s">
        <v>21</v>
      </c>
      <c r="J2803" t="s">
        <v>2075</v>
      </c>
    </row>
    <row r="2804" spans="1:10" x14ac:dyDescent="0.25">
      <c r="A2804">
        <v>27841952</v>
      </c>
      <c r="B2804" t="s">
        <v>17</v>
      </c>
      <c r="C2804" s="4">
        <v>44771.834060613422</v>
      </c>
      <c r="D2804" t="s">
        <v>2093</v>
      </c>
      <c r="E2804" t="s">
        <v>554</v>
      </c>
      <c r="F2804" t="s">
        <v>49</v>
      </c>
      <c r="G2804" t="s">
        <v>201</v>
      </c>
      <c r="H2804" t="s">
        <v>42</v>
      </c>
      <c r="I2804" t="s">
        <v>21</v>
      </c>
      <c r="J2804" t="s">
        <v>555</v>
      </c>
    </row>
    <row r="2805" spans="1:10" x14ac:dyDescent="0.25">
      <c r="A2805">
        <v>27841960</v>
      </c>
      <c r="B2805" t="s">
        <v>17</v>
      </c>
      <c r="C2805" s="4">
        <v>44771.834243993057</v>
      </c>
      <c r="D2805" t="s">
        <v>2080</v>
      </c>
      <c r="E2805" t="s">
        <v>22</v>
      </c>
      <c r="F2805" t="s">
        <v>23</v>
      </c>
      <c r="G2805" t="s">
        <v>178</v>
      </c>
      <c r="H2805" t="s">
        <v>40</v>
      </c>
      <c r="I2805" t="s">
        <v>21</v>
      </c>
      <c r="J2805" t="s">
        <v>480</v>
      </c>
    </row>
    <row r="2806" spans="1:10" x14ac:dyDescent="0.25">
      <c r="A2806">
        <v>27841969</v>
      </c>
      <c r="B2806" t="s">
        <v>17</v>
      </c>
      <c r="C2806" s="4">
        <v>44771.834652743048</v>
      </c>
      <c r="D2806" t="s">
        <v>2076</v>
      </c>
      <c r="E2806" t="s">
        <v>72</v>
      </c>
      <c r="F2806" t="s">
        <v>49</v>
      </c>
      <c r="G2806" t="s">
        <v>132</v>
      </c>
      <c r="H2806" t="s">
        <v>40</v>
      </c>
      <c r="I2806" t="s">
        <v>21</v>
      </c>
      <c r="J2806" t="s">
        <v>2077</v>
      </c>
    </row>
    <row r="2807" spans="1:10" x14ac:dyDescent="0.25">
      <c r="A2807">
        <v>27841976</v>
      </c>
      <c r="B2807" t="s">
        <v>17</v>
      </c>
      <c r="C2807" s="4">
        <v>44771.834794525457</v>
      </c>
      <c r="D2807" t="s">
        <v>2080</v>
      </c>
      <c r="E2807" t="s">
        <v>22</v>
      </c>
      <c r="F2807" t="s">
        <v>23</v>
      </c>
      <c r="G2807" t="s">
        <v>178</v>
      </c>
      <c r="H2807" t="s">
        <v>25</v>
      </c>
      <c r="I2807" t="s">
        <v>21</v>
      </c>
      <c r="J2807" t="s">
        <v>480</v>
      </c>
    </row>
    <row r="2808" spans="1:10" x14ac:dyDescent="0.25">
      <c r="A2808">
        <v>27841984</v>
      </c>
      <c r="B2808" t="s">
        <v>17</v>
      </c>
      <c r="C2808" s="4">
        <v>44771.834804305552</v>
      </c>
      <c r="D2808" t="s">
        <v>2094</v>
      </c>
      <c r="E2808" t="s">
        <v>38</v>
      </c>
      <c r="F2808" t="s">
        <v>23</v>
      </c>
      <c r="G2808" t="s">
        <v>149</v>
      </c>
      <c r="H2808" t="s">
        <v>42</v>
      </c>
      <c r="I2808" t="s">
        <v>21</v>
      </c>
      <c r="J2808" t="s">
        <v>548</v>
      </c>
    </row>
    <row r="2809" spans="1:10" x14ac:dyDescent="0.25">
      <c r="A2809">
        <v>27841998</v>
      </c>
      <c r="B2809" t="s">
        <v>17</v>
      </c>
      <c r="C2809" s="4">
        <v>44771.834931354169</v>
      </c>
      <c r="D2809" t="s">
        <v>2091</v>
      </c>
      <c r="E2809" t="s">
        <v>184</v>
      </c>
      <c r="F2809" t="s">
        <v>57</v>
      </c>
      <c r="G2809" t="s">
        <v>76</v>
      </c>
      <c r="H2809" t="s">
        <v>54</v>
      </c>
      <c r="I2809" t="s">
        <v>21</v>
      </c>
      <c r="J2809" t="s">
        <v>2092</v>
      </c>
    </row>
    <row r="2810" spans="1:10" x14ac:dyDescent="0.25">
      <c r="A2810">
        <v>27842002</v>
      </c>
      <c r="B2810" t="s">
        <v>17</v>
      </c>
      <c r="C2810" s="4">
        <v>44771.83499797454</v>
      </c>
      <c r="D2810" t="s">
        <v>2094</v>
      </c>
      <c r="E2810" t="s">
        <v>38</v>
      </c>
      <c r="F2810" t="s">
        <v>23</v>
      </c>
      <c r="G2810" t="s">
        <v>149</v>
      </c>
      <c r="H2810" t="s">
        <v>54</v>
      </c>
      <c r="I2810" t="s">
        <v>21</v>
      </c>
      <c r="J2810" t="s">
        <v>548</v>
      </c>
    </row>
    <row r="2811" spans="1:10" x14ac:dyDescent="0.25">
      <c r="A2811">
        <v>27842013</v>
      </c>
      <c r="B2811" t="s">
        <v>17</v>
      </c>
      <c r="C2811" s="4">
        <v>44771.835300509258</v>
      </c>
      <c r="D2811" t="s">
        <v>2076</v>
      </c>
      <c r="E2811" t="s">
        <v>72</v>
      </c>
      <c r="F2811" t="s">
        <v>49</v>
      </c>
      <c r="G2811" t="s">
        <v>132</v>
      </c>
      <c r="H2811" t="s">
        <v>25</v>
      </c>
      <c r="I2811" t="s">
        <v>21</v>
      </c>
      <c r="J2811" t="s">
        <v>2077</v>
      </c>
    </row>
    <row r="2812" spans="1:10" x14ac:dyDescent="0.25">
      <c r="A2812">
        <v>27842052</v>
      </c>
      <c r="B2812" t="s">
        <v>17</v>
      </c>
      <c r="C2812" s="4">
        <v>44771.836552615743</v>
      </c>
      <c r="D2812" t="s">
        <v>2083</v>
      </c>
      <c r="E2812" t="s">
        <v>38</v>
      </c>
      <c r="F2812" t="s">
        <v>52</v>
      </c>
      <c r="G2812" t="s">
        <v>90</v>
      </c>
      <c r="H2812" t="s">
        <v>40</v>
      </c>
      <c r="I2812" t="s">
        <v>21</v>
      </c>
      <c r="J2812" t="s">
        <v>2084</v>
      </c>
    </row>
    <row r="2813" spans="1:10" x14ac:dyDescent="0.25">
      <c r="A2813">
        <v>27842053</v>
      </c>
      <c r="B2813" t="s">
        <v>17</v>
      </c>
      <c r="C2813" s="4">
        <v>44771.836623402778</v>
      </c>
      <c r="D2813" t="s">
        <v>2095</v>
      </c>
      <c r="E2813" t="s">
        <v>191</v>
      </c>
      <c r="F2813" t="s">
        <v>49</v>
      </c>
      <c r="G2813" t="s">
        <v>128</v>
      </c>
      <c r="H2813" t="s">
        <v>29</v>
      </c>
      <c r="I2813" t="s">
        <v>21</v>
      </c>
      <c r="J2813" t="s">
        <v>450</v>
      </c>
    </row>
    <row r="2814" spans="1:10" x14ac:dyDescent="0.25">
      <c r="A2814">
        <v>27842074</v>
      </c>
      <c r="B2814" t="s">
        <v>17</v>
      </c>
      <c r="C2814" s="4">
        <v>44771.836887013887</v>
      </c>
      <c r="D2814" t="s">
        <v>2096</v>
      </c>
      <c r="E2814" t="s">
        <v>27</v>
      </c>
      <c r="F2814" t="s">
        <v>18</v>
      </c>
      <c r="G2814" t="s">
        <v>183</v>
      </c>
      <c r="H2814" t="s">
        <v>42</v>
      </c>
      <c r="I2814" t="s">
        <v>21</v>
      </c>
      <c r="J2814" t="s">
        <v>496</v>
      </c>
    </row>
    <row r="2815" spans="1:10" x14ac:dyDescent="0.25">
      <c r="A2815">
        <v>27842085</v>
      </c>
      <c r="B2815" t="s">
        <v>17</v>
      </c>
      <c r="C2815" s="4">
        <v>44771.837059178237</v>
      </c>
      <c r="D2815" t="s">
        <v>2083</v>
      </c>
      <c r="E2815" t="s">
        <v>38</v>
      </c>
      <c r="F2815" t="s">
        <v>52</v>
      </c>
      <c r="G2815" t="s">
        <v>90</v>
      </c>
      <c r="H2815" t="s">
        <v>25</v>
      </c>
      <c r="I2815" t="s">
        <v>21</v>
      </c>
      <c r="J2815" t="s">
        <v>2084</v>
      </c>
    </row>
    <row r="2816" spans="1:10" x14ac:dyDescent="0.25">
      <c r="A2816">
        <v>27842100</v>
      </c>
      <c r="B2816" t="s">
        <v>17</v>
      </c>
      <c r="C2816" s="4">
        <v>44771.837409548607</v>
      </c>
      <c r="D2816" t="s">
        <v>2097</v>
      </c>
      <c r="E2816" t="s">
        <v>117</v>
      </c>
      <c r="F2816" t="s">
        <v>23</v>
      </c>
      <c r="G2816" t="s">
        <v>180</v>
      </c>
      <c r="H2816" t="s">
        <v>40</v>
      </c>
      <c r="I2816" t="s">
        <v>21</v>
      </c>
    </row>
    <row r="2817" spans="1:10" x14ac:dyDescent="0.25">
      <c r="A2817">
        <v>27842106</v>
      </c>
      <c r="B2817" t="s">
        <v>17</v>
      </c>
      <c r="C2817" s="4">
        <v>44771.837495694454</v>
      </c>
      <c r="D2817" t="s">
        <v>2098</v>
      </c>
      <c r="E2817" t="s">
        <v>27</v>
      </c>
      <c r="F2817" t="s">
        <v>18</v>
      </c>
      <c r="G2817" t="s">
        <v>236</v>
      </c>
      <c r="H2817" t="s">
        <v>29</v>
      </c>
      <c r="I2817" t="s">
        <v>21</v>
      </c>
      <c r="J2817" t="s">
        <v>2099</v>
      </c>
    </row>
    <row r="2818" spans="1:10" x14ac:dyDescent="0.25">
      <c r="A2818">
        <v>27842113</v>
      </c>
      <c r="B2818" t="s">
        <v>17</v>
      </c>
      <c r="C2818" s="4">
        <v>44771.837536481478</v>
      </c>
      <c r="D2818" t="s">
        <v>2100</v>
      </c>
      <c r="E2818" t="s">
        <v>27</v>
      </c>
      <c r="F2818" t="s">
        <v>18</v>
      </c>
      <c r="G2818" t="s">
        <v>236</v>
      </c>
      <c r="H2818" t="s">
        <v>42</v>
      </c>
      <c r="I2818" t="s">
        <v>21</v>
      </c>
      <c r="J2818" t="s">
        <v>2101</v>
      </c>
    </row>
    <row r="2819" spans="1:10" x14ac:dyDescent="0.25">
      <c r="A2819">
        <v>27842126</v>
      </c>
      <c r="B2819" t="s">
        <v>17</v>
      </c>
      <c r="C2819" s="4">
        <v>44771.837926354157</v>
      </c>
      <c r="D2819" t="s">
        <v>2086</v>
      </c>
      <c r="E2819" t="s">
        <v>62</v>
      </c>
      <c r="F2819" t="s">
        <v>57</v>
      </c>
      <c r="G2819" t="s">
        <v>244</v>
      </c>
      <c r="H2819" t="s">
        <v>40</v>
      </c>
      <c r="I2819" t="s">
        <v>21</v>
      </c>
      <c r="J2819" t="s">
        <v>2087</v>
      </c>
    </row>
    <row r="2820" spans="1:10" x14ac:dyDescent="0.25">
      <c r="A2820">
        <v>27842128</v>
      </c>
      <c r="B2820" t="s">
        <v>17</v>
      </c>
      <c r="C2820" s="4">
        <v>44771.83799925926</v>
      </c>
      <c r="D2820" t="s">
        <v>2097</v>
      </c>
      <c r="E2820" t="s">
        <v>117</v>
      </c>
      <c r="F2820" t="s">
        <v>23</v>
      </c>
      <c r="G2820" t="s">
        <v>180</v>
      </c>
      <c r="H2820" t="s">
        <v>25</v>
      </c>
      <c r="I2820" t="s">
        <v>21</v>
      </c>
    </row>
    <row r="2821" spans="1:10" x14ac:dyDescent="0.25">
      <c r="A2821">
        <v>27842143</v>
      </c>
      <c r="B2821" t="s">
        <v>17</v>
      </c>
      <c r="C2821" s="4">
        <v>44771.838394907412</v>
      </c>
      <c r="D2821" t="s">
        <v>2086</v>
      </c>
      <c r="E2821" t="s">
        <v>62</v>
      </c>
      <c r="F2821" t="s">
        <v>57</v>
      </c>
      <c r="G2821" t="s">
        <v>244</v>
      </c>
      <c r="H2821" t="s">
        <v>25</v>
      </c>
      <c r="I2821" t="s">
        <v>21</v>
      </c>
      <c r="J2821" t="s">
        <v>2087</v>
      </c>
    </row>
    <row r="2822" spans="1:10" x14ac:dyDescent="0.25">
      <c r="A2822">
        <v>27842165</v>
      </c>
      <c r="B2822" t="s">
        <v>17</v>
      </c>
      <c r="C2822" s="4">
        <v>44771.839101111109</v>
      </c>
      <c r="D2822" t="s">
        <v>2091</v>
      </c>
      <c r="E2822" t="s">
        <v>184</v>
      </c>
      <c r="F2822" t="s">
        <v>57</v>
      </c>
      <c r="G2822" t="s">
        <v>76</v>
      </c>
      <c r="H2822" t="s">
        <v>40</v>
      </c>
      <c r="I2822" t="s">
        <v>21</v>
      </c>
      <c r="J2822" t="s">
        <v>2092</v>
      </c>
    </row>
    <row r="2823" spans="1:10" x14ac:dyDescent="0.25">
      <c r="A2823">
        <v>27842167</v>
      </c>
      <c r="B2823" t="s">
        <v>17</v>
      </c>
      <c r="C2823" s="4">
        <v>44771.8391825</v>
      </c>
      <c r="D2823" t="s">
        <v>2102</v>
      </c>
      <c r="E2823" t="s">
        <v>38</v>
      </c>
      <c r="F2823" t="s">
        <v>23</v>
      </c>
      <c r="G2823" t="s">
        <v>172</v>
      </c>
      <c r="H2823" t="s">
        <v>29</v>
      </c>
      <c r="I2823" t="s">
        <v>21</v>
      </c>
    </row>
    <row r="2824" spans="1:10" x14ac:dyDescent="0.25">
      <c r="A2824">
        <v>27842179</v>
      </c>
      <c r="B2824" t="s">
        <v>17</v>
      </c>
      <c r="C2824" s="4">
        <v>44771.839372766197</v>
      </c>
      <c r="D2824" t="s">
        <v>2091</v>
      </c>
      <c r="E2824" t="s">
        <v>184</v>
      </c>
      <c r="F2824" t="s">
        <v>57</v>
      </c>
      <c r="G2824" t="s">
        <v>76</v>
      </c>
      <c r="H2824" t="s">
        <v>25</v>
      </c>
      <c r="I2824" t="s">
        <v>21</v>
      </c>
      <c r="J2824" t="s">
        <v>2092</v>
      </c>
    </row>
    <row r="2825" spans="1:10" x14ac:dyDescent="0.25">
      <c r="A2825">
        <v>27842196</v>
      </c>
      <c r="B2825" t="s">
        <v>17</v>
      </c>
      <c r="C2825" s="4">
        <v>44771.839491307866</v>
      </c>
      <c r="D2825" t="s">
        <v>2103</v>
      </c>
      <c r="E2825" t="s">
        <v>30</v>
      </c>
      <c r="F2825" t="s">
        <v>52</v>
      </c>
      <c r="G2825" t="s">
        <v>220</v>
      </c>
      <c r="H2825" t="s">
        <v>42</v>
      </c>
      <c r="I2825" t="s">
        <v>21</v>
      </c>
      <c r="J2825" t="s">
        <v>37</v>
      </c>
    </row>
    <row r="2826" spans="1:10" x14ac:dyDescent="0.25">
      <c r="A2826">
        <v>27842198</v>
      </c>
      <c r="B2826" t="s">
        <v>17</v>
      </c>
      <c r="C2826" s="4">
        <v>44771.8394978125</v>
      </c>
      <c r="D2826" t="s">
        <v>1638</v>
      </c>
      <c r="E2826" t="s">
        <v>38</v>
      </c>
      <c r="F2826" t="s">
        <v>55</v>
      </c>
      <c r="G2826" t="s">
        <v>422</v>
      </c>
      <c r="H2826" t="s">
        <v>54</v>
      </c>
      <c r="I2826" t="s">
        <v>21</v>
      </c>
      <c r="J2826" t="s">
        <v>458</v>
      </c>
    </row>
    <row r="2827" spans="1:10" x14ac:dyDescent="0.25">
      <c r="A2827">
        <v>27842208</v>
      </c>
      <c r="B2827" t="s">
        <v>17</v>
      </c>
      <c r="C2827" s="4">
        <v>44771.83962053241</v>
      </c>
      <c r="D2827" t="s">
        <v>2104</v>
      </c>
      <c r="E2827" t="s">
        <v>22</v>
      </c>
      <c r="F2827" t="s">
        <v>23</v>
      </c>
      <c r="G2827" t="s">
        <v>24</v>
      </c>
      <c r="H2827" t="s">
        <v>42</v>
      </c>
      <c r="I2827" t="s">
        <v>21</v>
      </c>
      <c r="J2827" t="s">
        <v>476</v>
      </c>
    </row>
    <row r="2828" spans="1:10" x14ac:dyDescent="0.25">
      <c r="A2828">
        <v>27842216</v>
      </c>
      <c r="B2828" t="s">
        <v>17</v>
      </c>
      <c r="C2828" s="4">
        <v>44771.839979826393</v>
      </c>
      <c r="D2828" t="s">
        <v>2096</v>
      </c>
      <c r="E2828" t="s">
        <v>27</v>
      </c>
      <c r="F2828" t="s">
        <v>18</v>
      </c>
      <c r="G2828" t="s">
        <v>183</v>
      </c>
      <c r="H2828" t="s">
        <v>54</v>
      </c>
      <c r="I2828" t="s">
        <v>21</v>
      </c>
      <c r="J2828" t="s">
        <v>496</v>
      </c>
    </row>
    <row r="2829" spans="1:10" x14ac:dyDescent="0.25">
      <c r="A2829">
        <v>27842222</v>
      </c>
      <c r="B2829" t="s">
        <v>17</v>
      </c>
      <c r="C2829" s="4">
        <v>44771.840020868047</v>
      </c>
      <c r="D2829" t="s">
        <v>2100</v>
      </c>
      <c r="E2829" t="s">
        <v>27</v>
      </c>
      <c r="F2829" t="s">
        <v>18</v>
      </c>
      <c r="G2829" t="s">
        <v>236</v>
      </c>
      <c r="H2829" t="s">
        <v>54</v>
      </c>
      <c r="I2829" t="s">
        <v>21</v>
      </c>
      <c r="J2829" t="s">
        <v>2101</v>
      </c>
    </row>
    <row r="2830" spans="1:10" x14ac:dyDescent="0.25">
      <c r="A2830">
        <v>27842227</v>
      </c>
      <c r="B2830" t="s">
        <v>17</v>
      </c>
      <c r="C2830" s="4">
        <v>44771.8402421875</v>
      </c>
      <c r="D2830" t="s">
        <v>2093</v>
      </c>
      <c r="E2830" t="s">
        <v>554</v>
      </c>
      <c r="F2830" t="s">
        <v>49</v>
      </c>
      <c r="G2830" t="s">
        <v>201</v>
      </c>
      <c r="H2830" t="s">
        <v>54</v>
      </c>
      <c r="I2830" t="s">
        <v>21</v>
      </c>
      <c r="J2830" t="s">
        <v>555</v>
      </c>
    </row>
    <row r="2831" spans="1:10" x14ac:dyDescent="0.25">
      <c r="A2831">
        <v>27842242</v>
      </c>
      <c r="B2831" t="s">
        <v>17</v>
      </c>
      <c r="C2831" s="4">
        <v>44771.840532638889</v>
      </c>
      <c r="D2831" t="s">
        <v>2105</v>
      </c>
      <c r="E2831" t="s">
        <v>38</v>
      </c>
      <c r="F2831" t="s">
        <v>57</v>
      </c>
      <c r="G2831" t="s">
        <v>411</v>
      </c>
      <c r="H2831" t="s">
        <v>42</v>
      </c>
      <c r="I2831" t="s">
        <v>21</v>
      </c>
      <c r="J2831" t="s">
        <v>363</v>
      </c>
    </row>
    <row r="2832" spans="1:10" x14ac:dyDescent="0.25">
      <c r="A2832">
        <v>27842255</v>
      </c>
      <c r="B2832" t="s">
        <v>17</v>
      </c>
      <c r="C2832" s="4">
        <v>44771.841181747688</v>
      </c>
      <c r="D2832" t="s">
        <v>2106</v>
      </c>
      <c r="E2832" t="s">
        <v>191</v>
      </c>
      <c r="F2832" t="s">
        <v>49</v>
      </c>
      <c r="G2832" t="s">
        <v>247</v>
      </c>
      <c r="H2832" t="s">
        <v>29</v>
      </c>
      <c r="I2832" t="s">
        <v>21</v>
      </c>
      <c r="J2832" t="s">
        <v>2107</v>
      </c>
    </row>
    <row r="2833" spans="1:10" x14ac:dyDescent="0.25">
      <c r="A2833">
        <v>27842268</v>
      </c>
      <c r="B2833" t="s">
        <v>17</v>
      </c>
      <c r="C2833" s="4">
        <v>44771.841298263891</v>
      </c>
      <c r="D2833" t="s">
        <v>2094</v>
      </c>
      <c r="E2833" t="s">
        <v>38</v>
      </c>
      <c r="F2833" t="s">
        <v>23</v>
      </c>
      <c r="G2833" t="s">
        <v>149</v>
      </c>
      <c r="H2833" t="s">
        <v>40</v>
      </c>
      <c r="I2833" t="s">
        <v>21</v>
      </c>
      <c r="J2833" t="s">
        <v>548</v>
      </c>
    </row>
    <row r="2834" spans="1:10" x14ac:dyDescent="0.25">
      <c r="A2834">
        <v>27842273</v>
      </c>
      <c r="B2834" t="s">
        <v>17</v>
      </c>
      <c r="C2834" s="4">
        <v>44771.841697256947</v>
      </c>
      <c r="D2834" t="s">
        <v>2094</v>
      </c>
      <c r="E2834" t="s">
        <v>38</v>
      </c>
      <c r="F2834" t="s">
        <v>23</v>
      </c>
      <c r="G2834" t="s">
        <v>149</v>
      </c>
      <c r="H2834" t="s">
        <v>25</v>
      </c>
      <c r="I2834" t="s">
        <v>21</v>
      </c>
      <c r="J2834" t="s">
        <v>548</v>
      </c>
    </row>
    <row r="2835" spans="1:10" x14ac:dyDescent="0.25">
      <c r="A2835">
        <v>27842283</v>
      </c>
      <c r="B2835" t="s">
        <v>17</v>
      </c>
      <c r="C2835" s="4">
        <v>44771.841744282407</v>
      </c>
      <c r="D2835" t="s">
        <v>2100</v>
      </c>
      <c r="E2835" t="s">
        <v>27</v>
      </c>
      <c r="F2835" t="s">
        <v>18</v>
      </c>
      <c r="G2835" t="s">
        <v>236</v>
      </c>
      <c r="H2835" t="s">
        <v>40</v>
      </c>
      <c r="I2835" t="s">
        <v>21</v>
      </c>
      <c r="J2835" t="s">
        <v>2101</v>
      </c>
    </row>
    <row r="2836" spans="1:10" x14ac:dyDescent="0.25">
      <c r="A2836">
        <v>27842288</v>
      </c>
      <c r="B2836" t="s">
        <v>17</v>
      </c>
      <c r="C2836" s="4">
        <v>44771.841831689817</v>
      </c>
      <c r="D2836" t="s">
        <v>2093</v>
      </c>
      <c r="E2836" t="s">
        <v>554</v>
      </c>
      <c r="F2836" t="s">
        <v>49</v>
      </c>
      <c r="G2836" t="s">
        <v>201</v>
      </c>
      <c r="H2836" t="s">
        <v>40</v>
      </c>
      <c r="I2836" t="s">
        <v>21</v>
      </c>
      <c r="J2836" t="s">
        <v>555</v>
      </c>
    </row>
    <row r="2837" spans="1:10" x14ac:dyDescent="0.25">
      <c r="A2837">
        <v>27842301</v>
      </c>
      <c r="B2837" t="s">
        <v>17</v>
      </c>
      <c r="C2837" s="4">
        <v>44771.84221865741</v>
      </c>
      <c r="D2837" t="s">
        <v>2100</v>
      </c>
      <c r="E2837" t="s">
        <v>27</v>
      </c>
      <c r="F2837" t="s">
        <v>18</v>
      </c>
      <c r="G2837" t="s">
        <v>236</v>
      </c>
      <c r="H2837" t="s">
        <v>25</v>
      </c>
      <c r="I2837" t="s">
        <v>21</v>
      </c>
      <c r="J2837" t="s">
        <v>2101</v>
      </c>
    </row>
    <row r="2838" spans="1:10" x14ac:dyDescent="0.25">
      <c r="A2838">
        <v>27842308</v>
      </c>
      <c r="B2838" t="s">
        <v>17</v>
      </c>
      <c r="C2838" s="4">
        <v>44771.842231296287</v>
      </c>
      <c r="D2838" t="s">
        <v>2104</v>
      </c>
      <c r="E2838" t="s">
        <v>22</v>
      </c>
      <c r="F2838" t="s">
        <v>23</v>
      </c>
      <c r="G2838" t="s">
        <v>24</v>
      </c>
      <c r="H2838" t="s">
        <v>54</v>
      </c>
      <c r="I2838" t="s">
        <v>21</v>
      </c>
      <c r="J2838" t="s">
        <v>476</v>
      </c>
    </row>
    <row r="2839" spans="1:10" x14ac:dyDescent="0.25">
      <c r="A2839">
        <v>27842318</v>
      </c>
      <c r="B2839" t="s">
        <v>17</v>
      </c>
      <c r="C2839" s="4">
        <v>44771.84244064815</v>
      </c>
      <c r="D2839" t="s">
        <v>2093</v>
      </c>
      <c r="E2839" t="s">
        <v>554</v>
      </c>
      <c r="F2839" t="s">
        <v>49</v>
      </c>
      <c r="G2839" t="s">
        <v>201</v>
      </c>
      <c r="H2839" t="s">
        <v>25</v>
      </c>
      <c r="I2839" t="s">
        <v>21</v>
      </c>
      <c r="J2839" t="s">
        <v>555</v>
      </c>
    </row>
    <row r="2840" spans="1:10" x14ac:dyDescent="0.25">
      <c r="A2840">
        <v>27842337</v>
      </c>
      <c r="B2840" t="s">
        <v>17</v>
      </c>
      <c r="C2840" s="4">
        <v>44771.842960173613</v>
      </c>
      <c r="D2840" t="s">
        <v>2103</v>
      </c>
      <c r="E2840" t="s">
        <v>30</v>
      </c>
      <c r="F2840" t="s">
        <v>52</v>
      </c>
      <c r="G2840" t="s">
        <v>220</v>
      </c>
      <c r="H2840" t="s">
        <v>54</v>
      </c>
      <c r="I2840" t="s">
        <v>21</v>
      </c>
      <c r="J2840" t="s">
        <v>37</v>
      </c>
    </row>
    <row r="2841" spans="1:10" x14ac:dyDescent="0.25">
      <c r="A2841">
        <v>27842340</v>
      </c>
      <c r="B2841" t="s">
        <v>17</v>
      </c>
      <c r="C2841" s="4">
        <v>44771.842976145832</v>
      </c>
      <c r="D2841" t="s">
        <v>2096</v>
      </c>
      <c r="E2841" t="s">
        <v>27</v>
      </c>
      <c r="F2841" t="s">
        <v>18</v>
      </c>
      <c r="G2841" t="s">
        <v>183</v>
      </c>
      <c r="H2841" t="s">
        <v>40</v>
      </c>
      <c r="I2841" t="s">
        <v>21</v>
      </c>
      <c r="J2841" t="s">
        <v>496</v>
      </c>
    </row>
    <row r="2842" spans="1:10" x14ac:dyDescent="0.25">
      <c r="A2842">
        <v>27842349</v>
      </c>
      <c r="B2842" t="s">
        <v>17</v>
      </c>
      <c r="C2842" s="4">
        <v>44771.843254363434</v>
      </c>
      <c r="D2842" t="s">
        <v>2105</v>
      </c>
      <c r="E2842" t="s">
        <v>38</v>
      </c>
      <c r="F2842" t="s">
        <v>57</v>
      </c>
      <c r="G2842" t="s">
        <v>411</v>
      </c>
      <c r="H2842" t="s">
        <v>54</v>
      </c>
      <c r="I2842" t="s">
        <v>21</v>
      </c>
      <c r="J2842" t="s">
        <v>363</v>
      </c>
    </row>
    <row r="2843" spans="1:10" x14ac:dyDescent="0.25">
      <c r="A2843">
        <v>27842358</v>
      </c>
      <c r="B2843" t="s">
        <v>17</v>
      </c>
      <c r="C2843" s="4">
        <v>44771.843488726852</v>
      </c>
      <c r="D2843" t="s">
        <v>2096</v>
      </c>
      <c r="E2843" t="s">
        <v>27</v>
      </c>
      <c r="F2843" t="s">
        <v>18</v>
      </c>
      <c r="G2843" t="s">
        <v>183</v>
      </c>
      <c r="H2843" t="s">
        <v>25</v>
      </c>
      <c r="I2843" t="s">
        <v>21</v>
      </c>
      <c r="J2843" t="s">
        <v>496</v>
      </c>
    </row>
    <row r="2844" spans="1:10" x14ac:dyDescent="0.25">
      <c r="A2844">
        <v>27842373</v>
      </c>
      <c r="B2844" t="s">
        <v>17</v>
      </c>
      <c r="C2844" s="4">
        <v>44771.843542465278</v>
      </c>
      <c r="D2844" t="s">
        <v>2108</v>
      </c>
      <c r="E2844" t="s">
        <v>38</v>
      </c>
      <c r="F2844" t="s">
        <v>49</v>
      </c>
      <c r="G2844" t="s">
        <v>130</v>
      </c>
      <c r="H2844" t="s">
        <v>42</v>
      </c>
      <c r="I2844" t="s">
        <v>21</v>
      </c>
      <c r="J2844" t="s">
        <v>2109</v>
      </c>
    </row>
    <row r="2845" spans="1:10" x14ac:dyDescent="0.25">
      <c r="A2845">
        <v>27842404</v>
      </c>
      <c r="B2845" t="s">
        <v>17</v>
      </c>
      <c r="C2845" s="4">
        <v>44771.844294571762</v>
      </c>
      <c r="D2845" t="s">
        <v>2110</v>
      </c>
      <c r="E2845" t="s">
        <v>22</v>
      </c>
      <c r="F2845" t="s">
        <v>23</v>
      </c>
      <c r="G2845" t="s">
        <v>140</v>
      </c>
      <c r="H2845" t="s">
        <v>42</v>
      </c>
      <c r="I2845" t="s">
        <v>21</v>
      </c>
      <c r="J2845" t="s">
        <v>551</v>
      </c>
    </row>
    <row r="2846" spans="1:10" x14ac:dyDescent="0.25">
      <c r="A2846">
        <v>27842407</v>
      </c>
      <c r="B2846" t="s">
        <v>17</v>
      </c>
      <c r="C2846" s="4">
        <v>44771.844361388889</v>
      </c>
      <c r="D2846" t="s">
        <v>2003</v>
      </c>
      <c r="E2846" t="s">
        <v>38</v>
      </c>
      <c r="F2846" t="s">
        <v>52</v>
      </c>
      <c r="G2846" t="s">
        <v>91</v>
      </c>
      <c r="H2846" t="s">
        <v>29</v>
      </c>
      <c r="I2846" t="s">
        <v>21</v>
      </c>
    </row>
    <row r="2847" spans="1:10" x14ac:dyDescent="0.25">
      <c r="A2847">
        <v>27842424</v>
      </c>
      <c r="B2847" t="s">
        <v>17</v>
      </c>
      <c r="C2847" s="4">
        <v>44771.845008206023</v>
      </c>
      <c r="D2847" t="s">
        <v>2104</v>
      </c>
      <c r="E2847" t="s">
        <v>22</v>
      </c>
      <c r="F2847" t="s">
        <v>23</v>
      </c>
      <c r="G2847" t="s">
        <v>24</v>
      </c>
      <c r="H2847" t="s">
        <v>40</v>
      </c>
      <c r="I2847" t="s">
        <v>21</v>
      </c>
      <c r="J2847" t="s">
        <v>476</v>
      </c>
    </row>
    <row r="2848" spans="1:10" x14ac:dyDescent="0.25">
      <c r="A2848">
        <v>27842437</v>
      </c>
      <c r="B2848" t="s">
        <v>17</v>
      </c>
      <c r="C2848" s="4">
        <v>44771.845278402783</v>
      </c>
      <c r="D2848" t="s">
        <v>2111</v>
      </c>
      <c r="E2848" t="s">
        <v>22</v>
      </c>
      <c r="F2848" t="s">
        <v>52</v>
      </c>
      <c r="G2848" t="s">
        <v>160</v>
      </c>
      <c r="H2848" t="s">
        <v>42</v>
      </c>
      <c r="I2848" t="s">
        <v>21</v>
      </c>
      <c r="J2848" t="s">
        <v>442</v>
      </c>
    </row>
    <row r="2849" spans="1:10" x14ac:dyDescent="0.25">
      <c r="A2849">
        <v>27842446</v>
      </c>
      <c r="B2849" t="s">
        <v>17</v>
      </c>
      <c r="C2849" s="4">
        <v>44771.845565046293</v>
      </c>
      <c r="D2849" t="s">
        <v>2104</v>
      </c>
      <c r="E2849" t="s">
        <v>22</v>
      </c>
      <c r="F2849" t="s">
        <v>23</v>
      </c>
      <c r="G2849" t="s">
        <v>24</v>
      </c>
      <c r="H2849" t="s">
        <v>25</v>
      </c>
      <c r="I2849" t="s">
        <v>21</v>
      </c>
      <c r="J2849" t="s">
        <v>476</v>
      </c>
    </row>
    <row r="2850" spans="1:10" x14ac:dyDescent="0.25">
      <c r="A2850">
        <v>27842463</v>
      </c>
      <c r="B2850" t="s">
        <v>17</v>
      </c>
      <c r="C2850" s="4">
        <v>44771.846066157414</v>
      </c>
      <c r="D2850" t="s">
        <v>2103</v>
      </c>
      <c r="E2850" t="s">
        <v>30</v>
      </c>
      <c r="F2850" t="s">
        <v>52</v>
      </c>
      <c r="G2850" t="s">
        <v>220</v>
      </c>
      <c r="H2850" t="s">
        <v>40</v>
      </c>
      <c r="I2850" t="s">
        <v>21</v>
      </c>
      <c r="J2850" t="s">
        <v>37</v>
      </c>
    </row>
    <row r="2851" spans="1:10" x14ac:dyDescent="0.25">
      <c r="A2851">
        <v>27842469</v>
      </c>
      <c r="B2851" t="s">
        <v>17</v>
      </c>
      <c r="C2851" s="4">
        <v>44771.846414259257</v>
      </c>
      <c r="D2851" t="s">
        <v>2110</v>
      </c>
      <c r="E2851" t="s">
        <v>22</v>
      </c>
      <c r="F2851" t="s">
        <v>23</v>
      </c>
      <c r="G2851" t="s">
        <v>140</v>
      </c>
      <c r="H2851" t="s">
        <v>54</v>
      </c>
      <c r="I2851" t="s">
        <v>21</v>
      </c>
      <c r="J2851" t="s">
        <v>551</v>
      </c>
    </row>
    <row r="2852" spans="1:10" x14ac:dyDescent="0.25">
      <c r="A2852">
        <v>27842475</v>
      </c>
      <c r="B2852" t="s">
        <v>17</v>
      </c>
      <c r="C2852" s="4">
        <v>44771.846463217589</v>
      </c>
      <c r="D2852" t="s">
        <v>2103</v>
      </c>
      <c r="E2852" t="s">
        <v>30</v>
      </c>
      <c r="F2852" t="s">
        <v>52</v>
      </c>
      <c r="G2852" t="s">
        <v>220</v>
      </c>
      <c r="H2852" t="s">
        <v>25</v>
      </c>
      <c r="I2852" t="s">
        <v>21</v>
      </c>
      <c r="J2852" t="s">
        <v>37</v>
      </c>
    </row>
    <row r="2853" spans="1:10" x14ac:dyDescent="0.25">
      <c r="A2853">
        <v>27842490</v>
      </c>
      <c r="B2853" t="s">
        <v>17</v>
      </c>
      <c r="C2853" s="4">
        <v>44771.846767106479</v>
      </c>
      <c r="D2853" t="s">
        <v>2112</v>
      </c>
      <c r="E2853" t="s">
        <v>38</v>
      </c>
      <c r="F2853" t="s">
        <v>31</v>
      </c>
      <c r="G2853" t="s">
        <v>157</v>
      </c>
      <c r="H2853" t="s">
        <v>40</v>
      </c>
      <c r="I2853" t="s">
        <v>21</v>
      </c>
    </row>
    <row r="2854" spans="1:10" x14ac:dyDescent="0.25">
      <c r="A2854">
        <v>27842497</v>
      </c>
      <c r="B2854" t="s">
        <v>17</v>
      </c>
      <c r="C2854" s="4">
        <v>44771.846841122693</v>
      </c>
      <c r="D2854" t="s">
        <v>2113</v>
      </c>
      <c r="E2854" t="s">
        <v>22</v>
      </c>
      <c r="F2854" t="s">
        <v>23</v>
      </c>
      <c r="G2854" t="s">
        <v>355</v>
      </c>
      <c r="H2854" t="s">
        <v>42</v>
      </c>
      <c r="I2854" t="s">
        <v>21</v>
      </c>
      <c r="J2854" t="s">
        <v>550</v>
      </c>
    </row>
    <row r="2855" spans="1:10" x14ac:dyDescent="0.25">
      <c r="A2855">
        <v>27842501</v>
      </c>
      <c r="B2855" t="s">
        <v>17</v>
      </c>
      <c r="C2855" s="4">
        <v>44771.846960740739</v>
      </c>
      <c r="D2855" t="s">
        <v>1638</v>
      </c>
      <c r="E2855" t="s">
        <v>38</v>
      </c>
      <c r="F2855" t="s">
        <v>55</v>
      </c>
      <c r="G2855" t="s">
        <v>422</v>
      </c>
      <c r="H2855" t="s">
        <v>40</v>
      </c>
      <c r="I2855" t="s">
        <v>21</v>
      </c>
    </row>
    <row r="2856" spans="1:10" x14ac:dyDescent="0.25">
      <c r="A2856">
        <v>27842508</v>
      </c>
      <c r="B2856" t="s">
        <v>17</v>
      </c>
      <c r="C2856" s="4">
        <v>44771.84727583333</v>
      </c>
      <c r="D2856" t="s">
        <v>2112</v>
      </c>
      <c r="E2856" t="s">
        <v>38</v>
      </c>
      <c r="F2856" t="s">
        <v>31</v>
      </c>
      <c r="G2856" t="s">
        <v>157</v>
      </c>
      <c r="H2856" t="s">
        <v>25</v>
      </c>
      <c r="I2856" t="s">
        <v>21</v>
      </c>
    </row>
    <row r="2857" spans="1:10" x14ac:dyDescent="0.25">
      <c r="A2857">
        <v>27842524</v>
      </c>
      <c r="B2857" t="s">
        <v>17</v>
      </c>
      <c r="C2857" s="4">
        <v>44771.847619594897</v>
      </c>
      <c r="D2857" t="s">
        <v>2111</v>
      </c>
      <c r="E2857" t="s">
        <v>22</v>
      </c>
      <c r="F2857" t="s">
        <v>52</v>
      </c>
      <c r="G2857" t="s">
        <v>160</v>
      </c>
      <c r="H2857" t="s">
        <v>54</v>
      </c>
      <c r="I2857" t="s">
        <v>21</v>
      </c>
      <c r="J2857" t="s">
        <v>442</v>
      </c>
    </row>
    <row r="2858" spans="1:10" x14ac:dyDescent="0.25">
      <c r="A2858">
        <v>27842526</v>
      </c>
      <c r="B2858" t="s">
        <v>17</v>
      </c>
      <c r="C2858" s="4">
        <v>44771.847621805558</v>
      </c>
      <c r="D2858" t="s">
        <v>1638</v>
      </c>
      <c r="E2858" t="s">
        <v>38</v>
      </c>
      <c r="F2858" t="s">
        <v>55</v>
      </c>
      <c r="G2858" t="s">
        <v>422</v>
      </c>
      <c r="H2858" t="s">
        <v>25</v>
      </c>
      <c r="I2858" t="s">
        <v>21</v>
      </c>
    </row>
    <row r="2859" spans="1:10" x14ac:dyDescent="0.25">
      <c r="A2859">
        <v>27842543</v>
      </c>
      <c r="B2859" t="s">
        <v>17</v>
      </c>
      <c r="C2859" s="4">
        <v>44771.847998275472</v>
      </c>
      <c r="D2859" t="s">
        <v>2114</v>
      </c>
      <c r="E2859" t="s">
        <v>371</v>
      </c>
      <c r="F2859" t="s">
        <v>57</v>
      </c>
      <c r="G2859" t="s">
        <v>185</v>
      </c>
      <c r="H2859" t="s">
        <v>42</v>
      </c>
      <c r="I2859" t="s">
        <v>21</v>
      </c>
      <c r="J2859" t="s">
        <v>2115</v>
      </c>
    </row>
    <row r="2860" spans="1:10" x14ac:dyDescent="0.25">
      <c r="A2860">
        <v>27842551</v>
      </c>
      <c r="B2860" t="s">
        <v>17</v>
      </c>
      <c r="C2860" s="4">
        <v>44771.848378437498</v>
      </c>
      <c r="D2860" t="s">
        <v>2116</v>
      </c>
      <c r="E2860" t="s">
        <v>38</v>
      </c>
      <c r="F2860" t="s">
        <v>52</v>
      </c>
      <c r="G2860" t="s">
        <v>77</v>
      </c>
      <c r="H2860" t="s">
        <v>29</v>
      </c>
      <c r="I2860" t="s">
        <v>21</v>
      </c>
      <c r="J2860" t="s">
        <v>561</v>
      </c>
    </row>
    <row r="2861" spans="1:10" x14ac:dyDescent="0.25">
      <c r="A2861">
        <v>27842572</v>
      </c>
      <c r="B2861" t="s">
        <v>17</v>
      </c>
      <c r="C2861" s="4">
        <v>44771.849096261583</v>
      </c>
      <c r="D2861" t="s">
        <v>2105</v>
      </c>
      <c r="E2861" t="s">
        <v>38</v>
      </c>
      <c r="F2861" t="s">
        <v>57</v>
      </c>
      <c r="G2861" t="s">
        <v>411</v>
      </c>
      <c r="H2861" t="s">
        <v>40</v>
      </c>
      <c r="I2861" t="s">
        <v>21</v>
      </c>
      <c r="J2861" t="s">
        <v>363</v>
      </c>
    </row>
    <row r="2862" spans="1:10" x14ac:dyDescent="0.25">
      <c r="A2862">
        <v>27842578</v>
      </c>
      <c r="B2862" t="s">
        <v>17</v>
      </c>
      <c r="C2862" s="4">
        <v>44771.849475393523</v>
      </c>
      <c r="D2862" t="s">
        <v>2105</v>
      </c>
      <c r="E2862" t="s">
        <v>38</v>
      </c>
      <c r="F2862" t="s">
        <v>57</v>
      </c>
      <c r="G2862" t="s">
        <v>411</v>
      </c>
      <c r="H2862" t="s">
        <v>25</v>
      </c>
      <c r="I2862" t="s">
        <v>21</v>
      </c>
      <c r="J2862" t="s">
        <v>363</v>
      </c>
    </row>
    <row r="2863" spans="1:10" x14ac:dyDescent="0.25">
      <c r="A2863">
        <v>27842604</v>
      </c>
      <c r="B2863" t="s">
        <v>17</v>
      </c>
      <c r="C2863" s="4">
        <v>44771.850301157407</v>
      </c>
      <c r="D2863" t="s">
        <v>2108</v>
      </c>
      <c r="E2863" t="s">
        <v>38</v>
      </c>
      <c r="F2863" t="s">
        <v>49</v>
      </c>
      <c r="G2863" t="s">
        <v>130</v>
      </c>
      <c r="H2863" t="s">
        <v>54</v>
      </c>
      <c r="I2863" t="s">
        <v>21</v>
      </c>
      <c r="J2863" t="s">
        <v>2109</v>
      </c>
    </row>
    <row r="2864" spans="1:10" x14ac:dyDescent="0.25">
      <c r="A2864">
        <v>27842615</v>
      </c>
      <c r="B2864" t="s">
        <v>17</v>
      </c>
      <c r="C2864" s="4">
        <v>44771.85054472222</v>
      </c>
      <c r="D2864" t="s">
        <v>2117</v>
      </c>
      <c r="E2864" t="s">
        <v>38</v>
      </c>
      <c r="F2864" t="s">
        <v>57</v>
      </c>
      <c r="G2864" t="s">
        <v>431</v>
      </c>
      <c r="H2864" t="s">
        <v>42</v>
      </c>
      <c r="I2864" t="s">
        <v>21</v>
      </c>
      <c r="J2864" t="s">
        <v>553</v>
      </c>
    </row>
    <row r="2865" spans="1:10" x14ac:dyDescent="0.25">
      <c r="A2865">
        <v>27842621</v>
      </c>
      <c r="B2865" t="s">
        <v>17</v>
      </c>
      <c r="C2865" s="4">
        <v>44771.850647650463</v>
      </c>
      <c r="D2865" t="s">
        <v>2114</v>
      </c>
      <c r="E2865" t="s">
        <v>371</v>
      </c>
      <c r="F2865" t="s">
        <v>57</v>
      </c>
      <c r="G2865" t="s">
        <v>185</v>
      </c>
      <c r="H2865" t="s">
        <v>54</v>
      </c>
      <c r="I2865" t="s">
        <v>21</v>
      </c>
      <c r="J2865" t="s">
        <v>2115</v>
      </c>
    </row>
    <row r="2866" spans="1:10" x14ac:dyDescent="0.25">
      <c r="A2866">
        <v>27842627</v>
      </c>
      <c r="B2866" t="s">
        <v>17</v>
      </c>
      <c r="C2866" s="4">
        <v>44771.85072923611</v>
      </c>
      <c r="F2866" t="s">
        <v>23</v>
      </c>
      <c r="G2866" t="s">
        <v>172</v>
      </c>
      <c r="H2866" t="s">
        <v>20</v>
      </c>
      <c r="I2866" t="s">
        <v>21</v>
      </c>
    </row>
    <row r="2867" spans="1:10" x14ac:dyDescent="0.25">
      <c r="A2867">
        <v>27842634</v>
      </c>
      <c r="B2867" t="s">
        <v>17</v>
      </c>
      <c r="C2867" s="4">
        <v>44771.850754189807</v>
      </c>
      <c r="D2867" t="s">
        <v>2102</v>
      </c>
      <c r="E2867" t="s">
        <v>387</v>
      </c>
      <c r="F2867" t="s">
        <v>23</v>
      </c>
      <c r="G2867" t="s">
        <v>172</v>
      </c>
      <c r="H2867" t="s">
        <v>79</v>
      </c>
      <c r="I2867" t="s">
        <v>21</v>
      </c>
    </row>
    <row r="2868" spans="1:10" x14ac:dyDescent="0.25">
      <c r="A2868">
        <v>27842641</v>
      </c>
      <c r="B2868" t="s">
        <v>17</v>
      </c>
      <c r="C2868" s="4">
        <v>44771.850871192131</v>
      </c>
      <c r="F2868" t="s">
        <v>23</v>
      </c>
      <c r="G2868" t="s">
        <v>172</v>
      </c>
      <c r="H2868" t="s">
        <v>20</v>
      </c>
      <c r="I2868" t="s">
        <v>21</v>
      </c>
    </row>
    <row r="2869" spans="1:10" x14ac:dyDescent="0.25">
      <c r="A2869">
        <v>27842665</v>
      </c>
      <c r="B2869" t="s">
        <v>17</v>
      </c>
      <c r="C2869" s="4">
        <v>44771.851055648149</v>
      </c>
      <c r="D2869" t="s">
        <v>2110</v>
      </c>
      <c r="E2869" t="s">
        <v>22</v>
      </c>
      <c r="F2869" t="s">
        <v>23</v>
      </c>
      <c r="G2869" t="s">
        <v>140</v>
      </c>
      <c r="H2869" t="s">
        <v>40</v>
      </c>
      <c r="I2869" t="s">
        <v>21</v>
      </c>
      <c r="J2869" t="s">
        <v>551</v>
      </c>
    </row>
    <row r="2870" spans="1:10" x14ac:dyDescent="0.25">
      <c r="A2870">
        <v>27842673</v>
      </c>
      <c r="B2870" t="s">
        <v>17</v>
      </c>
      <c r="C2870" s="4">
        <v>44771.851297430563</v>
      </c>
      <c r="D2870" t="s">
        <v>2118</v>
      </c>
      <c r="E2870" t="s">
        <v>371</v>
      </c>
      <c r="F2870" t="s">
        <v>49</v>
      </c>
      <c r="G2870" t="s">
        <v>192</v>
      </c>
      <c r="H2870" t="s">
        <v>42</v>
      </c>
      <c r="I2870" t="s">
        <v>21</v>
      </c>
      <c r="J2870" t="s">
        <v>546</v>
      </c>
    </row>
    <row r="2871" spans="1:10" x14ac:dyDescent="0.25">
      <c r="A2871">
        <v>27842686</v>
      </c>
      <c r="B2871" t="s">
        <v>17</v>
      </c>
      <c r="C2871" s="4">
        <v>44771.852011249997</v>
      </c>
      <c r="D2871" t="s">
        <v>2108</v>
      </c>
      <c r="E2871" t="s">
        <v>38</v>
      </c>
      <c r="F2871" t="s">
        <v>49</v>
      </c>
      <c r="G2871" t="s">
        <v>130</v>
      </c>
      <c r="H2871" t="s">
        <v>40</v>
      </c>
      <c r="I2871" t="s">
        <v>21</v>
      </c>
      <c r="J2871" t="s">
        <v>2109</v>
      </c>
    </row>
    <row r="2872" spans="1:10" x14ac:dyDescent="0.25">
      <c r="A2872">
        <v>27842687</v>
      </c>
      <c r="B2872" t="s">
        <v>17</v>
      </c>
      <c r="C2872" s="4">
        <v>44771.852039097219</v>
      </c>
      <c r="D2872" t="s">
        <v>2110</v>
      </c>
      <c r="E2872" t="s">
        <v>22</v>
      </c>
      <c r="F2872" t="s">
        <v>23</v>
      </c>
      <c r="G2872" t="s">
        <v>140</v>
      </c>
      <c r="H2872" t="s">
        <v>25</v>
      </c>
      <c r="I2872" t="s">
        <v>21</v>
      </c>
      <c r="J2872" t="s">
        <v>551</v>
      </c>
    </row>
    <row r="2873" spans="1:10" x14ac:dyDescent="0.25">
      <c r="A2873">
        <v>27842696</v>
      </c>
      <c r="B2873" t="s">
        <v>17</v>
      </c>
      <c r="C2873" s="4">
        <v>44771.852053368057</v>
      </c>
      <c r="F2873" t="s">
        <v>33</v>
      </c>
      <c r="G2873" t="s">
        <v>164</v>
      </c>
      <c r="H2873" t="s">
        <v>20</v>
      </c>
      <c r="I2873" t="s">
        <v>21</v>
      </c>
    </row>
    <row r="2874" spans="1:10" x14ac:dyDescent="0.25">
      <c r="A2874">
        <v>27842702</v>
      </c>
      <c r="B2874" t="s">
        <v>17</v>
      </c>
      <c r="C2874" s="4">
        <v>44771.852083356483</v>
      </c>
      <c r="D2874" t="s">
        <v>2119</v>
      </c>
      <c r="E2874" t="s">
        <v>27</v>
      </c>
      <c r="F2874" t="s">
        <v>18</v>
      </c>
      <c r="G2874" t="s">
        <v>61</v>
      </c>
      <c r="H2874" t="s">
        <v>29</v>
      </c>
      <c r="I2874" t="s">
        <v>21</v>
      </c>
      <c r="J2874" t="s">
        <v>2120</v>
      </c>
    </row>
    <row r="2875" spans="1:10" x14ac:dyDescent="0.25">
      <c r="A2875">
        <v>27842711</v>
      </c>
      <c r="B2875" t="s">
        <v>17</v>
      </c>
      <c r="C2875" s="4">
        <v>44771.852121018521</v>
      </c>
      <c r="D2875" t="s">
        <v>2121</v>
      </c>
      <c r="E2875" t="s">
        <v>27</v>
      </c>
      <c r="F2875" t="s">
        <v>18</v>
      </c>
      <c r="G2875" t="s">
        <v>61</v>
      </c>
      <c r="H2875" t="s">
        <v>42</v>
      </c>
      <c r="I2875" t="s">
        <v>21</v>
      </c>
      <c r="J2875" t="s">
        <v>2122</v>
      </c>
    </row>
    <row r="2876" spans="1:10" x14ac:dyDescent="0.25">
      <c r="A2876">
        <v>27842723</v>
      </c>
      <c r="B2876" t="s">
        <v>17</v>
      </c>
      <c r="C2876" s="4">
        <v>44771.852223449067</v>
      </c>
      <c r="D2876" t="s">
        <v>2123</v>
      </c>
      <c r="E2876" t="s">
        <v>129</v>
      </c>
      <c r="F2876" t="s">
        <v>49</v>
      </c>
      <c r="G2876" t="s">
        <v>50</v>
      </c>
      <c r="H2876" t="s">
        <v>42</v>
      </c>
      <c r="I2876" t="s">
        <v>21</v>
      </c>
      <c r="J2876" t="s">
        <v>503</v>
      </c>
    </row>
    <row r="2877" spans="1:10" x14ac:dyDescent="0.25">
      <c r="A2877">
        <v>27842729</v>
      </c>
      <c r="B2877" t="s">
        <v>17</v>
      </c>
      <c r="C2877" s="4">
        <v>44771.852708321763</v>
      </c>
      <c r="D2877" t="s">
        <v>2108</v>
      </c>
      <c r="E2877" t="s">
        <v>38</v>
      </c>
      <c r="F2877" t="s">
        <v>49</v>
      </c>
      <c r="G2877" t="s">
        <v>130</v>
      </c>
      <c r="H2877" t="s">
        <v>25</v>
      </c>
      <c r="I2877" t="s">
        <v>21</v>
      </c>
      <c r="J2877" t="s">
        <v>2109</v>
      </c>
    </row>
    <row r="2878" spans="1:10" x14ac:dyDescent="0.25">
      <c r="A2878">
        <v>27842742</v>
      </c>
      <c r="B2878" t="s">
        <v>17</v>
      </c>
      <c r="C2878" s="4">
        <v>44771.852876145836</v>
      </c>
      <c r="D2878" t="s">
        <v>2121</v>
      </c>
      <c r="E2878" t="s">
        <v>27</v>
      </c>
      <c r="F2878" t="s">
        <v>18</v>
      </c>
      <c r="G2878" t="s">
        <v>61</v>
      </c>
      <c r="H2878" t="s">
        <v>54</v>
      </c>
      <c r="I2878" t="s">
        <v>21</v>
      </c>
      <c r="J2878" t="s">
        <v>2122</v>
      </c>
    </row>
    <row r="2879" spans="1:10" x14ac:dyDescent="0.25">
      <c r="A2879">
        <v>27842750</v>
      </c>
      <c r="B2879" t="s">
        <v>17</v>
      </c>
      <c r="C2879" s="4">
        <v>44771.853330972219</v>
      </c>
      <c r="D2879" t="s">
        <v>2124</v>
      </c>
      <c r="E2879" t="s">
        <v>117</v>
      </c>
      <c r="F2879" t="s">
        <v>23</v>
      </c>
      <c r="G2879" t="s">
        <v>172</v>
      </c>
      <c r="H2879" t="s">
        <v>40</v>
      </c>
      <c r="I2879" t="s">
        <v>21</v>
      </c>
    </row>
    <row r="2880" spans="1:10" x14ac:dyDescent="0.25">
      <c r="A2880">
        <v>27842753</v>
      </c>
      <c r="B2880" t="s">
        <v>17</v>
      </c>
      <c r="C2880" s="4">
        <v>44771.853425439818</v>
      </c>
      <c r="D2880" t="s">
        <v>2111</v>
      </c>
      <c r="E2880" t="s">
        <v>22</v>
      </c>
      <c r="F2880" t="s">
        <v>52</v>
      </c>
      <c r="G2880" t="s">
        <v>160</v>
      </c>
      <c r="H2880" t="s">
        <v>40</v>
      </c>
      <c r="I2880" t="s">
        <v>21</v>
      </c>
      <c r="J2880" t="s">
        <v>442</v>
      </c>
    </row>
    <row r="2881" spans="1:10" x14ac:dyDescent="0.25">
      <c r="A2881">
        <v>27842762</v>
      </c>
      <c r="B2881" t="s">
        <v>17</v>
      </c>
      <c r="C2881" s="4">
        <v>44771.853927349533</v>
      </c>
      <c r="D2881" t="s">
        <v>2124</v>
      </c>
      <c r="E2881" t="s">
        <v>117</v>
      </c>
      <c r="F2881" t="s">
        <v>23</v>
      </c>
      <c r="G2881" t="s">
        <v>172</v>
      </c>
      <c r="H2881" t="s">
        <v>25</v>
      </c>
      <c r="I2881" t="s">
        <v>21</v>
      </c>
    </row>
    <row r="2882" spans="1:10" x14ac:dyDescent="0.25">
      <c r="A2882">
        <v>27842777</v>
      </c>
      <c r="B2882" t="s">
        <v>17</v>
      </c>
      <c r="C2882" s="4">
        <v>44771.854244594913</v>
      </c>
      <c r="D2882" t="s">
        <v>2111</v>
      </c>
      <c r="E2882" t="s">
        <v>22</v>
      </c>
      <c r="F2882" t="s">
        <v>52</v>
      </c>
      <c r="G2882" t="s">
        <v>160</v>
      </c>
      <c r="H2882" t="s">
        <v>25</v>
      </c>
      <c r="I2882" t="s">
        <v>21</v>
      </c>
      <c r="J2882" t="s">
        <v>442</v>
      </c>
    </row>
    <row r="2883" spans="1:10" x14ac:dyDescent="0.25">
      <c r="A2883">
        <v>27842795</v>
      </c>
      <c r="B2883" t="s">
        <v>17</v>
      </c>
      <c r="C2883" s="4">
        <v>44771.854470138889</v>
      </c>
      <c r="E2883" t="s">
        <v>38</v>
      </c>
      <c r="F2883" t="s">
        <v>33</v>
      </c>
      <c r="G2883" t="s">
        <v>164</v>
      </c>
      <c r="H2883" t="s">
        <v>40</v>
      </c>
      <c r="I2883" t="s">
        <v>21</v>
      </c>
    </row>
    <row r="2884" spans="1:10" x14ac:dyDescent="0.25">
      <c r="A2884">
        <v>27842800</v>
      </c>
      <c r="B2884" t="s">
        <v>17</v>
      </c>
      <c r="C2884" s="4">
        <v>44771.854538854168</v>
      </c>
      <c r="D2884" t="s">
        <v>2125</v>
      </c>
      <c r="E2884" t="s">
        <v>27</v>
      </c>
      <c r="F2884" t="s">
        <v>18</v>
      </c>
      <c r="G2884" t="s">
        <v>285</v>
      </c>
      <c r="H2884" t="s">
        <v>42</v>
      </c>
      <c r="I2884" t="s">
        <v>21</v>
      </c>
      <c r="J2884" t="s">
        <v>2126</v>
      </c>
    </row>
    <row r="2885" spans="1:10" x14ac:dyDescent="0.25">
      <c r="A2885">
        <v>27842811</v>
      </c>
      <c r="B2885" t="s">
        <v>17</v>
      </c>
      <c r="C2885" s="4">
        <v>44771.855041435178</v>
      </c>
      <c r="D2885" t="s">
        <v>2117</v>
      </c>
      <c r="E2885" t="s">
        <v>38</v>
      </c>
      <c r="F2885" t="s">
        <v>57</v>
      </c>
      <c r="G2885" t="s">
        <v>431</v>
      </c>
      <c r="H2885" t="s">
        <v>54</v>
      </c>
      <c r="I2885" t="s">
        <v>21</v>
      </c>
      <c r="J2885" t="s">
        <v>553</v>
      </c>
    </row>
    <row r="2886" spans="1:10" x14ac:dyDescent="0.25">
      <c r="A2886">
        <v>27842817</v>
      </c>
      <c r="B2886" t="s">
        <v>17</v>
      </c>
      <c r="C2886" s="4">
        <v>44771.85520583333</v>
      </c>
      <c r="D2886" t="s">
        <v>2118</v>
      </c>
      <c r="E2886" t="s">
        <v>371</v>
      </c>
      <c r="F2886" t="s">
        <v>49</v>
      </c>
      <c r="G2886" t="s">
        <v>192</v>
      </c>
      <c r="H2886" t="s">
        <v>54</v>
      </c>
      <c r="I2886" t="s">
        <v>21</v>
      </c>
      <c r="J2886" t="s">
        <v>546</v>
      </c>
    </row>
    <row r="2887" spans="1:10" x14ac:dyDescent="0.25">
      <c r="A2887">
        <v>27842824</v>
      </c>
      <c r="B2887" t="s">
        <v>17</v>
      </c>
      <c r="C2887" s="4">
        <v>44771.855265196762</v>
      </c>
      <c r="E2887" t="s">
        <v>38</v>
      </c>
      <c r="F2887" t="s">
        <v>33</v>
      </c>
      <c r="G2887" t="s">
        <v>164</v>
      </c>
      <c r="H2887" t="s">
        <v>25</v>
      </c>
      <c r="I2887" t="s">
        <v>21</v>
      </c>
    </row>
    <row r="2888" spans="1:10" x14ac:dyDescent="0.25">
      <c r="A2888">
        <v>27842830</v>
      </c>
      <c r="B2888" t="s">
        <v>17</v>
      </c>
      <c r="C2888" s="4">
        <v>44771.855296689813</v>
      </c>
      <c r="D2888" t="s">
        <v>2125</v>
      </c>
      <c r="E2888" t="s">
        <v>27</v>
      </c>
      <c r="F2888" t="s">
        <v>18</v>
      </c>
      <c r="G2888" t="s">
        <v>285</v>
      </c>
      <c r="H2888" t="s">
        <v>54</v>
      </c>
      <c r="I2888" t="s">
        <v>21</v>
      </c>
      <c r="J2888" t="s">
        <v>2126</v>
      </c>
    </row>
    <row r="2889" spans="1:10" x14ac:dyDescent="0.25">
      <c r="A2889">
        <v>27842845</v>
      </c>
      <c r="B2889" t="s">
        <v>17</v>
      </c>
      <c r="C2889" s="4">
        <v>44771.855521759258</v>
      </c>
      <c r="D2889" t="s">
        <v>2127</v>
      </c>
      <c r="E2889" t="s">
        <v>38</v>
      </c>
      <c r="F2889" t="s">
        <v>52</v>
      </c>
      <c r="G2889" t="s">
        <v>145</v>
      </c>
      <c r="H2889" t="s">
        <v>42</v>
      </c>
      <c r="I2889" t="s">
        <v>21</v>
      </c>
      <c r="J2889" t="s">
        <v>2128</v>
      </c>
    </row>
    <row r="2890" spans="1:10" x14ac:dyDescent="0.25">
      <c r="A2890">
        <v>27842861</v>
      </c>
      <c r="B2890" t="s">
        <v>17</v>
      </c>
      <c r="C2890" s="4">
        <v>44771.856813043982</v>
      </c>
      <c r="D2890" t="s">
        <v>2121</v>
      </c>
      <c r="E2890" t="s">
        <v>27</v>
      </c>
      <c r="F2890" t="s">
        <v>18</v>
      </c>
      <c r="G2890" t="s">
        <v>61</v>
      </c>
      <c r="H2890" t="s">
        <v>40</v>
      </c>
      <c r="I2890" t="s">
        <v>21</v>
      </c>
      <c r="J2890" t="s">
        <v>2122</v>
      </c>
    </row>
    <row r="2891" spans="1:10" x14ac:dyDescent="0.25">
      <c r="A2891">
        <v>27842862</v>
      </c>
      <c r="B2891" t="s">
        <v>17</v>
      </c>
      <c r="C2891" s="4">
        <v>44771.85686644676</v>
      </c>
      <c r="D2891" t="s">
        <v>2127</v>
      </c>
      <c r="E2891" t="s">
        <v>38</v>
      </c>
      <c r="F2891" t="s">
        <v>52</v>
      </c>
      <c r="G2891" t="s">
        <v>145</v>
      </c>
      <c r="H2891" t="s">
        <v>54</v>
      </c>
      <c r="I2891" t="s">
        <v>21</v>
      </c>
      <c r="J2891" t="s">
        <v>2128</v>
      </c>
    </row>
    <row r="2892" spans="1:10" x14ac:dyDescent="0.25">
      <c r="A2892">
        <v>27842873</v>
      </c>
      <c r="B2892" t="s">
        <v>17</v>
      </c>
      <c r="C2892" s="4">
        <v>44771.85698222222</v>
      </c>
      <c r="D2892" t="s">
        <v>2129</v>
      </c>
      <c r="E2892" t="s">
        <v>38</v>
      </c>
      <c r="F2892" t="s">
        <v>23</v>
      </c>
      <c r="G2892" t="s">
        <v>51</v>
      </c>
      <c r="H2892" t="s">
        <v>42</v>
      </c>
      <c r="I2892" t="s">
        <v>21</v>
      </c>
      <c r="J2892" t="s">
        <v>447</v>
      </c>
    </row>
    <row r="2893" spans="1:10" x14ac:dyDescent="0.25">
      <c r="A2893">
        <v>27842888</v>
      </c>
      <c r="B2893" t="s">
        <v>17</v>
      </c>
      <c r="C2893" s="4">
        <v>44771.857333287036</v>
      </c>
      <c r="D2893" t="s">
        <v>2117</v>
      </c>
      <c r="E2893" t="s">
        <v>38</v>
      </c>
      <c r="F2893" t="s">
        <v>57</v>
      </c>
      <c r="G2893" t="s">
        <v>431</v>
      </c>
      <c r="H2893" t="s">
        <v>40</v>
      </c>
      <c r="I2893" t="s">
        <v>21</v>
      </c>
      <c r="J2893" t="s">
        <v>553</v>
      </c>
    </row>
    <row r="2894" spans="1:10" x14ac:dyDescent="0.25">
      <c r="A2894">
        <v>27842889</v>
      </c>
      <c r="B2894" t="s">
        <v>17</v>
      </c>
      <c r="C2894" s="4">
        <v>44771.857374224543</v>
      </c>
      <c r="D2894" t="s">
        <v>2121</v>
      </c>
      <c r="E2894" t="s">
        <v>27</v>
      </c>
      <c r="F2894" t="s">
        <v>18</v>
      </c>
      <c r="G2894" t="s">
        <v>61</v>
      </c>
      <c r="H2894" t="s">
        <v>25</v>
      </c>
      <c r="I2894" t="s">
        <v>21</v>
      </c>
      <c r="J2894" t="s">
        <v>2122</v>
      </c>
    </row>
    <row r="2895" spans="1:10" x14ac:dyDescent="0.25">
      <c r="A2895">
        <v>27842908</v>
      </c>
      <c r="B2895" t="s">
        <v>17</v>
      </c>
      <c r="C2895" s="4">
        <v>44771.857706365743</v>
      </c>
      <c r="D2895" t="s">
        <v>2117</v>
      </c>
      <c r="E2895" t="s">
        <v>38</v>
      </c>
      <c r="F2895" t="s">
        <v>57</v>
      </c>
      <c r="G2895" t="s">
        <v>431</v>
      </c>
      <c r="H2895" t="s">
        <v>25</v>
      </c>
      <c r="I2895" t="s">
        <v>21</v>
      </c>
      <c r="J2895" t="s">
        <v>553</v>
      </c>
    </row>
    <row r="2896" spans="1:10" x14ac:dyDescent="0.25">
      <c r="A2896">
        <v>27842922</v>
      </c>
      <c r="B2896" t="s">
        <v>17</v>
      </c>
      <c r="C2896" s="4">
        <v>44771.857829004628</v>
      </c>
      <c r="D2896" t="s">
        <v>2114</v>
      </c>
      <c r="E2896" t="s">
        <v>371</v>
      </c>
      <c r="F2896" t="s">
        <v>57</v>
      </c>
      <c r="G2896" t="s">
        <v>185</v>
      </c>
      <c r="H2896" t="s">
        <v>40</v>
      </c>
      <c r="I2896" t="s">
        <v>21</v>
      </c>
      <c r="J2896" t="s">
        <v>2115</v>
      </c>
    </row>
    <row r="2897" spans="1:10" x14ac:dyDescent="0.25">
      <c r="A2897">
        <v>27842929</v>
      </c>
      <c r="B2897" t="s">
        <v>17</v>
      </c>
      <c r="C2897" s="4">
        <v>44771.858333645832</v>
      </c>
      <c r="D2897" t="s">
        <v>2129</v>
      </c>
      <c r="E2897" t="s">
        <v>38</v>
      </c>
      <c r="F2897" t="s">
        <v>23</v>
      </c>
      <c r="G2897" t="s">
        <v>51</v>
      </c>
      <c r="H2897" t="s">
        <v>54</v>
      </c>
      <c r="I2897" t="s">
        <v>21</v>
      </c>
      <c r="J2897" t="s">
        <v>447</v>
      </c>
    </row>
    <row r="2898" spans="1:10" x14ac:dyDescent="0.25">
      <c r="A2898">
        <v>27842934</v>
      </c>
      <c r="B2898" t="s">
        <v>17</v>
      </c>
      <c r="C2898" s="4">
        <v>44771.85839804398</v>
      </c>
      <c r="D2898" t="s">
        <v>2114</v>
      </c>
      <c r="E2898" t="s">
        <v>371</v>
      </c>
      <c r="F2898" t="s">
        <v>57</v>
      </c>
      <c r="G2898" t="s">
        <v>185</v>
      </c>
      <c r="H2898" t="s">
        <v>25</v>
      </c>
      <c r="I2898" t="s">
        <v>21</v>
      </c>
      <c r="J2898" t="s">
        <v>2115</v>
      </c>
    </row>
    <row r="2899" spans="1:10" x14ac:dyDescent="0.25">
      <c r="A2899">
        <v>27842946</v>
      </c>
      <c r="B2899" t="s">
        <v>17</v>
      </c>
      <c r="C2899" s="4">
        <v>44771.858669108798</v>
      </c>
      <c r="D2899" t="s">
        <v>2130</v>
      </c>
      <c r="E2899" t="s">
        <v>62</v>
      </c>
      <c r="F2899" t="s">
        <v>57</v>
      </c>
      <c r="G2899" t="s">
        <v>230</v>
      </c>
      <c r="H2899" t="s">
        <v>29</v>
      </c>
      <c r="I2899" t="s">
        <v>21</v>
      </c>
      <c r="J2899" t="s">
        <v>2131</v>
      </c>
    </row>
    <row r="2900" spans="1:10" x14ac:dyDescent="0.25">
      <c r="A2900">
        <v>27842962</v>
      </c>
      <c r="B2900" t="s">
        <v>17</v>
      </c>
      <c r="C2900" s="4">
        <v>44771.859300613432</v>
      </c>
      <c r="D2900" t="s">
        <v>2123</v>
      </c>
      <c r="E2900" t="s">
        <v>129</v>
      </c>
      <c r="F2900" t="s">
        <v>49</v>
      </c>
      <c r="G2900" t="s">
        <v>50</v>
      </c>
      <c r="H2900" t="s">
        <v>239</v>
      </c>
      <c r="I2900" t="s">
        <v>21</v>
      </c>
      <c r="J2900" t="s">
        <v>503</v>
      </c>
    </row>
    <row r="2901" spans="1:10" x14ac:dyDescent="0.25">
      <c r="A2901">
        <v>27842963</v>
      </c>
      <c r="B2901" t="s">
        <v>17</v>
      </c>
      <c r="C2901" s="4">
        <v>44771.859308425926</v>
      </c>
      <c r="D2901" t="s">
        <v>2123</v>
      </c>
      <c r="E2901" t="s">
        <v>129</v>
      </c>
      <c r="F2901" t="s">
        <v>49</v>
      </c>
      <c r="G2901" t="s">
        <v>50</v>
      </c>
      <c r="H2901" t="s">
        <v>240</v>
      </c>
      <c r="I2901" t="s">
        <v>21</v>
      </c>
      <c r="J2901" t="s">
        <v>503</v>
      </c>
    </row>
    <row r="2902" spans="1:10" x14ac:dyDescent="0.25">
      <c r="A2902">
        <v>27842975</v>
      </c>
      <c r="B2902" t="s">
        <v>17</v>
      </c>
      <c r="C2902" s="4">
        <v>44771.859514756943</v>
      </c>
      <c r="D2902" t="s">
        <v>2132</v>
      </c>
      <c r="E2902" t="s">
        <v>22</v>
      </c>
      <c r="F2902" t="s">
        <v>23</v>
      </c>
      <c r="G2902" t="s">
        <v>110</v>
      </c>
      <c r="H2902" t="s">
        <v>42</v>
      </c>
      <c r="I2902" t="s">
        <v>21</v>
      </c>
      <c r="J2902" t="s">
        <v>552</v>
      </c>
    </row>
    <row r="2903" spans="1:10" x14ac:dyDescent="0.25">
      <c r="A2903">
        <v>27842994</v>
      </c>
      <c r="B2903" t="s">
        <v>17</v>
      </c>
      <c r="C2903" s="4">
        <v>44771.860083344909</v>
      </c>
      <c r="D2903" t="s">
        <v>2118</v>
      </c>
      <c r="E2903" t="s">
        <v>371</v>
      </c>
      <c r="F2903" t="s">
        <v>49</v>
      </c>
      <c r="G2903" t="s">
        <v>192</v>
      </c>
      <c r="H2903" t="s">
        <v>40</v>
      </c>
      <c r="I2903" t="s">
        <v>21</v>
      </c>
      <c r="J2903" t="s">
        <v>546</v>
      </c>
    </row>
    <row r="2904" spans="1:10" x14ac:dyDescent="0.25">
      <c r="A2904">
        <v>27843000</v>
      </c>
      <c r="B2904" t="s">
        <v>17</v>
      </c>
      <c r="C2904" s="4">
        <v>44771.86028724537</v>
      </c>
      <c r="D2904" t="s">
        <v>2125</v>
      </c>
      <c r="E2904" t="s">
        <v>27</v>
      </c>
      <c r="F2904" t="s">
        <v>18</v>
      </c>
      <c r="G2904" t="s">
        <v>285</v>
      </c>
      <c r="H2904" t="s">
        <v>40</v>
      </c>
      <c r="I2904" t="s">
        <v>21</v>
      </c>
      <c r="J2904" t="s">
        <v>2126</v>
      </c>
    </row>
    <row r="2905" spans="1:10" x14ac:dyDescent="0.25">
      <c r="A2905">
        <v>27843001</v>
      </c>
      <c r="B2905" t="s">
        <v>17</v>
      </c>
      <c r="C2905" s="4">
        <v>44771.860312048608</v>
      </c>
      <c r="D2905" t="s">
        <v>2132</v>
      </c>
      <c r="E2905" t="s">
        <v>22</v>
      </c>
      <c r="F2905" t="s">
        <v>23</v>
      </c>
      <c r="G2905" t="s">
        <v>110</v>
      </c>
      <c r="H2905" t="s">
        <v>54</v>
      </c>
      <c r="I2905" t="s">
        <v>21</v>
      </c>
      <c r="J2905" t="s">
        <v>552</v>
      </c>
    </row>
    <row r="2906" spans="1:10" x14ac:dyDescent="0.25">
      <c r="A2906">
        <v>27843009</v>
      </c>
      <c r="B2906" t="s">
        <v>17</v>
      </c>
      <c r="C2906" s="4">
        <v>44771.860382962957</v>
      </c>
      <c r="D2906" t="s">
        <v>2133</v>
      </c>
      <c r="E2906" t="s">
        <v>38</v>
      </c>
      <c r="F2906" t="s">
        <v>23</v>
      </c>
      <c r="G2906" t="s">
        <v>194</v>
      </c>
      <c r="H2906" t="s">
        <v>42</v>
      </c>
      <c r="I2906" t="s">
        <v>21</v>
      </c>
      <c r="J2906" t="s">
        <v>319</v>
      </c>
    </row>
    <row r="2907" spans="1:10" x14ac:dyDescent="0.25">
      <c r="A2907">
        <v>27843012</v>
      </c>
      <c r="B2907" t="s">
        <v>17</v>
      </c>
      <c r="C2907" s="4">
        <v>44771.860450370368</v>
      </c>
      <c r="D2907" t="s">
        <v>2123</v>
      </c>
      <c r="E2907" t="s">
        <v>129</v>
      </c>
      <c r="F2907" t="s">
        <v>49</v>
      </c>
      <c r="G2907" t="s">
        <v>50</v>
      </c>
      <c r="H2907" t="s">
        <v>40</v>
      </c>
      <c r="I2907" t="s">
        <v>21</v>
      </c>
      <c r="J2907" t="s">
        <v>503</v>
      </c>
    </row>
    <row r="2908" spans="1:10" x14ac:dyDescent="0.25">
      <c r="A2908">
        <v>27843014</v>
      </c>
      <c r="B2908" t="s">
        <v>17</v>
      </c>
      <c r="C2908" s="4">
        <v>44771.860503530093</v>
      </c>
      <c r="D2908" t="s">
        <v>2118</v>
      </c>
      <c r="E2908" t="s">
        <v>371</v>
      </c>
      <c r="F2908" t="s">
        <v>49</v>
      </c>
      <c r="G2908" t="s">
        <v>192</v>
      </c>
      <c r="H2908" t="s">
        <v>25</v>
      </c>
      <c r="I2908" t="s">
        <v>21</v>
      </c>
      <c r="J2908" t="s">
        <v>546</v>
      </c>
    </row>
    <row r="2909" spans="1:10" x14ac:dyDescent="0.25">
      <c r="A2909">
        <v>27843035</v>
      </c>
      <c r="B2909" t="s">
        <v>17</v>
      </c>
      <c r="C2909" s="4">
        <v>44771.860950277784</v>
      </c>
      <c r="D2909" t="s">
        <v>2125</v>
      </c>
      <c r="E2909" t="s">
        <v>27</v>
      </c>
      <c r="F2909" t="s">
        <v>18</v>
      </c>
      <c r="G2909" t="s">
        <v>285</v>
      </c>
      <c r="H2909" t="s">
        <v>25</v>
      </c>
      <c r="I2909" t="s">
        <v>21</v>
      </c>
      <c r="J2909" t="s">
        <v>2126</v>
      </c>
    </row>
    <row r="2910" spans="1:10" x14ac:dyDescent="0.25">
      <c r="A2910">
        <v>27843050</v>
      </c>
      <c r="B2910" t="s">
        <v>17</v>
      </c>
      <c r="C2910" s="4">
        <v>44771.861251527778</v>
      </c>
      <c r="D2910" t="s">
        <v>2123</v>
      </c>
      <c r="E2910" t="s">
        <v>129</v>
      </c>
      <c r="F2910" t="s">
        <v>49</v>
      </c>
      <c r="G2910" t="s">
        <v>50</v>
      </c>
      <c r="H2910" t="s">
        <v>25</v>
      </c>
      <c r="I2910" t="s">
        <v>21</v>
      </c>
      <c r="J2910" t="s">
        <v>503</v>
      </c>
    </row>
    <row r="2911" spans="1:10" x14ac:dyDescent="0.25">
      <c r="A2911">
        <v>27843063</v>
      </c>
      <c r="B2911" t="s">
        <v>17</v>
      </c>
      <c r="C2911" s="4">
        <v>44771.861308726853</v>
      </c>
      <c r="D2911" t="s">
        <v>2134</v>
      </c>
      <c r="E2911" t="s">
        <v>38</v>
      </c>
      <c r="F2911" t="s">
        <v>31</v>
      </c>
      <c r="G2911" t="s">
        <v>209</v>
      </c>
      <c r="H2911" t="s">
        <v>42</v>
      </c>
      <c r="I2911" t="s">
        <v>21</v>
      </c>
      <c r="J2911" t="s">
        <v>2135</v>
      </c>
    </row>
    <row r="2912" spans="1:10" x14ac:dyDescent="0.25">
      <c r="A2912">
        <v>27843067</v>
      </c>
      <c r="B2912" t="s">
        <v>17</v>
      </c>
      <c r="C2912" s="4">
        <v>44771.86131724537</v>
      </c>
      <c r="D2912" t="s">
        <v>2136</v>
      </c>
      <c r="E2912" t="s">
        <v>22</v>
      </c>
      <c r="F2912" t="s">
        <v>23</v>
      </c>
      <c r="G2912" t="s">
        <v>355</v>
      </c>
      <c r="H2912" t="s">
        <v>54</v>
      </c>
      <c r="I2912" t="s">
        <v>21</v>
      </c>
      <c r="J2912" t="s">
        <v>530</v>
      </c>
    </row>
    <row r="2913" spans="1:10" x14ac:dyDescent="0.25">
      <c r="A2913">
        <v>27843069</v>
      </c>
      <c r="B2913" t="s">
        <v>17</v>
      </c>
      <c r="C2913" s="4">
        <v>44771.861336759262</v>
      </c>
      <c r="D2913" t="s">
        <v>2133</v>
      </c>
      <c r="E2913" t="s">
        <v>38</v>
      </c>
      <c r="F2913" t="s">
        <v>23</v>
      </c>
      <c r="G2913" t="s">
        <v>194</v>
      </c>
      <c r="H2913" t="s">
        <v>54</v>
      </c>
      <c r="I2913" t="s">
        <v>21</v>
      </c>
      <c r="J2913" t="s">
        <v>319</v>
      </c>
    </row>
    <row r="2914" spans="1:10" x14ac:dyDescent="0.25">
      <c r="A2914">
        <v>27843085</v>
      </c>
      <c r="B2914" t="s">
        <v>17</v>
      </c>
      <c r="C2914" s="4">
        <v>44771.861616458344</v>
      </c>
      <c r="D2914" t="s">
        <v>2137</v>
      </c>
      <c r="E2914" t="s">
        <v>38</v>
      </c>
      <c r="F2914" t="s">
        <v>49</v>
      </c>
      <c r="G2914" t="s">
        <v>146</v>
      </c>
      <c r="H2914" t="s">
        <v>29</v>
      </c>
      <c r="I2914" t="s">
        <v>21</v>
      </c>
      <c r="J2914" t="s">
        <v>573</v>
      </c>
    </row>
    <row r="2915" spans="1:10" x14ac:dyDescent="0.25">
      <c r="A2915">
        <v>27843099</v>
      </c>
      <c r="B2915" t="s">
        <v>17</v>
      </c>
      <c r="C2915" s="4">
        <v>44771.86196188657</v>
      </c>
      <c r="D2915" t="s">
        <v>2138</v>
      </c>
      <c r="E2915" t="s">
        <v>38</v>
      </c>
      <c r="F2915" t="s">
        <v>23</v>
      </c>
      <c r="G2915" t="s">
        <v>108</v>
      </c>
      <c r="H2915" t="s">
        <v>29</v>
      </c>
      <c r="I2915" t="s">
        <v>21</v>
      </c>
    </row>
    <row r="2916" spans="1:10" x14ac:dyDescent="0.25">
      <c r="A2916">
        <v>27843109</v>
      </c>
      <c r="B2916" t="s">
        <v>17</v>
      </c>
      <c r="C2916" s="4">
        <v>44771.862118564823</v>
      </c>
      <c r="D2916" t="s">
        <v>2139</v>
      </c>
      <c r="E2916" t="s">
        <v>38</v>
      </c>
      <c r="F2916" t="s">
        <v>52</v>
      </c>
      <c r="G2916" t="s">
        <v>77</v>
      </c>
      <c r="H2916" t="s">
        <v>42</v>
      </c>
      <c r="I2916" t="s">
        <v>21</v>
      </c>
      <c r="J2916" t="s">
        <v>599</v>
      </c>
    </row>
    <row r="2917" spans="1:10" x14ac:dyDescent="0.25">
      <c r="A2917">
        <v>27843115</v>
      </c>
      <c r="B2917" t="s">
        <v>17</v>
      </c>
      <c r="C2917" s="4">
        <v>44771.862349722222</v>
      </c>
      <c r="D2917" t="s">
        <v>2129</v>
      </c>
      <c r="E2917" t="s">
        <v>38</v>
      </c>
      <c r="F2917" t="s">
        <v>23</v>
      </c>
      <c r="G2917" t="s">
        <v>51</v>
      </c>
      <c r="H2917" t="s">
        <v>40</v>
      </c>
      <c r="I2917" t="s">
        <v>21</v>
      </c>
      <c r="J2917" t="s">
        <v>447</v>
      </c>
    </row>
    <row r="2918" spans="1:10" x14ac:dyDescent="0.25">
      <c r="A2918">
        <v>27843121</v>
      </c>
      <c r="B2918" t="s">
        <v>17</v>
      </c>
      <c r="C2918" s="4">
        <v>44771.862710844907</v>
      </c>
      <c r="D2918" t="s">
        <v>2134</v>
      </c>
      <c r="E2918" t="s">
        <v>38</v>
      </c>
      <c r="F2918" t="s">
        <v>31</v>
      </c>
      <c r="G2918" t="s">
        <v>209</v>
      </c>
      <c r="H2918" t="s">
        <v>54</v>
      </c>
      <c r="I2918" t="s">
        <v>21</v>
      </c>
      <c r="J2918" t="s">
        <v>2135</v>
      </c>
    </row>
    <row r="2919" spans="1:10" x14ac:dyDescent="0.25">
      <c r="A2919">
        <v>27843126</v>
      </c>
      <c r="B2919" t="s">
        <v>17</v>
      </c>
      <c r="C2919" s="4">
        <v>44771.862819861111</v>
      </c>
      <c r="D2919" t="s">
        <v>2129</v>
      </c>
      <c r="E2919" t="s">
        <v>38</v>
      </c>
      <c r="F2919" t="s">
        <v>23</v>
      </c>
      <c r="G2919" t="s">
        <v>51</v>
      </c>
      <c r="H2919" t="s">
        <v>25</v>
      </c>
      <c r="I2919" t="s">
        <v>21</v>
      </c>
      <c r="J2919" t="s">
        <v>447</v>
      </c>
    </row>
    <row r="2920" spans="1:10" x14ac:dyDescent="0.25">
      <c r="A2920">
        <v>27843147</v>
      </c>
      <c r="B2920" t="s">
        <v>17</v>
      </c>
      <c r="C2920" s="4">
        <v>44771.863507638889</v>
      </c>
      <c r="D2920" t="s">
        <v>2140</v>
      </c>
      <c r="E2920" t="s">
        <v>22</v>
      </c>
      <c r="F2920" t="s">
        <v>52</v>
      </c>
      <c r="G2920" t="s">
        <v>280</v>
      </c>
      <c r="H2920" t="s">
        <v>42</v>
      </c>
      <c r="I2920" t="s">
        <v>21</v>
      </c>
      <c r="J2920" t="s">
        <v>2141</v>
      </c>
    </row>
    <row r="2921" spans="1:10" x14ac:dyDescent="0.25">
      <c r="A2921">
        <v>27843152</v>
      </c>
      <c r="B2921" t="s">
        <v>17</v>
      </c>
      <c r="C2921" s="4">
        <v>44771.863659317132</v>
      </c>
      <c r="D2921" t="s">
        <v>2139</v>
      </c>
      <c r="E2921" t="s">
        <v>38</v>
      </c>
      <c r="F2921" t="s">
        <v>52</v>
      </c>
      <c r="G2921" t="s">
        <v>77</v>
      </c>
      <c r="H2921" t="s">
        <v>54</v>
      </c>
      <c r="I2921" t="s">
        <v>21</v>
      </c>
      <c r="J2921" t="s">
        <v>599</v>
      </c>
    </row>
    <row r="2922" spans="1:10" x14ac:dyDescent="0.25">
      <c r="A2922">
        <v>27843173</v>
      </c>
      <c r="B2922" t="s">
        <v>17</v>
      </c>
      <c r="C2922" s="4">
        <v>44771.864433495371</v>
      </c>
      <c r="D2922" t="s">
        <v>2142</v>
      </c>
      <c r="E2922" t="s">
        <v>38</v>
      </c>
      <c r="F2922" t="s">
        <v>52</v>
      </c>
      <c r="G2922" t="s">
        <v>91</v>
      </c>
      <c r="H2922" t="s">
        <v>42</v>
      </c>
      <c r="I2922" t="s">
        <v>21</v>
      </c>
      <c r="J2922" t="s">
        <v>558</v>
      </c>
    </row>
    <row r="2923" spans="1:10" x14ac:dyDescent="0.25">
      <c r="A2923">
        <v>27843177</v>
      </c>
      <c r="B2923" t="s">
        <v>17</v>
      </c>
      <c r="C2923" s="4">
        <v>44771.864590671299</v>
      </c>
      <c r="D2923" t="s">
        <v>2140</v>
      </c>
      <c r="E2923" t="s">
        <v>22</v>
      </c>
      <c r="F2923" t="s">
        <v>52</v>
      </c>
      <c r="G2923" t="s">
        <v>280</v>
      </c>
      <c r="H2923" t="s">
        <v>54</v>
      </c>
      <c r="I2923" t="s">
        <v>21</v>
      </c>
      <c r="J2923" t="s">
        <v>2141</v>
      </c>
    </row>
    <row r="2924" spans="1:10" x14ac:dyDescent="0.25">
      <c r="A2924">
        <v>27843202</v>
      </c>
      <c r="B2924" t="s">
        <v>17</v>
      </c>
      <c r="C2924" s="4">
        <v>44771.864847083343</v>
      </c>
      <c r="D2924" t="s">
        <v>2136</v>
      </c>
      <c r="E2924" t="s">
        <v>22</v>
      </c>
      <c r="F2924" t="s">
        <v>23</v>
      </c>
      <c r="G2924" t="s">
        <v>355</v>
      </c>
      <c r="H2924" t="s">
        <v>40</v>
      </c>
      <c r="I2924" t="s">
        <v>21</v>
      </c>
      <c r="J2924" t="s">
        <v>530</v>
      </c>
    </row>
    <row r="2925" spans="1:10" x14ac:dyDescent="0.25">
      <c r="A2925">
        <v>27843204</v>
      </c>
      <c r="B2925" t="s">
        <v>17</v>
      </c>
      <c r="C2925" s="4">
        <v>44771.864875266197</v>
      </c>
      <c r="D2925" t="s">
        <v>2142</v>
      </c>
      <c r="E2925" t="s">
        <v>38</v>
      </c>
      <c r="F2925" t="s">
        <v>52</v>
      </c>
      <c r="G2925" t="s">
        <v>91</v>
      </c>
      <c r="H2925" t="s">
        <v>54</v>
      </c>
      <c r="I2925" t="s">
        <v>21</v>
      </c>
      <c r="J2925" t="s">
        <v>558</v>
      </c>
    </row>
    <row r="2926" spans="1:10" x14ac:dyDescent="0.25">
      <c r="A2926">
        <v>27843211</v>
      </c>
      <c r="B2926" t="s">
        <v>17</v>
      </c>
      <c r="C2926" s="4">
        <v>44771.865233680554</v>
      </c>
      <c r="D2926" t="s">
        <v>2132</v>
      </c>
      <c r="E2926" t="s">
        <v>22</v>
      </c>
      <c r="F2926" t="s">
        <v>23</v>
      </c>
      <c r="G2926" t="s">
        <v>110</v>
      </c>
      <c r="H2926" t="s">
        <v>40</v>
      </c>
      <c r="I2926" t="s">
        <v>21</v>
      </c>
      <c r="J2926" t="s">
        <v>552</v>
      </c>
    </row>
    <row r="2927" spans="1:10" x14ac:dyDescent="0.25">
      <c r="A2927">
        <v>27843217</v>
      </c>
      <c r="B2927" t="s">
        <v>17</v>
      </c>
      <c r="C2927" s="4">
        <v>44771.865332280089</v>
      </c>
      <c r="D2927" t="s">
        <v>2136</v>
      </c>
      <c r="E2927" t="s">
        <v>22</v>
      </c>
      <c r="F2927" t="s">
        <v>23</v>
      </c>
      <c r="G2927" t="s">
        <v>355</v>
      </c>
      <c r="H2927" t="s">
        <v>25</v>
      </c>
      <c r="I2927" t="s">
        <v>21</v>
      </c>
      <c r="J2927" t="s">
        <v>530</v>
      </c>
    </row>
    <row r="2928" spans="1:10" x14ac:dyDescent="0.25">
      <c r="A2928">
        <v>27843237</v>
      </c>
      <c r="B2928" t="s">
        <v>17</v>
      </c>
      <c r="C2928" s="4">
        <v>44771.865822615742</v>
      </c>
      <c r="D2928" t="s">
        <v>2143</v>
      </c>
      <c r="E2928" t="s">
        <v>38</v>
      </c>
      <c r="F2928" t="s">
        <v>23</v>
      </c>
      <c r="G2928" t="s">
        <v>108</v>
      </c>
      <c r="H2928" t="s">
        <v>42</v>
      </c>
      <c r="I2928" t="s">
        <v>21</v>
      </c>
      <c r="J2928" t="s">
        <v>586</v>
      </c>
    </row>
    <row r="2929" spans="1:10" x14ac:dyDescent="0.25">
      <c r="A2929">
        <v>27843244</v>
      </c>
      <c r="B2929" t="s">
        <v>17</v>
      </c>
      <c r="C2929" s="4">
        <v>44771.865905914347</v>
      </c>
      <c r="D2929" t="s">
        <v>2133</v>
      </c>
      <c r="E2929" t="s">
        <v>38</v>
      </c>
      <c r="F2929" t="s">
        <v>23</v>
      </c>
      <c r="G2929" t="s">
        <v>194</v>
      </c>
      <c r="H2929" t="s">
        <v>40</v>
      </c>
      <c r="I2929" t="s">
        <v>21</v>
      </c>
      <c r="J2929" t="s">
        <v>319</v>
      </c>
    </row>
    <row r="2930" spans="1:10" x14ac:dyDescent="0.25">
      <c r="A2930">
        <v>27843245</v>
      </c>
      <c r="B2930" t="s">
        <v>17</v>
      </c>
      <c r="C2930" s="4">
        <v>44771.866042488429</v>
      </c>
      <c r="D2930" t="s">
        <v>2132</v>
      </c>
      <c r="E2930" t="s">
        <v>22</v>
      </c>
      <c r="F2930" t="s">
        <v>23</v>
      </c>
      <c r="G2930" t="s">
        <v>110</v>
      </c>
      <c r="H2930" t="s">
        <v>25</v>
      </c>
      <c r="I2930" t="s">
        <v>21</v>
      </c>
      <c r="J2930" t="s">
        <v>552</v>
      </c>
    </row>
    <row r="2931" spans="1:10" x14ac:dyDescent="0.25">
      <c r="A2931">
        <v>27843261</v>
      </c>
      <c r="B2931" t="s">
        <v>17</v>
      </c>
      <c r="C2931" s="4">
        <v>44771.866639976863</v>
      </c>
      <c r="D2931" t="s">
        <v>2133</v>
      </c>
      <c r="E2931" t="s">
        <v>38</v>
      </c>
      <c r="F2931" t="s">
        <v>23</v>
      </c>
      <c r="G2931" t="s">
        <v>194</v>
      </c>
      <c r="H2931" t="s">
        <v>25</v>
      </c>
      <c r="I2931" t="s">
        <v>21</v>
      </c>
      <c r="J2931" t="s">
        <v>319</v>
      </c>
    </row>
    <row r="2932" spans="1:10" x14ac:dyDescent="0.25">
      <c r="A2932">
        <v>27843288</v>
      </c>
      <c r="B2932" t="s">
        <v>17</v>
      </c>
      <c r="C2932" s="4">
        <v>44771.867782199071</v>
      </c>
      <c r="D2932" t="s">
        <v>2127</v>
      </c>
      <c r="E2932" t="s">
        <v>38</v>
      </c>
      <c r="F2932" t="s">
        <v>52</v>
      </c>
      <c r="G2932" t="s">
        <v>145</v>
      </c>
      <c r="H2932" t="s">
        <v>40</v>
      </c>
      <c r="I2932" t="s">
        <v>21</v>
      </c>
      <c r="J2932" t="s">
        <v>2128</v>
      </c>
    </row>
    <row r="2933" spans="1:10" x14ac:dyDescent="0.25">
      <c r="A2933">
        <v>27843289</v>
      </c>
      <c r="B2933" t="s">
        <v>17</v>
      </c>
      <c r="C2933" s="4">
        <v>44771.867816828701</v>
      </c>
      <c r="D2933" t="s">
        <v>2143</v>
      </c>
      <c r="E2933" t="s">
        <v>38</v>
      </c>
      <c r="F2933" t="s">
        <v>23</v>
      </c>
      <c r="G2933" t="s">
        <v>108</v>
      </c>
      <c r="H2933" t="s">
        <v>54</v>
      </c>
      <c r="I2933" t="s">
        <v>21</v>
      </c>
      <c r="J2933" t="s">
        <v>586</v>
      </c>
    </row>
    <row r="2934" spans="1:10" x14ac:dyDescent="0.25">
      <c r="A2934">
        <v>27843315</v>
      </c>
      <c r="B2934" t="s">
        <v>17</v>
      </c>
      <c r="C2934" s="4">
        <v>44771.868426944442</v>
      </c>
      <c r="D2934" t="s">
        <v>2144</v>
      </c>
      <c r="E2934" t="s">
        <v>27</v>
      </c>
      <c r="F2934" t="s">
        <v>18</v>
      </c>
      <c r="G2934" t="s">
        <v>226</v>
      </c>
      <c r="H2934" t="s">
        <v>42</v>
      </c>
      <c r="I2934" t="s">
        <v>21</v>
      </c>
      <c r="J2934" t="s">
        <v>2145</v>
      </c>
    </row>
    <row r="2935" spans="1:10" x14ac:dyDescent="0.25">
      <c r="A2935">
        <v>27843319</v>
      </c>
      <c r="B2935" t="s">
        <v>17</v>
      </c>
      <c r="C2935" s="4">
        <v>44771.868470925932</v>
      </c>
      <c r="D2935" t="s">
        <v>2127</v>
      </c>
      <c r="E2935" t="s">
        <v>38</v>
      </c>
      <c r="F2935" t="s">
        <v>52</v>
      </c>
      <c r="G2935" t="s">
        <v>145</v>
      </c>
      <c r="H2935" t="s">
        <v>25</v>
      </c>
      <c r="I2935" t="s">
        <v>21</v>
      </c>
      <c r="J2935" t="s">
        <v>2128</v>
      </c>
    </row>
    <row r="2936" spans="1:10" x14ac:dyDescent="0.25">
      <c r="A2936">
        <v>27843340</v>
      </c>
      <c r="B2936" t="s">
        <v>17</v>
      </c>
      <c r="C2936" s="4">
        <v>44771.868723749998</v>
      </c>
      <c r="D2936" t="s">
        <v>2146</v>
      </c>
      <c r="E2936" t="s">
        <v>62</v>
      </c>
      <c r="F2936" t="s">
        <v>57</v>
      </c>
      <c r="G2936" t="s">
        <v>255</v>
      </c>
      <c r="H2936" t="s">
        <v>29</v>
      </c>
      <c r="I2936" t="s">
        <v>21</v>
      </c>
      <c r="J2936" t="s">
        <v>2147</v>
      </c>
    </row>
    <row r="2937" spans="1:10" x14ac:dyDescent="0.25">
      <c r="A2937">
        <v>27843348</v>
      </c>
      <c r="B2937" t="s">
        <v>17</v>
      </c>
      <c r="C2937" s="4">
        <v>44771.868739976853</v>
      </c>
      <c r="D2937" t="s">
        <v>2134</v>
      </c>
      <c r="E2937" t="s">
        <v>38</v>
      </c>
      <c r="F2937" t="s">
        <v>31</v>
      </c>
      <c r="G2937" t="s">
        <v>209</v>
      </c>
      <c r="H2937" t="s">
        <v>40</v>
      </c>
      <c r="I2937" t="s">
        <v>21</v>
      </c>
      <c r="J2937" t="s">
        <v>2135</v>
      </c>
    </row>
    <row r="2938" spans="1:10" x14ac:dyDescent="0.25">
      <c r="A2938">
        <v>27843356</v>
      </c>
      <c r="B2938" t="s">
        <v>17</v>
      </c>
      <c r="C2938" s="4">
        <v>44771.869197083332</v>
      </c>
      <c r="D2938" t="s">
        <v>2134</v>
      </c>
      <c r="E2938" t="s">
        <v>38</v>
      </c>
      <c r="F2938" t="s">
        <v>31</v>
      </c>
      <c r="G2938" t="s">
        <v>209</v>
      </c>
      <c r="H2938" t="s">
        <v>25</v>
      </c>
      <c r="I2938" t="s">
        <v>21</v>
      </c>
      <c r="J2938" t="s">
        <v>2135</v>
      </c>
    </row>
    <row r="2939" spans="1:10" x14ac:dyDescent="0.25">
      <c r="A2939">
        <v>27843372</v>
      </c>
      <c r="B2939" t="s">
        <v>17</v>
      </c>
      <c r="C2939" s="4">
        <v>44771.869551041673</v>
      </c>
      <c r="D2939" t="s">
        <v>2148</v>
      </c>
      <c r="E2939" t="s">
        <v>62</v>
      </c>
      <c r="F2939" t="s">
        <v>18</v>
      </c>
      <c r="G2939" t="s">
        <v>260</v>
      </c>
      <c r="H2939" t="s">
        <v>29</v>
      </c>
      <c r="I2939" t="s">
        <v>21</v>
      </c>
      <c r="J2939" t="s">
        <v>2149</v>
      </c>
    </row>
    <row r="2940" spans="1:10" x14ac:dyDescent="0.25">
      <c r="A2940">
        <v>27843379</v>
      </c>
      <c r="B2940" t="s">
        <v>17</v>
      </c>
      <c r="C2940" s="4">
        <v>44771.869584722219</v>
      </c>
      <c r="D2940" t="s">
        <v>2150</v>
      </c>
      <c r="E2940" t="s">
        <v>27</v>
      </c>
      <c r="F2940" t="s">
        <v>18</v>
      </c>
      <c r="G2940" t="s">
        <v>260</v>
      </c>
      <c r="H2940" t="s">
        <v>42</v>
      </c>
      <c r="I2940" t="s">
        <v>21</v>
      </c>
      <c r="J2940" t="s">
        <v>2151</v>
      </c>
    </row>
    <row r="2941" spans="1:10" x14ac:dyDescent="0.25">
      <c r="A2941">
        <v>27843396</v>
      </c>
      <c r="B2941" t="s">
        <v>17</v>
      </c>
      <c r="C2941" s="4">
        <v>44771.870452499999</v>
      </c>
      <c r="D2941" t="s">
        <v>2152</v>
      </c>
      <c r="E2941" t="s">
        <v>38</v>
      </c>
      <c r="F2941" t="s">
        <v>55</v>
      </c>
      <c r="G2941" t="s">
        <v>56</v>
      </c>
      <c r="H2941" t="s">
        <v>42</v>
      </c>
      <c r="I2941" t="s">
        <v>21</v>
      </c>
      <c r="J2941" t="s">
        <v>458</v>
      </c>
    </row>
    <row r="2942" spans="1:10" x14ac:dyDescent="0.25">
      <c r="A2942">
        <v>27843398</v>
      </c>
      <c r="B2942" t="s">
        <v>17</v>
      </c>
      <c r="C2942" s="4">
        <v>44771.870452777781</v>
      </c>
      <c r="D2942" t="s">
        <v>2153</v>
      </c>
      <c r="E2942" t="s">
        <v>38</v>
      </c>
      <c r="F2942" t="s">
        <v>33</v>
      </c>
      <c r="G2942" t="s">
        <v>34</v>
      </c>
      <c r="H2942" t="s">
        <v>42</v>
      </c>
      <c r="I2942" t="s">
        <v>21</v>
      </c>
      <c r="J2942" t="s">
        <v>472</v>
      </c>
    </row>
    <row r="2943" spans="1:10" x14ac:dyDescent="0.25">
      <c r="A2943">
        <v>27843407</v>
      </c>
      <c r="B2943" t="s">
        <v>17</v>
      </c>
      <c r="C2943" s="4">
        <v>44771.870626215277</v>
      </c>
      <c r="D2943" t="s">
        <v>2154</v>
      </c>
      <c r="E2943" t="s">
        <v>27</v>
      </c>
      <c r="F2943" t="s">
        <v>49</v>
      </c>
      <c r="G2943" t="s">
        <v>359</v>
      </c>
      <c r="H2943" t="s">
        <v>42</v>
      </c>
      <c r="I2943" t="s">
        <v>21</v>
      </c>
      <c r="J2943" t="s">
        <v>2155</v>
      </c>
    </row>
    <row r="2944" spans="1:10" x14ac:dyDescent="0.25">
      <c r="A2944">
        <v>27843410</v>
      </c>
      <c r="B2944" t="s">
        <v>17</v>
      </c>
      <c r="C2944" s="4">
        <v>44771.870638599539</v>
      </c>
      <c r="D2944" t="s">
        <v>2150</v>
      </c>
      <c r="E2944" t="s">
        <v>27</v>
      </c>
      <c r="F2944" t="s">
        <v>18</v>
      </c>
      <c r="G2944" t="s">
        <v>260</v>
      </c>
      <c r="H2944" t="s">
        <v>54</v>
      </c>
      <c r="I2944" t="s">
        <v>21</v>
      </c>
      <c r="J2944" t="s">
        <v>2151</v>
      </c>
    </row>
    <row r="2945" spans="1:10" x14ac:dyDescent="0.25">
      <c r="A2945">
        <v>27843416</v>
      </c>
      <c r="B2945" t="s">
        <v>17</v>
      </c>
      <c r="C2945" s="4">
        <v>44771.870728229173</v>
      </c>
      <c r="D2945" t="s">
        <v>2144</v>
      </c>
      <c r="E2945" t="s">
        <v>27</v>
      </c>
      <c r="F2945" t="s">
        <v>18</v>
      </c>
      <c r="G2945" t="s">
        <v>226</v>
      </c>
      <c r="H2945" t="s">
        <v>54</v>
      </c>
      <c r="I2945" t="s">
        <v>21</v>
      </c>
      <c r="J2945" t="s">
        <v>2145</v>
      </c>
    </row>
    <row r="2946" spans="1:10" x14ac:dyDescent="0.25">
      <c r="A2946">
        <v>27843424</v>
      </c>
      <c r="B2946" t="s">
        <v>17</v>
      </c>
      <c r="C2946" s="4">
        <v>44771.871359629629</v>
      </c>
      <c r="D2946" t="s">
        <v>2156</v>
      </c>
      <c r="E2946" t="s">
        <v>38</v>
      </c>
      <c r="F2946" t="s">
        <v>31</v>
      </c>
      <c r="G2946" t="s">
        <v>39</v>
      </c>
      <c r="H2946" t="s">
        <v>29</v>
      </c>
      <c r="I2946" t="s">
        <v>21</v>
      </c>
    </row>
    <row r="2947" spans="1:10" x14ac:dyDescent="0.25">
      <c r="A2947">
        <v>27843445</v>
      </c>
      <c r="B2947" t="s">
        <v>17</v>
      </c>
      <c r="C2947" s="4">
        <v>44771.87168196759</v>
      </c>
      <c r="D2947" t="s">
        <v>2140</v>
      </c>
      <c r="E2947" t="s">
        <v>22</v>
      </c>
      <c r="F2947" t="s">
        <v>52</v>
      </c>
      <c r="G2947" t="s">
        <v>280</v>
      </c>
      <c r="H2947" t="s">
        <v>40</v>
      </c>
      <c r="I2947" t="s">
        <v>21</v>
      </c>
      <c r="J2947" t="s">
        <v>2141</v>
      </c>
    </row>
    <row r="2948" spans="1:10" x14ac:dyDescent="0.25">
      <c r="A2948">
        <v>27843447</v>
      </c>
      <c r="B2948" t="s">
        <v>17</v>
      </c>
      <c r="C2948" s="4">
        <v>44771.871700127318</v>
      </c>
      <c r="D2948" t="s">
        <v>2139</v>
      </c>
      <c r="E2948" t="s">
        <v>38</v>
      </c>
      <c r="F2948" t="s">
        <v>52</v>
      </c>
      <c r="G2948" t="s">
        <v>77</v>
      </c>
      <c r="H2948" t="s">
        <v>40</v>
      </c>
      <c r="I2948" t="s">
        <v>21</v>
      </c>
      <c r="J2948" t="s">
        <v>599</v>
      </c>
    </row>
    <row r="2949" spans="1:10" x14ac:dyDescent="0.25">
      <c r="A2949">
        <v>27843448</v>
      </c>
      <c r="B2949" t="s">
        <v>17</v>
      </c>
      <c r="C2949" s="4">
        <v>44771.871717268521</v>
      </c>
      <c r="D2949" t="s">
        <v>2154</v>
      </c>
      <c r="E2949" t="s">
        <v>27</v>
      </c>
      <c r="F2949" t="s">
        <v>49</v>
      </c>
      <c r="G2949" t="s">
        <v>359</v>
      </c>
      <c r="H2949" t="s">
        <v>239</v>
      </c>
      <c r="I2949" t="s">
        <v>21</v>
      </c>
      <c r="J2949" t="s">
        <v>2155</v>
      </c>
    </row>
    <row r="2950" spans="1:10" x14ac:dyDescent="0.25">
      <c r="A2950">
        <v>27843449</v>
      </c>
      <c r="B2950" t="s">
        <v>17</v>
      </c>
      <c r="C2950" s="4">
        <v>44771.871731643521</v>
      </c>
      <c r="D2950" t="s">
        <v>2154</v>
      </c>
      <c r="E2950" t="s">
        <v>27</v>
      </c>
      <c r="F2950" t="s">
        <v>49</v>
      </c>
      <c r="G2950" t="s">
        <v>359</v>
      </c>
      <c r="H2950" t="s">
        <v>240</v>
      </c>
      <c r="I2950" t="s">
        <v>21</v>
      </c>
      <c r="J2950" t="s">
        <v>2155</v>
      </c>
    </row>
    <row r="2951" spans="1:10" x14ac:dyDescent="0.25">
      <c r="A2951">
        <v>27843452</v>
      </c>
      <c r="B2951" t="s">
        <v>17</v>
      </c>
      <c r="C2951" s="4">
        <v>44771.871740706018</v>
      </c>
      <c r="D2951" t="s">
        <v>2142</v>
      </c>
      <c r="E2951" t="s">
        <v>38</v>
      </c>
      <c r="F2951" t="s">
        <v>52</v>
      </c>
      <c r="G2951" t="s">
        <v>91</v>
      </c>
      <c r="H2951" t="s">
        <v>40</v>
      </c>
      <c r="I2951" t="s">
        <v>21</v>
      </c>
      <c r="J2951" t="s">
        <v>558</v>
      </c>
    </row>
    <row r="2952" spans="1:10" x14ac:dyDescent="0.25">
      <c r="A2952">
        <v>27843458</v>
      </c>
      <c r="B2952" t="s">
        <v>17</v>
      </c>
      <c r="C2952" s="4">
        <v>44771.87204707176</v>
      </c>
      <c r="D2952" t="s">
        <v>2144</v>
      </c>
      <c r="E2952" t="s">
        <v>27</v>
      </c>
      <c r="F2952" t="s">
        <v>18</v>
      </c>
      <c r="G2952" t="s">
        <v>226</v>
      </c>
      <c r="H2952" t="s">
        <v>118</v>
      </c>
      <c r="I2952" t="s">
        <v>36</v>
      </c>
      <c r="J2952" t="s">
        <v>2145</v>
      </c>
    </row>
    <row r="2953" spans="1:10" x14ac:dyDescent="0.25">
      <c r="A2953">
        <v>27843464</v>
      </c>
      <c r="B2953" t="s">
        <v>17</v>
      </c>
      <c r="C2953" s="4">
        <v>44771.872154571764</v>
      </c>
      <c r="D2953" t="s">
        <v>2140</v>
      </c>
      <c r="E2953" t="s">
        <v>22</v>
      </c>
      <c r="F2953" t="s">
        <v>52</v>
      </c>
      <c r="G2953" t="s">
        <v>280</v>
      </c>
      <c r="H2953" t="s">
        <v>25</v>
      </c>
      <c r="I2953" t="s">
        <v>21</v>
      </c>
      <c r="J2953" t="s">
        <v>2141</v>
      </c>
    </row>
    <row r="2954" spans="1:10" x14ac:dyDescent="0.25">
      <c r="A2954">
        <v>27843467</v>
      </c>
      <c r="B2954" t="s">
        <v>17</v>
      </c>
      <c r="C2954" s="4">
        <v>44771.872155196761</v>
      </c>
      <c r="D2954" t="s">
        <v>2139</v>
      </c>
      <c r="E2954" t="s">
        <v>38</v>
      </c>
      <c r="F2954" t="s">
        <v>52</v>
      </c>
      <c r="G2954" t="s">
        <v>77</v>
      </c>
      <c r="H2954" t="s">
        <v>25</v>
      </c>
      <c r="I2954" t="s">
        <v>21</v>
      </c>
      <c r="J2954" t="s">
        <v>599</v>
      </c>
    </row>
    <row r="2955" spans="1:10" x14ac:dyDescent="0.25">
      <c r="A2955">
        <v>27843486</v>
      </c>
      <c r="B2955" t="s">
        <v>17</v>
      </c>
      <c r="C2955" s="4">
        <v>44771.872222372687</v>
      </c>
      <c r="D2955" t="s">
        <v>2144</v>
      </c>
      <c r="E2955" t="s">
        <v>27</v>
      </c>
      <c r="F2955" t="s">
        <v>18</v>
      </c>
      <c r="G2955" t="s">
        <v>226</v>
      </c>
      <c r="H2955" t="s">
        <v>35</v>
      </c>
      <c r="I2955" t="s">
        <v>36</v>
      </c>
      <c r="J2955" t="s">
        <v>2145</v>
      </c>
    </row>
    <row r="2956" spans="1:10" x14ac:dyDescent="0.25">
      <c r="A2956">
        <v>27843494</v>
      </c>
      <c r="B2956" t="s">
        <v>17</v>
      </c>
      <c r="C2956" s="4">
        <v>44771.872310335653</v>
      </c>
      <c r="D2956" t="s">
        <v>2142</v>
      </c>
      <c r="E2956" t="s">
        <v>38</v>
      </c>
      <c r="F2956" t="s">
        <v>52</v>
      </c>
      <c r="G2956" t="s">
        <v>91</v>
      </c>
      <c r="H2956" t="s">
        <v>25</v>
      </c>
      <c r="I2956" t="s">
        <v>21</v>
      </c>
      <c r="J2956" t="s">
        <v>558</v>
      </c>
    </row>
    <row r="2957" spans="1:10" x14ac:dyDescent="0.25">
      <c r="A2957">
        <v>27843510</v>
      </c>
      <c r="B2957" t="s">
        <v>17</v>
      </c>
      <c r="C2957" s="4">
        <v>44771.872477858793</v>
      </c>
      <c r="D2957" t="s">
        <v>2157</v>
      </c>
      <c r="E2957" t="s">
        <v>38</v>
      </c>
      <c r="F2957" t="s">
        <v>31</v>
      </c>
      <c r="G2957" t="s">
        <v>39</v>
      </c>
      <c r="H2957" t="s">
        <v>42</v>
      </c>
      <c r="I2957" t="s">
        <v>21</v>
      </c>
      <c r="J2957" t="s">
        <v>441</v>
      </c>
    </row>
    <row r="2958" spans="1:10" x14ac:dyDescent="0.25">
      <c r="A2958">
        <v>27843518</v>
      </c>
      <c r="B2958" t="s">
        <v>17</v>
      </c>
      <c r="C2958" s="4">
        <v>44771.873106273153</v>
      </c>
      <c r="D2958" t="s">
        <v>2153</v>
      </c>
      <c r="E2958" t="s">
        <v>38</v>
      </c>
      <c r="F2958" t="s">
        <v>33</v>
      </c>
      <c r="G2958" t="s">
        <v>34</v>
      </c>
      <c r="H2958" t="s">
        <v>54</v>
      </c>
      <c r="I2958" t="s">
        <v>21</v>
      </c>
      <c r="J2958" t="s">
        <v>472</v>
      </c>
    </row>
    <row r="2959" spans="1:10" x14ac:dyDescent="0.25">
      <c r="A2959">
        <v>27843537</v>
      </c>
      <c r="B2959" t="s">
        <v>17</v>
      </c>
      <c r="C2959" s="4">
        <v>44771.873809166667</v>
      </c>
      <c r="D2959" t="s">
        <v>2158</v>
      </c>
      <c r="E2959" t="s">
        <v>27</v>
      </c>
      <c r="F2959" t="s">
        <v>18</v>
      </c>
      <c r="G2959" t="s">
        <v>375</v>
      </c>
      <c r="H2959" t="s">
        <v>42</v>
      </c>
      <c r="I2959" t="s">
        <v>21</v>
      </c>
      <c r="J2959" t="s">
        <v>2159</v>
      </c>
    </row>
    <row r="2960" spans="1:10" x14ac:dyDescent="0.25">
      <c r="A2960">
        <v>27843540</v>
      </c>
      <c r="B2960" t="s">
        <v>17</v>
      </c>
      <c r="C2960" s="4">
        <v>44771.873864606481</v>
      </c>
      <c r="D2960" t="s">
        <v>2158</v>
      </c>
      <c r="E2960" t="s">
        <v>27</v>
      </c>
      <c r="F2960" t="s">
        <v>18</v>
      </c>
      <c r="G2960" t="s">
        <v>375</v>
      </c>
      <c r="H2960" t="s">
        <v>54</v>
      </c>
      <c r="I2960" t="s">
        <v>21</v>
      </c>
      <c r="J2960" t="s">
        <v>2159</v>
      </c>
    </row>
    <row r="2961" spans="1:10" x14ac:dyDescent="0.25">
      <c r="A2961">
        <v>27843551</v>
      </c>
      <c r="B2961" t="s">
        <v>17</v>
      </c>
      <c r="C2961" s="4">
        <v>44771.874198865742</v>
      </c>
      <c r="D2961" t="s">
        <v>2143</v>
      </c>
      <c r="E2961" t="s">
        <v>38</v>
      </c>
      <c r="F2961" t="s">
        <v>23</v>
      </c>
      <c r="G2961" t="s">
        <v>108</v>
      </c>
      <c r="H2961" t="s">
        <v>40</v>
      </c>
      <c r="I2961" t="s">
        <v>21</v>
      </c>
      <c r="J2961" t="s">
        <v>586</v>
      </c>
    </row>
    <row r="2962" spans="1:10" x14ac:dyDescent="0.25">
      <c r="A2962">
        <v>27843554</v>
      </c>
      <c r="B2962" t="s">
        <v>17</v>
      </c>
      <c r="C2962" s="4">
        <v>44771.874316909722</v>
      </c>
      <c r="D2962" t="s">
        <v>2144</v>
      </c>
      <c r="E2962" t="s">
        <v>27</v>
      </c>
      <c r="F2962" t="s">
        <v>18</v>
      </c>
      <c r="G2962" t="s">
        <v>226</v>
      </c>
      <c r="H2962" t="s">
        <v>40</v>
      </c>
      <c r="I2962" t="s">
        <v>21</v>
      </c>
      <c r="J2962" t="s">
        <v>2145</v>
      </c>
    </row>
    <row r="2963" spans="1:10" x14ac:dyDescent="0.25">
      <c r="A2963">
        <v>27843556</v>
      </c>
      <c r="B2963" t="s">
        <v>17</v>
      </c>
      <c r="C2963" s="4">
        <v>44771.874507430563</v>
      </c>
      <c r="D2963" t="s">
        <v>2152</v>
      </c>
      <c r="E2963" t="s">
        <v>38</v>
      </c>
      <c r="F2963" t="s">
        <v>55</v>
      </c>
      <c r="G2963" t="s">
        <v>56</v>
      </c>
      <c r="H2963" t="s">
        <v>54</v>
      </c>
      <c r="I2963" t="s">
        <v>21</v>
      </c>
      <c r="J2963" t="s">
        <v>458</v>
      </c>
    </row>
    <row r="2964" spans="1:10" x14ac:dyDescent="0.25">
      <c r="A2964">
        <v>27843560</v>
      </c>
      <c r="B2964" t="s">
        <v>17</v>
      </c>
      <c r="C2964" s="4">
        <v>44771.874689930562</v>
      </c>
      <c r="D2964" t="s">
        <v>2143</v>
      </c>
      <c r="E2964" t="s">
        <v>38</v>
      </c>
      <c r="F2964" t="s">
        <v>23</v>
      </c>
      <c r="G2964" t="s">
        <v>108</v>
      </c>
      <c r="H2964" t="s">
        <v>25</v>
      </c>
      <c r="I2964" t="s">
        <v>21</v>
      </c>
      <c r="J2964" t="s">
        <v>586</v>
      </c>
    </row>
    <row r="2965" spans="1:10" x14ac:dyDescent="0.25">
      <c r="A2965">
        <v>27843572</v>
      </c>
      <c r="B2965" t="s">
        <v>17</v>
      </c>
      <c r="C2965" s="4">
        <v>44771.874930381942</v>
      </c>
      <c r="D2965" t="s">
        <v>2157</v>
      </c>
      <c r="E2965" t="s">
        <v>38</v>
      </c>
      <c r="F2965" t="s">
        <v>31</v>
      </c>
      <c r="G2965" t="s">
        <v>39</v>
      </c>
      <c r="H2965" t="s">
        <v>54</v>
      </c>
      <c r="I2965" t="s">
        <v>21</v>
      </c>
      <c r="J2965" t="s">
        <v>441</v>
      </c>
    </row>
    <row r="2966" spans="1:10" x14ac:dyDescent="0.25">
      <c r="A2966">
        <v>27843577</v>
      </c>
      <c r="B2966" t="s">
        <v>17</v>
      </c>
      <c r="C2966" s="4">
        <v>44771.874977430547</v>
      </c>
      <c r="D2966" t="s">
        <v>2160</v>
      </c>
      <c r="E2966" t="s">
        <v>38</v>
      </c>
      <c r="F2966" t="s">
        <v>52</v>
      </c>
      <c r="G2966" t="s">
        <v>100</v>
      </c>
      <c r="H2966" t="s">
        <v>29</v>
      </c>
      <c r="I2966" t="s">
        <v>21</v>
      </c>
    </row>
    <row r="2967" spans="1:10" x14ac:dyDescent="0.25">
      <c r="A2967">
        <v>27843579</v>
      </c>
      <c r="B2967" t="s">
        <v>17</v>
      </c>
      <c r="C2967" s="4">
        <v>44771.874984710637</v>
      </c>
      <c r="D2967" t="s">
        <v>2144</v>
      </c>
      <c r="E2967" t="s">
        <v>27</v>
      </c>
      <c r="F2967" t="s">
        <v>18</v>
      </c>
      <c r="G2967" t="s">
        <v>226</v>
      </c>
      <c r="H2967" t="s">
        <v>25</v>
      </c>
      <c r="I2967" t="s">
        <v>21</v>
      </c>
      <c r="J2967" t="s">
        <v>2145</v>
      </c>
    </row>
    <row r="2968" spans="1:10" x14ac:dyDescent="0.25">
      <c r="A2968">
        <v>27843598</v>
      </c>
      <c r="B2968" t="s">
        <v>17</v>
      </c>
      <c r="C2968" s="4">
        <v>44771.875076122677</v>
      </c>
      <c r="D2968" t="s">
        <v>2150</v>
      </c>
      <c r="E2968" t="s">
        <v>27</v>
      </c>
      <c r="F2968" t="s">
        <v>18</v>
      </c>
      <c r="G2968" t="s">
        <v>260</v>
      </c>
      <c r="H2968" t="s">
        <v>40</v>
      </c>
      <c r="I2968" t="s">
        <v>21</v>
      </c>
      <c r="J2968" t="s">
        <v>2151</v>
      </c>
    </row>
    <row r="2969" spans="1:10" x14ac:dyDescent="0.25">
      <c r="A2969">
        <v>27843601</v>
      </c>
      <c r="B2969" t="s">
        <v>17</v>
      </c>
      <c r="C2969" s="4">
        <v>44771.875244259259</v>
      </c>
      <c r="D2969" t="s">
        <v>2153</v>
      </c>
      <c r="E2969" t="s">
        <v>38</v>
      </c>
      <c r="F2969" t="s">
        <v>33</v>
      </c>
      <c r="G2969" t="s">
        <v>34</v>
      </c>
      <c r="H2969" t="s">
        <v>40</v>
      </c>
      <c r="I2969" t="s">
        <v>21</v>
      </c>
      <c r="J2969" t="s">
        <v>472</v>
      </c>
    </row>
    <row r="2970" spans="1:10" x14ac:dyDescent="0.25">
      <c r="A2970">
        <v>27843608</v>
      </c>
      <c r="B2970" t="s">
        <v>17</v>
      </c>
      <c r="C2970" s="4">
        <v>44771.87542935185</v>
      </c>
      <c r="D2970" t="s">
        <v>2161</v>
      </c>
      <c r="E2970" t="s">
        <v>27</v>
      </c>
      <c r="F2970" t="s">
        <v>45</v>
      </c>
      <c r="G2970" t="s">
        <v>283</v>
      </c>
      <c r="H2970" t="s">
        <v>42</v>
      </c>
      <c r="I2970" t="s">
        <v>21</v>
      </c>
      <c r="J2970" t="s">
        <v>2162</v>
      </c>
    </row>
    <row r="2971" spans="1:10" x14ac:dyDescent="0.25">
      <c r="A2971">
        <v>27843616</v>
      </c>
      <c r="B2971" t="s">
        <v>17</v>
      </c>
      <c r="C2971" s="4">
        <v>44771.875496620371</v>
      </c>
      <c r="D2971" t="s">
        <v>2161</v>
      </c>
      <c r="E2971" t="s">
        <v>27</v>
      </c>
      <c r="F2971" t="s">
        <v>45</v>
      </c>
      <c r="G2971" t="s">
        <v>283</v>
      </c>
      <c r="H2971" t="s">
        <v>54</v>
      </c>
      <c r="I2971" t="s">
        <v>21</v>
      </c>
      <c r="J2971" t="s">
        <v>2162</v>
      </c>
    </row>
    <row r="2972" spans="1:10" x14ac:dyDescent="0.25">
      <c r="A2972">
        <v>27843625</v>
      </c>
      <c r="B2972" t="s">
        <v>17</v>
      </c>
      <c r="C2972" s="4">
        <v>44771.875790486112</v>
      </c>
      <c r="D2972" t="s">
        <v>2150</v>
      </c>
      <c r="E2972" t="s">
        <v>27</v>
      </c>
      <c r="F2972" t="s">
        <v>18</v>
      </c>
      <c r="G2972" t="s">
        <v>260</v>
      </c>
      <c r="H2972" t="s">
        <v>25</v>
      </c>
      <c r="I2972" t="s">
        <v>21</v>
      </c>
      <c r="J2972" t="s">
        <v>2151</v>
      </c>
    </row>
    <row r="2973" spans="1:10" x14ac:dyDescent="0.25">
      <c r="A2973">
        <v>27843637</v>
      </c>
      <c r="B2973" t="s">
        <v>17</v>
      </c>
      <c r="C2973" s="4">
        <v>44771.875955972217</v>
      </c>
      <c r="D2973" t="s">
        <v>2153</v>
      </c>
      <c r="E2973" t="s">
        <v>38</v>
      </c>
      <c r="F2973" t="s">
        <v>33</v>
      </c>
      <c r="G2973" t="s">
        <v>34</v>
      </c>
      <c r="H2973" t="s">
        <v>25</v>
      </c>
      <c r="I2973" t="s">
        <v>21</v>
      </c>
      <c r="J2973" t="s">
        <v>472</v>
      </c>
    </row>
    <row r="2974" spans="1:10" x14ac:dyDescent="0.25">
      <c r="A2974">
        <v>27843647</v>
      </c>
      <c r="B2974" t="s">
        <v>17</v>
      </c>
      <c r="C2974" s="4">
        <v>44771.876014120367</v>
      </c>
      <c r="D2974" t="s">
        <v>2152</v>
      </c>
      <c r="E2974" t="s">
        <v>38</v>
      </c>
      <c r="F2974" t="s">
        <v>55</v>
      </c>
      <c r="G2974" t="s">
        <v>56</v>
      </c>
      <c r="H2974" t="s">
        <v>40</v>
      </c>
      <c r="I2974" t="s">
        <v>21</v>
      </c>
      <c r="J2974" t="s">
        <v>458</v>
      </c>
    </row>
    <row r="2975" spans="1:10" x14ac:dyDescent="0.25">
      <c r="A2975">
        <v>27843661</v>
      </c>
      <c r="B2975" t="s">
        <v>17</v>
      </c>
      <c r="C2975" s="4">
        <v>44771.876355578701</v>
      </c>
      <c r="D2975" t="s">
        <v>2163</v>
      </c>
      <c r="E2975" t="s">
        <v>27</v>
      </c>
      <c r="F2975" t="s">
        <v>18</v>
      </c>
      <c r="G2975" t="s">
        <v>273</v>
      </c>
      <c r="H2975" t="s">
        <v>42</v>
      </c>
      <c r="I2975" t="s">
        <v>21</v>
      </c>
      <c r="J2975" t="s">
        <v>2164</v>
      </c>
    </row>
    <row r="2976" spans="1:10" x14ac:dyDescent="0.25">
      <c r="A2976">
        <v>27843666</v>
      </c>
      <c r="B2976" t="s">
        <v>17</v>
      </c>
      <c r="C2976" s="4">
        <v>44771.876406967589</v>
      </c>
      <c r="D2976" t="s">
        <v>2163</v>
      </c>
      <c r="E2976" t="s">
        <v>27</v>
      </c>
      <c r="F2976" t="s">
        <v>18</v>
      </c>
      <c r="G2976" t="s">
        <v>273</v>
      </c>
      <c r="H2976" t="s">
        <v>54</v>
      </c>
      <c r="I2976" t="s">
        <v>21</v>
      </c>
      <c r="J2976" t="s">
        <v>2164</v>
      </c>
    </row>
    <row r="2977" spans="1:10" x14ac:dyDescent="0.25">
      <c r="A2977">
        <v>27843672</v>
      </c>
      <c r="B2977" t="s">
        <v>17</v>
      </c>
      <c r="C2977" s="4">
        <v>44771.876487893518</v>
      </c>
      <c r="D2977" t="s">
        <v>2165</v>
      </c>
      <c r="E2977" t="s">
        <v>27</v>
      </c>
      <c r="F2977" t="s">
        <v>18</v>
      </c>
      <c r="G2977" t="s">
        <v>396</v>
      </c>
      <c r="H2977" t="s">
        <v>29</v>
      </c>
      <c r="I2977" t="s">
        <v>21</v>
      </c>
      <c r="J2977" t="s">
        <v>2166</v>
      </c>
    </row>
    <row r="2978" spans="1:10" x14ac:dyDescent="0.25">
      <c r="A2978">
        <v>27843683</v>
      </c>
      <c r="B2978" t="s">
        <v>17</v>
      </c>
      <c r="C2978" s="4">
        <v>44771.876633020831</v>
      </c>
      <c r="F2978" t="s">
        <v>55</v>
      </c>
      <c r="G2978" t="s">
        <v>99</v>
      </c>
      <c r="H2978" t="s">
        <v>20</v>
      </c>
      <c r="I2978" t="s">
        <v>21</v>
      </c>
    </row>
    <row r="2979" spans="1:10" x14ac:dyDescent="0.25">
      <c r="A2979">
        <v>27843686</v>
      </c>
      <c r="B2979" t="s">
        <v>17</v>
      </c>
      <c r="C2979" s="4">
        <v>44771.876641296287</v>
      </c>
      <c r="D2979" t="s">
        <v>2152</v>
      </c>
      <c r="E2979" t="s">
        <v>38</v>
      </c>
      <c r="F2979" t="s">
        <v>55</v>
      </c>
      <c r="G2979" t="s">
        <v>56</v>
      </c>
      <c r="H2979" t="s">
        <v>25</v>
      </c>
      <c r="I2979" t="s">
        <v>21</v>
      </c>
      <c r="J2979" t="s">
        <v>458</v>
      </c>
    </row>
    <row r="2980" spans="1:10" x14ac:dyDescent="0.25">
      <c r="A2980">
        <v>27843705</v>
      </c>
      <c r="B2980" t="s">
        <v>17</v>
      </c>
      <c r="C2980" s="4">
        <v>44771.877051412041</v>
      </c>
      <c r="D2980" t="s">
        <v>2167</v>
      </c>
      <c r="E2980" t="s">
        <v>72</v>
      </c>
      <c r="F2980" t="s">
        <v>49</v>
      </c>
      <c r="G2980" t="s">
        <v>132</v>
      </c>
      <c r="H2980" t="s">
        <v>29</v>
      </c>
      <c r="I2980" t="s">
        <v>21</v>
      </c>
      <c r="J2980" t="s">
        <v>2168</v>
      </c>
    </row>
    <row r="2981" spans="1:10" x14ac:dyDescent="0.25">
      <c r="A2981">
        <v>27843728</v>
      </c>
      <c r="B2981" t="s">
        <v>17</v>
      </c>
      <c r="C2981" s="4">
        <v>44771.878205347217</v>
      </c>
      <c r="D2981" t="s">
        <v>2154</v>
      </c>
      <c r="E2981" t="s">
        <v>27</v>
      </c>
      <c r="F2981" t="s">
        <v>49</v>
      </c>
      <c r="G2981" t="s">
        <v>359</v>
      </c>
      <c r="H2981" t="s">
        <v>40</v>
      </c>
      <c r="I2981" t="s">
        <v>21</v>
      </c>
      <c r="J2981" t="s">
        <v>2155</v>
      </c>
    </row>
    <row r="2982" spans="1:10" x14ac:dyDescent="0.25">
      <c r="A2982">
        <v>27843765</v>
      </c>
      <c r="B2982" t="s">
        <v>17</v>
      </c>
      <c r="C2982" s="4">
        <v>44771.879459780102</v>
      </c>
      <c r="D2982" t="s">
        <v>2161</v>
      </c>
      <c r="E2982" t="s">
        <v>27</v>
      </c>
      <c r="F2982" t="s">
        <v>45</v>
      </c>
      <c r="G2982" t="s">
        <v>283</v>
      </c>
      <c r="H2982" t="s">
        <v>40</v>
      </c>
      <c r="I2982" t="s">
        <v>21</v>
      </c>
      <c r="J2982" t="s">
        <v>2162</v>
      </c>
    </row>
    <row r="2983" spans="1:10" x14ac:dyDescent="0.25">
      <c r="A2983">
        <v>27843774</v>
      </c>
      <c r="B2983" t="s">
        <v>17</v>
      </c>
      <c r="C2983" s="4">
        <v>44771.879620428241</v>
      </c>
      <c r="D2983" t="s">
        <v>2169</v>
      </c>
      <c r="E2983" t="s">
        <v>27</v>
      </c>
      <c r="F2983" t="s">
        <v>49</v>
      </c>
      <c r="G2983" t="s">
        <v>359</v>
      </c>
      <c r="H2983" t="s">
        <v>29</v>
      </c>
      <c r="I2983" t="s">
        <v>21</v>
      </c>
      <c r="J2983" t="s">
        <v>2170</v>
      </c>
    </row>
    <row r="2984" spans="1:10" x14ac:dyDescent="0.25">
      <c r="A2984">
        <v>27843784</v>
      </c>
      <c r="B2984" t="s">
        <v>17</v>
      </c>
      <c r="C2984" s="4">
        <v>44771.879704131941</v>
      </c>
      <c r="D2984" t="s">
        <v>2161</v>
      </c>
      <c r="E2984" t="s">
        <v>27</v>
      </c>
      <c r="F2984" t="s">
        <v>45</v>
      </c>
      <c r="G2984" t="s">
        <v>283</v>
      </c>
      <c r="H2984" t="s">
        <v>25</v>
      </c>
      <c r="I2984" t="s">
        <v>21</v>
      </c>
      <c r="J2984" t="s">
        <v>2162</v>
      </c>
    </row>
    <row r="2985" spans="1:10" x14ac:dyDescent="0.25">
      <c r="A2985">
        <v>27843788</v>
      </c>
      <c r="B2985" t="s">
        <v>17</v>
      </c>
      <c r="C2985" s="4">
        <v>44771.879718414362</v>
      </c>
      <c r="D2985" t="s">
        <v>2154</v>
      </c>
      <c r="E2985" t="s">
        <v>27</v>
      </c>
      <c r="F2985" t="s">
        <v>49</v>
      </c>
      <c r="G2985" t="s">
        <v>359</v>
      </c>
      <c r="H2985" t="s">
        <v>25</v>
      </c>
      <c r="I2985" t="s">
        <v>21</v>
      </c>
      <c r="J2985" t="s">
        <v>2155</v>
      </c>
    </row>
    <row r="2986" spans="1:10" x14ac:dyDescent="0.25">
      <c r="A2986">
        <v>27843830</v>
      </c>
      <c r="B2986" t="s">
        <v>17</v>
      </c>
      <c r="C2986" s="4">
        <v>44771.880429201388</v>
      </c>
      <c r="E2986" t="s">
        <v>38</v>
      </c>
      <c r="F2986" t="s">
        <v>55</v>
      </c>
      <c r="G2986" t="s">
        <v>99</v>
      </c>
      <c r="H2986" t="s">
        <v>40</v>
      </c>
      <c r="I2986" t="s">
        <v>21</v>
      </c>
    </row>
    <row r="2987" spans="1:10" x14ac:dyDescent="0.25">
      <c r="A2987">
        <v>27843837</v>
      </c>
      <c r="B2987" t="s">
        <v>17</v>
      </c>
      <c r="C2987" s="4">
        <v>44771.880585682869</v>
      </c>
      <c r="D2987" t="s">
        <v>2158</v>
      </c>
      <c r="E2987" t="s">
        <v>27</v>
      </c>
      <c r="F2987" t="s">
        <v>18</v>
      </c>
      <c r="G2987" t="s">
        <v>375</v>
      </c>
      <c r="H2987" t="s">
        <v>40</v>
      </c>
      <c r="I2987" t="s">
        <v>21</v>
      </c>
      <c r="J2987" t="s">
        <v>2159</v>
      </c>
    </row>
    <row r="2988" spans="1:10" x14ac:dyDescent="0.25">
      <c r="A2988">
        <v>27843839</v>
      </c>
      <c r="B2988" t="s">
        <v>17</v>
      </c>
      <c r="C2988" s="4">
        <v>44771.880619212963</v>
      </c>
      <c r="D2988" t="s">
        <v>2157</v>
      </c>
      <c r="E2988" t="s">
        <v>38</v>
      </c>
      <c r="F2988" t="s">
        <v>31</v>
      </c>
      <c r="G2988" t="s">
        <v>39</v>
      </c>
      <c r="H2988" t="s">
        <v>40</v>
      </c>
      <c r="I2988" t="s">
        <v>21</v>
      </c>
      <c r="J2988" t="s">
        <v>441</v>
      </c>
    </row>
    <row r="2989" spans="1:10" x14ac:dyDescent="0.25">
      <c r="A2989">
        <v>27843844</v>
      </c>
      <c r="B2989" t="s">
        <v>17</v>
      </c>
      <c r="C2989" s="4">
        <v>44771.88100040509</v>
      </c>
      <c r="E2989" t="s">
        <v>38</v>
      </c>
      <c r="F2989" t="s">
        <v>55</v>
      </c>
      <c r="G2989" t="s">
        <v>99</v>
      </c>
      <c r="H2989" t="s">
        <v>25</v>
      </c>
      <c r="I2989" t="s">
        <v>21</v>
      </c>
    </row>
    <row r="2990" spans="1:10" x14ac:dyDescent="0.25">
      <c r="A2990">
        <v>27843849</v>
      </c>
      <c r="B2990" t="s">
        <v>17</v>
      </c>
      <c r="C2990" s="4">
        <v>44771.881072789351</v>
      </c>
      <c r="D2990" t="s">
        <v>2158</v>
      </c>
      <c r="E2990" t="s">
        <v>27</v>
      </c>
      <c r="F2990" t="s">
        <v>18</v>
      </c>
      <c r="G2990" t="s">
        <v>375</v>
      </c>
      <c r="H2990" t="s">
        <v>25</v>
      </c>
      <c r="I2990" t="s">
        <v>21</v>
      </c>
      <c r="J2990" t="s">
        <v>2159</v>
      </c>
    </row>
    <row r="2991" spans="1:10" x14ac:dyDescent="0.25">
      <c r="A2991">
        <v>27843860</v>
      </c>
      <c r="B2991" t="s">
        <v>17</v>
      </c>
      <c r="C2991" s="4">
        <v>44771.881226122678</v>
      </c>
      <c r="D2991" t="s">
        <v>2157</v>
      </c>
      <c r="E2991" t="s">
        <v>38</v>
      </c>
      <c r="F2991" t="s">
        <v>31</v>
      </c>
      <c r="G2991" t="s">
        <v>39</v>
      </c>
      <c r="H2991" t="s">
        <v>25</v>
      </c>
      <c r="I2991" t="s">
        <v>21</v>
      </c>
      <c r="J2991" t="s">
        <v>441</v>
      </c>
    </row>
    <row r="2992" spans="1:10" x14ac:dyDescent="0.25">
      <c r="A2992">
        <v>27843867</v>
      </c>
      <c r="B2992" t="s">
        <v>17</v>
      </c>
      <c r="C2992" s="4">
        <v>44771.881258958332</v>
      </c>
      <c r="D2992" t="s">
        <v>2171</v>
      </c>
      <c r="E2992" t="s">
        <v>22</v>
      </c>
      <c r="F2992" t="s">
        <v>18</v>
      </c>
      <c r="G2992" t="s">
        <v>115</v>
      </c>
      <c r="H2992" t="s">
        <v>29</v>
      </c>
      <c r="I2992" t="s">
        <v>21</v>
      </c>
    </row>
    <row r="2993" spans="1:10" x14ac:dyDescent="0.25">
      <c r="A2993">
        <v>27843897</v>
      </c>
      <c r="B2993" t="s">
        <v>17</v>
      </c>
      <c r="C2993" s="4">
        <v>44771.882258807869</v>
      </c>
      <c r="D2993" t="s">
        <v>2172</v>
      </c>
      <c r="E2993" t="s">
        <v>38</v>
      </c>
      <c r="F2993" t="s">
        <v>55</v>
      </c>
      <c r="G2993" t="s">
        <v>309</v>
      </c>
      <c r="H2993" t="s">
        <v>42</v>
      </c>
      <c r="I2993" t="s">
        <v>21</v>
      </c>
      <c r="J2993" t="s">
        <v>486</v>
      </c>
    </row>
    <row r="2994" spans="1:10" x14ac:dyDescent="0.25">
      <c r="A2994">
        <v>27843899</v>
      </c>
      <c r="B2994" t="s">
        <v>17</v>
      </c>
      <c r="C2994" s="4">
        <v>44771.882259131948</v>
      </c>
      <c r="D2994" t="s">
        <v>2173</v>
      </c>
      <c r="E2994" t="s">
        <v>27</v>
      </c>
      <c r="F2994" t="s">
        <v>49</v>
      </c>
      <c r="G2994" t="s">
        <v>359</v>
      </c>
      <c r="H2994" t="s">
        <v>42</v>
      </c>
      <c r="I2994" t="s">
        <v>21</v>
      </c>
      <c r="J2994" t="s">
        <v>2174</v>
      </c>
    </row>
    <row r="2995" spans="1:10" x14ac:dyDescent="0.25">
      <c r="A2995">
        <v>27843901</v>
      </c>
      <c r="B2995" t="s">
        <v>17</v>
      </c>
      <c r="C2995" s="4">
        <v>44771.88225934028</v>
      </c>
      <c r="D2995" t="s">
        <v>2175</v>
      </c>
      <c r="E2995" t="s">
        <v>38</v>
      </c>
      <c r="F2995" t="s">
        <v>55</v>
      </c>
      <c r="G2995" t="s">
        <v>193</v>
      </c>
      <c r="H2995" t="s">
        <v>42</v>
      </c>
      <c r="I2995" t="s">
        <v>21</v>
      </c>
      <c r="J2995" t="s">
        <v>2135</v>
      </c>
    </row>
    <row r="2996" spans="1:10" x14ac:dyDescent="0.25">
      <c r="A2996">
        <v>27843907</v>
      </c>
      <c r="B2996" t="s">
        <v>17</v>
      </c>
      <c r="C2996" s="4">
        <v>44771.882389120372</v>
      </c>
      <c r="D2996" t="s">
        <v>2163</v>
      </c>
      <c r="E2996" t="s">
        <v>27</v>
      </c>
      <c r="F2996" t="s">
        <v>18</v>
      </c>
      <c r="G2996" t="s">
        <v>273</v>
      </c>
      <c r="H2996" t="s">
        <v>40</v>
      </c>
      <c r="I2996" t="s">
        <v>21</v>
      </c>
      <c r="J2996" t="s">
        <v>2164</v>
      </c>
    </row>
    <row r="2997" spans="1:10" x14ac:dyDescent="0.25">
      <c r="A2997">
        <v>27843913</v>
      </c>
      <c r="B2997" t="s">
        <v>17</v>
      </c>
      <c r="C2997" s="4">
        <v>44771.882670590283</v>
      </c>
      <c r="D2997" t="s">
        <v>1723</v>
      </c>
      <c r="E2997" t="s">
        <v>22</v>
      </c>
      <c r="F2997" t="s">
        <v>52</v>
      </c>
      <c r="G2997" t="s">
        <v>234</v>
      </c>
      <c r="H2997" t="s">
        <v>29</v>
      </c>
      <c r="I2997" t="s">
        <v>21</v>
      </c>
    </row>
    <row r="2998" spans="1:10" x14ac:dyDescent="0.25">
      <c r="A2998">
        <v>27843916</v>
      </c>
      <c r="B2998" t="s">
        <v>17</v>
      </c>
      <c r="C2998" s="4">
        <v>44771.883014780091</v>
      </c>
      <c r="D2998" t="s">
        <v>2163</v>
      </c>
      <c r="E2998" t="s">
        <v>27</v>
      </c>
      <c r="F2998" t="s">
        <v>18</v>
      </c>
      <c r="G2998" t="s">
        <v>273</v>
      </c>
      <c r="H2998" t="s">
        <v>25</v>
      </c>
      <c r="I2998" t="s">
        <v>21</v>
      </c>
      <c r="J2998" t="s">
        <v>2164</v>
      </c>
    </row>
    <row r="2999" spans="1:10" x14ac:dyDescent="0.25">
      <c r="A2999">
        <v>27843925</v>
      </c>
      <c r="B2999" t="s">
        <v>17</v>
      </c>
      <c r="C2999" s="4">
        <v>44771.883063043977</v>
      </c>
      <c r="F2999" t="s">
        <v>52</v>
      </c>
      <c r="G2999" t="s">
        <v>234</v>
      </c>
      <c r="H2999" t="s">
        <v>20</v>
      </c>
      <c r="I2999" t="s">
        <v>21</v>
      </c>
    </row>
    <row r="3000" spans="1:10" x14ac:dyDescent="0.25">
      <c r="A3000">
        <v>27843944</v>
      </c>
      <c r="B3000" t="s">
        <v>17</v>
      </c>
      <c r="C3000" s="4">
        <v>44771.88350171296</v>
      </c>
      <c r="D3000" t="s">
        <v>2173</v>
      </c>
      <c r="E3000" t="s">
        <v>27</v>
      </c>
      <c r="F3000" t="s">
        <v>49</v>
      </c>
      <c r="G3000" t="s">
        <v>359</v>
      </c>
      <c r="H3000" t="s">
        <v>239</v>
      </c>
      <c r="I3000" t="s">
        <v>21</v>
      </c>
      <c r="J3000" t="s">
        <v>2174</v>
      </c>
    </row>
    <row r="3001" spans="1:10" x14ac:dyDescent="0.25">
      <c r="A3001">
        <v>27843945</v>
      </c>
      <c r="B3001" t="s">
        <v>17</v>
      </c>
      <c r="C3001" s="4">
        <v>44771.883510983796</v>
      </c>
      <c r="D3001" t="s">
        <v>2173</v>
      </c>
      <c r="E3001" t="s">
        <v>27</v>
      </c>
      <c r="F3001" t="s">
        <v>49</v>
      </c>
      <c r="G3001" t="s">
        <v>359</v>
      </c>
      <c r="H3001" t="s">
        <v>240</v>
      </c>
      <c r="I3001" t="s">
        <v>21</v>
      </c>
      <c r="J3001" t="s">
        <v>2174</v>
      </c>
    </row>
    <row r="3002" spans="1:10" x14ac:dyDescent="0.25">
      <c r="A3002">
        <v>27843999</v>
      </c>
      <c r="B3002" t="s">
        <v>17</v>
      </c>
      <c r="C3002" s="4">
        <v>44771.886020046302</v>
      </c>
      <c r="D3002" t="s">
        <v>2176</v>
      </c>
      <c r="E3002" t="s">
        <v>62</v>
      </c>
      <c r="F3002" t="s">
        <v>45</v>
      </c>
      <c r="G3002" t="s">
        <v>314</v>
      </c>
      <c r="H3002" t="s">
        <v>42</v>
      </c>
      <c r="I3002" t="s">
        <v>21</v>
      </c>
      <c r="J3002" t="s">
        <v>2177</v>
      </c>
    </row>
    <row r="3003" spans="1:10" x14ac:dyDescent="0.25">
      <c r="A3003">
        <v>27844007</v>
      </c>
      <c r="B3003" t="s">
        <v>17</v>
      </c>
      <c r="C3003" s="4">
        <v>44771.886586469911</v>
      </c>
      <c r="D3003" t="s">
        <v>2176</v>
      </c>
      <c r="E3003" t="s">
        <v>62</v>
      </c>
      <c r="F3003" t="s">
        <v>45</v>
      </c>
      <c r="G3003" t="s">
        <v>314</v>
      </c>
      <c r="H3003" t="s">
        <v>54</v>
      </c>
      <c r="I3003" t="s">
        <v>21</v>
      </c>
      <c r="J3003" t="s">
        <v>2177</v>
      </c>
    </row>
    <row r="3004" spans="1:10" x14ac:dyDescent="0.25">
      <c r="A3004">
        <v>27844023</v>
      </c>
      <c r="B3004" t="s">
        <v>17</v>
      </c>
      <c r="C3004" s="4">
        <v>44771.887082569447</v>
      </c>
      <c r="F3004" t="s">
        <v>33</v>
      </c>
      <c r="G3004" t="s">
        <v>407</v>
      </c>
      <c r="H3004" t="s">
        <v>20</v>
      </c>
      <c r="I3004" t="s">
        <v>21</v>
      </c>
    </row>
    <row r="3005" spans="1:10" x14ac:dyDescent="0.25">
      <c r="A3005">
        <v>27844038</v>
      </c>
      <c r="B3005" t="s">
        <v>17</v>
      </c>
      <c r="C3005" s="4">
        <v>44771.887466435182</v>
      </c>
      <c r="D3005" t="s">
        <v>2178</v>
      </c>
      <c r="E3005" t="s">
        <v>38</v>
      </c>
      <c r="F3005" t="s">
        <v>52</v>
      </c>
      <c r="G3005" t="s">
        <v>100</v>
      </c>
      <c r="H3005" t="s">
        <v>42</v>
      </c>
      <c r="I3005" t="s">
        <v>21</v>
      </c>
      <c r="J3005" t="s">
        <v>559</v>
      </c>
    </row>
    <row r="3006" spans="1:10" x14ac:dyDescent="0.25">
      <c r="A3006">
        <v>27844059</v>
      </c>
      <c r="B3006" t="s">
        <v>17</v>
      </c>
      <c r="C3006" s="4">
        <v>44771.88844023148</v>
      </c>
      <c r="D3006" t="s">
        <v>2178</v>
      </c>
      <c r="E3006" t="s">
        <v>38</v>
      </c>
      <c r="F3006" t="s">
        <v>52</v>
      </c>
      <c r="G3006" t="s">
        <v>100</v>
      </c>
      <c r="H3006" t="s">
        <v>54</v>
      </c>
      <c r="I3006" t="s">
        <v>21</v>
      </c>
      <c r="J3006" t="s">
        <v>559</v>
      </c>
    </row>
    <row r="3007" spans="1:10" x14ac:dyDescent="0.25">
      <c r="A3007">
        <v>27844071</v>
      </c>
      <c r="B3007" t="s">
        <v>17</v>
      </c>
      <c r="C3007" s="4">
        <v>44771.888823020832</v>
      </c>
      <c r="D3007" t="s">
        <v>2179</v>
      </c>
      <c r="E3007" t="s">
        <v>22</v>
      </c>
      <c r="F3007" t="s">
        <v>23</v>
      </c>
      <c r="G3007" t="s">
        <v>178</v>
      </c>
      <c r="H3007" t="s">
        <v>155</v>
      </c>
      <c r="I3007" t="s">
        <v>21</v>
      </c>
    </row>
    <row r="3008" spans="1:10" x14ac:dyDescent="0.25">
      <c r="A3008">
        <v>27844085</v>
      </c>
      <c r="B3008" t="s">
        <v>17</v>
      </c>
      <c r="C3008" s="4">
        <v>44771.889228356478</v>
      </c>
      <c r="D3008" t="s">
        <v>2173</v>
      </c>
      <c r="E3008" t="s">
        <v>27</v>
      </c>
      <c r="F3008" t="s">
        <v>49</v>
      </c>
      <c r="G3008" t="s">
        <v>359</v>
      </c>
      <c r="H3008" t="s">
        <v>40</v>
      </c>
      <c r="I3008" t="s">
        <v>21</v>
      </c>
      <c r="J3008" t="s">
        <v>2174</v>
      </c>
    </row>
    <row r="3009" spans="1:10" x14ac:dyDescent="0.25">
      <c r="A3009">
        <v>27844097</v>
      </c>
      <c r="B3009" t="s">
        <v>17</v>
      </c>
      <c r="C3009" s="4">
        <v>44771.889885115743</v>
      </c>
      <c r="D3009" t="s">
        <v>2180</v>
      </c>
      <c r="E3009" t="s">
        <v>117</v>
      </c>
      <c r="F3009" t="s">
        <v>52</v>
      </c>
      <c r="G3009" t="s">
        <v>234</v>
      </c>
      <c r="H3009" t="s">
        <v>40</v>
      </c>
      <c r="I3009" t="s">
        <v>21</v>
      </c>
    </row>
    <row r="3010" spans="1:10" x14ac:dyDescent="0.25">
      <c r="A3010">
        <v>27844098</v>
      </c>
      <c r="B3010" t="s">
        <v>17</v>
      </c>
      <c r="C3010" s="4">
        <v>44771.889910474543</v>
      </c>
      <c r="D3010" t="s">
        <v>2173</v>
      </c>
      <c r="E3010" t="s">
        <v>27</v>
      </c>
      <c r="F3010" t="s">
        <v>49</v>
      </c>
      <c r="G3010" t="s">
        <v>359</v>
      </c>
      <c r="H3010" t="s">
        <v>25</v>
      </c>
      <c r="I3010" t="s">
        <v>21</v>
      </c>
      <c r="J3010" t="s">
        <v>2174</v>
      </c>
    </row>
    <row r="3011" spans="1:10" x14ac:dyDescent="0.25">
      <c r="A3011">
        <v>27844119</v>
      </c>
      <c r="B3011" t="s">
        <v>17</v>
      </c>
      <c r="C3011" s="4">
        <v>44771.89039241898</v>
      </c>
      <c r="D3011" t="s">
        <v>2180</v>
      </c>
      <c r="E3011" t="s">
        <v>117</v>
      </c>
      <c r="F3011" t="s">
        <v>52</v>
      </c>
      <c r="G3011" t="s">
        <v>234</v>
      </c>
      <c r="H3011" t="s">
        <v>25</v>
      </c>
      <c r="I3011" t="s">
        <v>21</v>
      </c>
    </row>
    <row r="3012" spans="1:10" x14ac:dyDescent="0.25">
      <c r="A3012">
        <v>27844126</v>
      </c>
      <c r="B3012" t="s">
        <v>17</v>
      </c>
      <c r="C3012" s="4">
        <v>44771.890522974543</v>
      </c>
      <c r="D3012" t="s">
        <v>974</v>
      </c>
      <c r="E3012" t="s">
        <v>38</v>
      </c>
      <c r="F3012" t="s">
        <v>52</v>
      </c>
      <c r="G3012" t="s">
        <v>206</v>
      </c>
      <c r="H3012" t="s">
        <v>29</v>
      </c>
      <c r="I3012" t="s">
        <v>21</v>
      </c>
      <c r="J3012" t="s">
        <v>457</v>
      </c>
    </row>
    <row r="3013" spans="1:10" x14ac:dyDescent="0.25">
      <c r="A3013">
        <v>27844138</v>
      </c>
      <c r="B3013" t="s">
        <v>17</v>
      </c>
      <c r="C3013" s="4">
        <v>44771.890717951392</v>
      </c>
      <c r="D3013" t="s">
        <v>2176</v>
      </c>
      <c r="E3013" t="s">
        <v>62</v>
      </c>
      <c r="F3013" t="s">
        <v>45</v>
      </c>
      <c r="G3013" t="s">
        <v>314</v>
      </c>
      <c r="H3013" t="s">
        <v>40</v>
      </c>
      <c r="I3013" t="s">
        <v>21</v>
      </c>
      <c r="J3013" t="s">
        <v>2177</v>
      </c>
    </row>
    <row r="3014" spans="1:10" x14ac:dyDescent="0.25">
      <c r="A3014">
        <v>27844142</v>
      </c>
      <c r="B3014" t="s">
        <v>17</v>
      </c>
      <c r="C3014" s="4">
        <v>44771.89114013889</v>
      </c>
      <c r="D3014" t="s">
        <v>2176</v>
      </c>
      <c r="E3014" t="s">
        <v>62</v>
      </c>
      <c r="F3014" t="s">
        <v>45</v>
      </c>
      <c r="G3014" t="s">
        <v>314</v>
      </c>
      <c r="H3014" t="s">
        <v>25</v>
      </c>
      <c r="I3014" t="s">
        <v>21</v>
      </c>
      <c r="J3014" t="s">
        <v>2177</v>
      </c>
    </row>
    <row r="3015" spans="1:10" x14ac:dyDescent="0.25">
      <c r="A3015">
        <v>27844156</v>
      </c>
      <c r="B3015" t="s">
        <v>17</v>
      </c>
      <c r="C3015" s="4">
        <v>44771.891661805559</v>
      </c>
      <c r="D3015" t="s">
        <v>2181</v>
      </c>
      <c r="E3015" t="s">
        <v>38</v>
      </c>
      <c r="F3015" t="s">
        <v>33</v>
      </c>
      <c r="G3015" t="s">
        <v>407</v>
      </c>
      <c r="H3015" t="s">
        <v>40</v>
      </c>
      <c r="I3015" t="s">
        <v>21</v>
      </c>
    </row>
    <row r="3016" spans="1:10" x14ac:dyDescent="0.25">
      <c r="A3016">
        <v>27844167</v>
      </c>
      <c r="B3016" t="s">
        <v>17</v>
      </c>
      <c r="C3016" s="4">
        <v>44771.892225069438</v>
      </c>
      <c r="D3016" t="s">
        <v>2182</v>
      </c>
      <c r="E3016" t="s">
        <v>387</v>
      </c>
      <c r="F3016" t="s">
        <v>49</v>
      </c>
      <c r="G3016" t="s">
        <v>218</v>
      </c>
      <c r="H3016" t="s">
        <v>29</v>
      </c>
      <c r="I3016" t="s">
        <v>21</v>
      </c>
      <c r="J3016" t="s">
        <v>2183</v>
      </c>
    </row>
    <row r="3017" spans="1:10" x14ac:dyDescent="0.25">
      <c r="A3017">
        <v>27844182</v>
      </c>
      <c r="B3017" t="s">
        <v>17</v>
      </c>
      <c r="C3017" s="4">
        <v>44771.892421736113</v>
      </c>
      <c r="D3017" t="s">
        <v>2181</v>
      </c>
      <c r="E3017" t="s">
        <v>38</v>
      </c>
      <c r="F3017" t="s">
        <v>33</v>
      </c>
      <c r="G3017" t="s">
        <v>407</v>
      </c>
      <c r="H3017" t="s">
        <v>25</v>
      </c>
      <c r="I3017" t="s">
        <v>21</v>
      </c>
    </row>
    <row r="3018" spans="1:10" x14ac:dyDescent="0.25">
      <c r="A3018">
        <v>27844200</v>
      </c>
      <c r="B3018" t="s">
        <v>17</v>
      </c>
      <c r="C3018" s="4">
        <v>44771.89310814815</v>
      </c>
      <c r="F3018" t="s">
        <v>23</v>
      </c>
      <c r="G3018" t="s">
        <v>178</v>
      </c>
      <c r="H3018" t="s">
        <v>196</v>
      </c>
      <c r="I3018" t="s">
        <v>21</v>
      </c>
    </row>
    <row r="3019" spans="1:10" x14ac:dyDescent="0.25">
      <c r="A3019">
        <v>27844205</v>
      </c>
      <c r="B3019" t="s">
        <v>17</v>
      </c>
      <c r="C3019" s="4">
        <v>44771.893137430547</v>
      </c>
      <c r="D3019" t="s">
        <v>2184</v>
      </c>
      <c r="E3019" t="s">
        <v>38</v>
      </c>
      <c r="F3019" t="s">
        <v>23</v>
      </c>
      <c r="G3019" t="s">
        <v>178</v>
      </c>
      <c r="H3019" t="s">
        <v>42</v>
      </c>
      <c r="I3019" t="s">
        <v>21</v>
      </c>
      <c r="J3019" t="s">
        <v>2185</v>
      </c>
    </row>
    <row r="3020" spans="1:10" x14ac:dyDescent="0.25">
      <c r="A3020">
        <v>27844207</v>
      </c>
      <c r="B3020" t="s">
        <v>17</v>
      </c>
      <c r="C3020" s="4">
        <v>44771.893199027778</v>
      </c>
      <c r="D3020" t="s">
        <v>2184</v>
      </c>
      <c r="E3020" t="s">
        <v>38</v>
      </c>
      <c r="F3020" t="s">
        <v>23</v>
      </c>
      <c r="G3020" t="s">
        <v>178</v>
      </c>
      <c r="H3020" t="s">
        <v>54</v>
      </c>
      <c r="I3020" t="s">
        <v>21</v>
      </c>
      <c r="J3020" t="s">
        <v>2185</v>
      </c>
    </row>
    <row r="3021" spans="1:10" x14ac:dyDescent="0.25">
      <c r="A3021">
        <v>27844212</v>
      </c>
      <c r="B3021" t="s">
        <v>17</v>
      </c>
      <c r="C3021" s="4">
        <v>44771.893597662027</v>
      </c>
      <c r="D3021" t="s">
        <v>2186</v>
      </c>
      <c r="E3021" t="s">
        <v>371</v>
      </c>
      <c r="F3021" t="s">
        <v>49</v>
      </c>
      <c r="G3021" t="s">
        <v>84</v>
      </c>
      <c r="H3021" t="s">
        <v>29</v>
      </c>
      <c r="I3021" t="s">
        <v>21</v>
      </c>
      <c r="J3021" t="s">
        <v>473</v>
      </c>
    </row>
    <row r="3022" spans="1:10" x14ac:dyDescent="0.25">
      <c r="A3022">
        <v>27844222</v>
      </c>
      <c r="B3022" t="s">
        <v>17</v>
      </c>
      <c r="C3022" s="4">
        <v>44771.893890300933</v>
      </c>
      <c r="D3022" t="s">
        <v>2184</v>
      </c>
      <c r="E3022" t="s">
        <v>38</v>
      </c>
      <c r="F3022" t="s">
        <v>23</v>
      </c>
      <c r="G3022" t="s">
        <v>178</v>
      </c>
      <c r="H3022" t="s">
        <v>40</v>
      </c>
      <c r="I3022" t="s">
        <v>21</v>
      </c>
      <c r="J3022" t="s">
        <v>2185</v>
      </c>
    </row>
    <row r="3023" spans="1:10" x14ac:dyDescent="0.25">
      <c r="A3023">
        <v>27844230</v>
      </c>
      <c r="B3023" t="s">
        <v>17</v>
      </c>
      <c r="C3023" s="4">
        <v>44771.894650578703</v>
      </c>
      <c r="D3023" t="s">
        <v>2178</v>
      </c>
      <c r="E3023" t="s">
        <v>38</v>
      </c>
      <c r="F3023" t="s">
        <v>52</v>
      </c>
      <c r="G3023" t="s">
        <v>100</v>
      </c>
      <c r="H3023" t="s">
        <v>40</v>
      </c>
      <c r="I3023" t="s">
        <v>21</v>
      </c>
      <c r="J3023" t="s">
        <v>559</v>
      </c>
    </row>
    <row r="3024" spans="1:10" x14ac:dyDescent="0.25">
      <c r="A3024">
        <v>27844233</v>
      </c>
      <c r="B3024" t="s">
        <v>17</v>
      </c>
      <c r="C3024" s="4">
        <v>44771.894785081022</v>
      </c>
      <c r="D3024" t="s">
        <v>2184</v>
      </c>
      <c r="E3024" t="s">
        <v>38</v>
      </c>
      <c r="F3024" t="s">
        <v>23</v>
      </c>
      <c r="G3024" t="s">
        <v>178</v>
      </c>
      <c r="H3024" t="s">
        <v>25</v>
      </c>
      <c r="I3024" t="s">
        <v>21</v>
      </c>
      <c r="J3024" t="s">
        <v>2185</v>
      </c>
    </row>
    <row r="3025" spans="1:10" x14ac:dyDescent="0.25">
      <c r="A3025">
        <v>27844249</v>
      </c>
      <c r="B3025" t="s">
        <v>17</v>
      </c>
      <c r="C3025" s="4">
        <v>44771.895261296297</v>
      </c>
      <c r="D3025" t="s">
        <v>2178</v>
      </c>
      <c r="E3025" t="s">
        <v>38</v>
      </c>
      <c r="F3025" t="s">
        <v>52</v>
      </c>
      <c r="G3025" t="s">
        <v>100</v>
      </c>
      <c r="H3025" t="s">
        <v>25</v>
      </c>
      <c r="I3025" t="s">
        <v>21</v>
      </c>
      <c r="J3025" t="s">
        <v>559</v>
      </c>
    </row>
    <row r="3026" spans="1:10" x14ac:dyDescent="0.25">
      <c r="A3026">
        <v>27844270</v>
      </c>
      <c r="B3026" t="s">
        <v>17</v>
      </c>
      <c r="C3026" s="4">
        <v>44771.895896307869</v>
      </c>
      <c r="D3026" t="s">
        <v>2187</v>
      </c>
      <c r="E3026" t="s">
        <v>27</v>
      </c>
      <c r="F3026" t="s">
        <v>18</v>
      </c>
      <c r="G3026" t="s">
        <v>380</v>
      </c>
      <c r="H3026" t="s">
        <v>29</v>
      </c>
      <c r="I3026" t="s">
        <v>21</v>
      </c>
      <c r="J3026" t="s">
        <v>2188</v>
      </c>
    </row>
    <row r="3027" spans="1:10" x14ac:dyDescent="0.25">
      <c r="A3027">
        <v>27844280</v>
      </c>
      <c r="B3027" t="s">
        <v>17</v>
      </c>
      <c r="C3027" s="4">
        <v>44771.89596115741</v>
      </c>
      <c r="D3027" t="s">
        <v>2189</v>
      </c>
      <c r="E3027" t="s">
        <v>38</v>
      </c>
      <c r="F3027" t="s">
        <v>55</v>
      </c>
      <c r="G3027" t="s">
        <v>326</v>
      </c>
      <c r="H3027" t="s">
        <v>29</v>
      </c>
      <c r="I3027" t="s">
        <v>21</v>
      </c>
      <c r="J3027" t="s">
        <v>516</v>
      </c>
    </row>
    <row r="3028" spans="1:10" x14ac:dyDescent="0.25">
      <c r="A3028">
        <v>27844307</v>
      </c>
      <c r="B3028" t="s">
        <v>17</v>
      </c>
      <c r="C3028" s="4">
        <v>44771.897272997689</v>
      </c>
      <c r="D3028" t="s">
        <v>2190</v>
      </c>
      <c r="E3028" t="s">
        <v>27</v>
      </c>
      <c r="F3028" t="s">
        <v>18</v>
      </c>
      <c r="G3028" t="s">
        <v>186</v>
      </c>
      <c r="H3028" t="s">
        <v>29</v>
      </c>
      <c r="I3028" t="s">
        <v>21</v>
      </c>
      <c r="J3028" t="s">
        <v>2191</v>
      </c>
    </row>
    <row r="3029" spans="1:10" x14ac:dyDescent="0.25">
      <c r="A3029">
        <v>27844327</v>
      </c>
      <c r="B3029" t="s">
        <v>17</v>
      </c>
      <c r="C3029" s="4">
        <v>44771.897682673611</v>
      </c>
      <c r="D3029" t="s">
        <v>2192</v>
      </c>
      <c r="E3029" t="s">
        <v>62</v>
      </c>
      <c r="F3029" t="s">
        <v>57</v>
      </c>
      <c r="G3029" t="s">
        <v>221</v>
      </c>
      <c r="H3029" t="s">
        <v>29</v>
      </c>
      <c r="I3029" t="s">
        <v>21</v>
      </c>
      <c r="J3029" t="s">
        <v>2193</v>
      </c>
    </row>
    <row r="3030" spans="1:10" x14ac:dyDescent="0.25">
      <c r="A3030">
        <v>27844342</v>
      </c>
      <c r="B3030" t="s">
        <v>17</v>
      </c>
      <c r="C3030" s="4">
        <v>44771.898067106478</v>
      </c>
      <c r="F3030" t="s">
        <v>52</v>
      </c>
      <c r="G3030" t="s">
        <v>206</v>
      </c>
      <c r="H3030" t="s">
        <v>20</v>
      </c>
      <c r="I3030" t="s">
        <v>21</v>
      </c>
    </row>
    <row r="3031" spans="1:10" x14ac:dyDescent="0.25">
      <c r="A3031">
        <v>27844348</v>
      </c>
      <c r="B3031" t="s">
        <v>17</v>
      </c>
      <c r="C3031" s="4">
        <v>44771.898159375</v>
      </c>
      <c r="F3031" t="s">
        <v>49</v>
      </c>
      <c r="G3031" t="s">
        <v>132</v>
      </c>
      <c r="H3031" t="s">
        <v>20</v>
      </c>
      <c r="I3031" t="s">
        <v>21</v>
      </c>
    </row>
    <row r="3032" spans="1:10" x14ac:dyDescent="0.25">
      <c r="A3032">
        <v>27844359</v>
      </c>
      <c r="B3032" t="s">
        <v>17</v>
      </c>
      <c r="C3032" s="4">
        <v>44771.898542453702</v>
      </c>
      <c r="D3032" t="s">
        <v>2194</v>
      </c>
      <c r="E3032" t="s">
        <v>22</v>
      </c>
      <c r="F3032" t="s">
        <v>49</v>
      </c>
      <c r="G3032" t="s">
        <v>132</v>
      </c>
      <c r="H3032" t="s">
        <v>118</v>
      </c>
      <c r="I3032" t="s">
        <v>36</v>
      </c>
      <c r="J3032" t="s">
        <v>480</v>
      </c>
    </row>
    <row r="3033" spans="1:10" x14ac:dyDescent="0.25">
      <c r="A3033">
        <v>27844374</v>
      </c>
      <c r="B3033" t="s">
        <v>17</v>
      </c>
      <c r="C3033" s="4">
        <v>44771.898809166669</v>
      </c>
      <c r="D3033" t="s">
        <v>2195</v>
      </c>
      <c r="E3033" t="s">
        <v>72</v>
      </c>
      <c r="F3033" t="s">
        <v>49</v>
      </c>
      <c r="G3033" t="s">
        <v>50</v>
      </c>
      <c r="H3033" t="s">
        <v>42</v>
      </c>
      <c r="I3033" t="s">
        <v>21</v>
      </c>
      <c r="J3033" t="s">
        <v>510</v>
      </c>
    </row>
    <row r="3034" spans="1:10" x14ac:dyDescent="0.25">
      <c r="A3034">
        <v>27844382</v>
      </c>
      <c r="B3034" t="s">
        <v>17</v>
      </c>
      <c r="C3034" s="4">
        <v>44771.899240694453</v>
      </c>
      <c r="D3034" t="s">
        <v>2194</v>
      </c>
      <c r="E3034" t="s">
        <v>22</v>
      </c>
      <c r="F3034" t="s">
        <v>49</v>
      </c>
      <c r="G3034" t="s">
        <v>132</v>
      </c>
      <c r="H3034" t="s">
        <v>122</v>
      </c>
      <c r="I3034" t="s">
        <v>36</v>
      </c>
      <c r="J3034" t="s">
        <v>480</v>
      </c>
    </row>
    <row r="3035" spans="1:10" x14ac:dyDescent="0.25">
      <c r="A3035">
        <v>27844404</v>
      </c>
      <c r="B3035" t="s">
        <v>17</v>
      </c>
      <c r="C3035" s="4">
        <v>44771.900562476847</v>
      </c>
      <c r="D3035" t="s">
        <v>2196</v>
      </c>
      <c r="E3035" t="s">
        <v>38</v>
      </c>
      <c r="F3035" t="s">
        <v>52</v>
      </c>
      <c r="G3035" t="s">
        <v>94</v>
      </c>
      <c r="H3035" t="s">
        <v>29</v>
      </c>
      <c r="I3035" t="s">
        <v>21</v>
      </c>
      <c r="J3035" t="s">
        <v>445</v>
      </c>
    </row>
    <row r="3036" spans="1:10" x14ac:dyDescent="0.25">
      <c r="A3036">
        <v>27844411</v>
      </c>
      <c r="B3036" t="s">
        <v>17</v>
      </c>
      <c r="C3036" s="4">
        <v>44771.900603009257</v>
      </c>
      <c r="D3036" t="s">
        <v>2197</v>
      </c>
      <c r="E3036" t="s">
        <v>38</v>
      </c>
      <c r="F3036" t="s">
        <v>52</v>
      </c>
      <c r="G3036" t="s">
        <v>94</v>
      </c>
      <c r="H3036" t="s">
        <v>42</v>
      </c>
      <c r="I3036" t="s">
        <v>21</v>
      </c>
      <c r="J3036" t="s">
        <v>596</v>
      </c>
    </row>
    <row r="3037" spans="1:10" x14ac:dyDescent="0.25">
      <c r="A3037">
        <v>27844421</v>
      </c>
      <c r="B3037" t="s">
        <v>17</v>
      </c>
      <c r="C3037" s="4">
        <v>44771.900783854173</v>
      </c>
      <c r="D3037" t="s">
        <v>2195</v>
      </c>
      <c r="E3037" t="s">
        <v>72</v>
      </c>
      <c r="F3037" t="s">
        <v>49</v>
      </c>
      <c r="G3037" t="s">
        <v>50</v>
      </c>
      <c r="H3037" t="s">
        <v>239</v>
      </c>
      <c r="I3037" t="s">
        <v>21</v>
      </c>
      <c r="J3037" t="s">
        <v>510</v>
      </c>
    </row>
    <row r="3038" spans="1:10" x14ac:dyDescent="0.25">
      <c r="A3038">
        <v>27844422</v>
      </c>
      <c r="B3038" t="s">
        <v>17</v>
      </c>
      <c r="C3038" s="4">
        <v>44771.900790613428</v>
      </c>
      <c r="D3038" t="s">
        <v>2195</v>
      </c>
      <c r="E3038" t="s">
        <v>72</v>
      </c>
      <c r="F3038" t="s">
        <v>49</v>
      </c>
      <c r="G3038" t="s">
        <v>50</v>
      </c>
      <c r="H3038" t="s">
        <v>240</v>
      </c>
      <c r="I3038" t="s">
        <v>21</v>
      </c>
      <c r="J3038" t="s">
        <v>510</v>
      </c>
    </row>
    <row r="3039" spans="1:10" x14ac:dyDescent="0.25">
      <c r="A3039">
        <v>27844440</v>
      </c>
      <c r="B3039" t="s">
        <v>17</v>
      </c>
      <c r="C3039" s="4">
        <v>44771.902304247677</v>
      </c>
      <c r="D3039" t="s">
        <v>2197</v>
      </c>
      <c r="E3039" t="s">
        <v>38</v>
      </c>
      <c r="F3039" t="s">
        <v>52</v>
      </c>
      <c r="G3039" t="s">
        <v>94</v>
      </c>
      <c r="H3039" t="s">
        <v>54</v>
      </c>
      <c r="I3039" t="s">
        <v>21</v>
      </c>
      <c r="J3039" t="s">
        <v>596</v>
      </c>
    </row>
    <row r="3040" spans="1:10" x14ac:dyDescent="0.25">
      <c r="A3040">
        <v>27844474</v>
      </c>
      <c r="B3040" t="s">
        <v>17</v>
      </c>
      <c r="C3040" s="4">
        <v>44771.903143148149</v>
      </c>
      <c r="D3040" t="s">
        <v>2197</v>
      </c>
      <c r="E3040" t="s">
        <v>38</v>
      </c>
      <c r="F3040" t="s">
        <v>52</v>
      </c>
      <c r="G3040" t="s">
        <v>94</v>
      </c>
      <c r="H3040" t="s">
        <v>40</v>
      </c>
      <c r="I3040" t="s">
        <v>21</v>
      </c>
      <c r="J3040" t="s">
        <v>596</v>
      </c>
    </row>
    <row r="3041" spans="1:10" x14ac:dyDescent="0.25">
      <c r="A3041">
        <v>27844480</v>
      </c>
      <c r="B3041" t="s">
        <v>17</v>
      </c>
      <c r="C3041" s="4">
        <v>44771.903207800933</v>
      </c>
      <c r="D3041" t="s">
        <v>2198</v>
      </c>
      <c r="E3041" t="s">
        <v>27</v>
      </c>
      <c r="F3041" t="s">
        <v>49</v>
      </c>
      <c r="G3041" t="s">
        <v>80</v>
      </c>
      <c r="H3041" t="s">
        <v>42</v>
      </c>
      <c r="I3041" t="s">
        <v>21</v>
      </c>
      <c r="J3041" t="s">
        <v>2199</v>
      </c>
    </row>
    <row r="3042" spans="1:10" x14ac:dyDescent="0.25">
      <c r="A3042">
        <v>27844485</v>
      </c>
      <c r="B3042" t="s">
        <v>17</v>
      </c>
      <c r="C3042" s="4">
        <v>44771.903647002313</v>
      </c>
      <c r="D3042" t="s">
        <v>2197</v>
      </c>
      <c r="E3042" t="s">
        <v>38</v>
      </c>
      <c r="F3042" t="s">
        <v>52</v>
      </c>
      <c r="G3042" t="s">
        <v>94</v>
      </c>
      <c r="H3042" t="s">
        <v>25</v>
      </c>
      <c r="I3042" t="s">
        <v>21</v>
      </c>
      <c r="J3042" t="s">
        <v>596</v>
      </c>
    </row>
    <row r="3043" spans="1:10" x14ac:dyDescent="0.25">
      <c r="A3043">
        <v>27844503</v>
      </c>
      <c r="B3043" t="s">
        <v>17</v>
      </c>
      <c r="C3043" s="4">
        <v>44771.904215219911</v>
      </c>
      <c r="F3043" t="s">
        <v>49</v>
      </c>
      <c r="G3043" t="s">
        <v>132</v>
      </c>
      <c r="H3043" t="s">
        <v>116</v>
      </c>
      <c r="I3043" t="s">
        <v>21</v>
      </c>
    </row>
    <row r="3044" spans="1:10" x14ac:dyDescent="0.25">
      <c r="A3044">
        <v>27844521</v>
      </c>
      <c r="B3044" t="s">
        <v>17</v>
      </c>
      <c r="C3044" s="4">
        <v>44771.905671238434</v>
      </c>
      <c r="D3044" t="s">
        <v>2198</v>
      </c>
      <c r="E3044" t="s">
        <v>27</v>
      </c>
      <c r="F3044" t="s">
        <v>49</v>
      </c>
      <c r="G3044" t="s">
        <v>80</v>
      </c>
      <c r="H3044" t="s">
        <v>54</v>
      </c>
      <c r="I3044" t="s">
        <v>21</v>
      </c>
      <c r="J3044" t="s">
        <v>2199</v>
      </c>
    </row>
    <row r="3045" spans="1:10" x14ac:dyDescent="0.25">
      <c r="A3045">
        <v>27844526</v>
      </c>
      <c r="B3045" t="s">
        <v>17</v>
      </c>
      <c r="C3045" s="4">
        <v>44771.905723090284</v>
      </c>
      <c r="D3045" t="s">
        <v>2195</v>
      </c>
      <c r="E3045" t="s">
        <v>72</v>
      </c>
      <c r="F3045" t="s">
        <v>49</v>
      </c>
      <c r="G3045" t="s">
        <v>50</v>
      </c>
      <c r="H3045" t="s">
        <v>40</v>
      </c>
      <c r="I3045" t="s">
        <v>21</v>
      </c>
      <c r="J3045" t="s">
        <v>510</v>
      </c>
    </row>
    <row r="3046" spans="1:10" x14ac:dyDescent="0.25">
      <c r="A3046">
        <v>27844549</v>
      </c>
      <c r="B3046" t="s">
        <v>17</v>
      </c>
      <c r="C3046" s="4">
        <v>44771.90648302083</v>
      </c>
      <c r="D3046" t="s">
        <v>2195</v>
      </c>
      <c r="E3046" t="s">
        <v>72</v>
      </c>
      <c r="F3046" t="s">
        <v>49</v>
      </c>
      <c r="G3046" t="s">
        <v>50</v>
      </c>
      <c r="H3046" t="s">
        <v>25</v>
      </c>
      <c r="I3046" t="s">
        <v>21</v>
      </c>
      <c r="J3046" t="s">
        <v>510</v>
      </c>
    </row>
    <row r="3047" spans="1:10" x14ac:dyDescent="0.25">
      <c r="A3047">
        <v>27844564</v>
      </c>
      <c r="B3047" t="s">
        <v>17</v>
      </c>
      <c r="C3047" s="4">
        <v>44771.906749108799</v>
      </c>
      <c r="D3047" t="s">
        <v>2200</v>
      </c>
      <c r="E3047" t="s">
        <v>129</v>
      </c>
      <c r="F3047" t="s">
        <v>49</v>
      </c>
      <c r="G3047" t="s">
        <v>50</v>
      </c>
      <c r="H3047" t="s">
        <v>29</v>
      </c>
      <c r="I3047" t="s">
        <v>21</v>
      </c>
      <c r="J3047" t="s">
        <v>455</v>
      </c>
    </row>
    <row r="3048" spans="1:10" x14ac:dyDescent="0.25">
      <c r="A3048">
        <v>27844579</v>
      </c>
      <c r="B3048" t="s">
        <v>17</v>
      </c>
      <c r="C3048" s="4">
        <v>44771.907083981481</v>
      </c>
      <c r="D3048" t="s">
        <v>2201</v>
      </c>
      <c r="E3048" t="s">
        <v>38</v>
      </c>
      <c r="F3048" t="s">
        <v>52</v>
      </c>
      <c r="G3048" t="s">
        <v>206</v>
      </c>
      <c r="H3048" t="s">
        <v>40</v>
      </c>
      <c r="I3048" t="s">
        <v>21</v>
      </c>
      <c r="J3048" t="s">
        <v>512</v>
      </c>
    </row>
    <row r="3049" spans="1:10" x14ac:dyDescent="0.25">
      <c r="A3049">
        <v>27844588</v>
      </c>
      <c r="B3049" t="s">
        <v>17</v>
      </c>
      <c r="C3049" s="4">
        <v>44771.907746921293</v>
      </c>
      <c r="D3049" t="s">
        <v>2202</v>
      </c>
      <c r="E3049" t="s">
        <v>22</v>
      </c>
      <c r="F3049" t="s">
        <v>23</v>
      </c>
      <c r="G3049" t="s">
        <v>140</v>
      </c>
      <c r="H3049" t="s">
        <v>29</v>
      </c>
      <c r="I3049" t="s">
        <v>21</v>
      </c>
    </row>
    <row r="3050" spans="1:10" x14ac:dyDescent="0.25">
      <c r="A3050">
        <v>27844594</v>
      </c>
      <c r="B3050" t="s">
        <v>17</v>
      </c>
      <c r="C3050" s="4">
        <v>44771.907779502311</v>
      </c>
      <c r="D3050" t="s">
        <v>2203</v>
      </c>
      <c r="E3050" t="s">
        <v>38</v>
      </c>
      <c r="F3050" t="s">
        <v>23</v>
      </c>
      <c r="G3050" t="s">
        <v>140</v>
      </c>
      <c r="H3050" t="s">
        <v>42</v>
      </c>
      <c r="I3050" t="s">
        <v>21</v>
      </c>
      <c r="J3050" t="s">
        <v>565</v>
      </c>
    </row>
    <row r="3051" spans="1:10" x14ac:dyDescent="0.25">
      <c r="A3051">
        <v>27844598</v>
      </c>
      <c r="B3051" t="s">
        <v>17</v>
      </c>
      <c r="C3051" s="4">
        <v>44771.908013854169</v>
      </c>
      <c r="D3051" t="s">
        <v>2201</v>
      </c>
      <c r="E3051" t="s">
        <v>38</v>
      </c>
      <c r="F3051" t="s">
        <v>52</v>
      </c>
      <c r="G3051" t="s">
        <v>206</v>
      </c>
      <c r="H3051" t="s">
        <v>25</v>
      </c>
      <c r="I3051" t="s">
        <v>21</v>
      </c>
      <c r="J3051" t="s">
        <v>512</v>
      </c>
    </row>
    <row r="3052" spans="1:10" x14ac:dyDescent="0.25">
      <c r="A3052">
        <v>27844602</v>
      </c>
      <c r="B3052" t="s">
        <v>17</v>
      </c>
      <c r="C3052" s="4">
        <v>44771.908029074068</v>
      </c>
      <c r="D3052" t="s">
        <v>2203</v>
      </c>
      <c r="E3052" t="s">
        <v>38</v>
      </c>
      <c r="F3052" t="s">
        <v>23</v>
      </c>
      <c r="G3052" t="s">
        <v>140</v>
      </c>
      <c r="H3052" t="s">
        <v>330</v>
      </c>
      <c r="I3052" t="s">
        <v>21</v>
      </c>
      <c r="J3052" t="s">
        <v>565</v>
      </c>
    </row>
    <row r="3053" spans="1:10" x14ac:dyDescent="0.25">
      <c r="A3053">
        <v>27844639</v>
      </c>
      <c r="B3053" t="s">
        <v>17</v>
      </c>
      <c r="C3053" s="4">
        <v>44771.911410879628</v>
      </c>
      <c r="D3053" t="s">
        <v>2198</v>
      </c>
      <c r="E3053" t="s">
        <v>27</v>
      </c>
      <c r="F3053" t="s">
        <v>49</v>
      </c>
      <c r="G3053" t="s">
        <v>80</v>
      </c>
      <c r="H3053" t="s">
        <v>40</v>
      </c>
      <c r="I3053" t="s">
        <v>21</v>
      </c>
      <c r="J3053" t="s">
        <v>2199</v>
      </c>
    </row>
    <row r="3054" spans="1:10" x14ac:dyDescent="0.25">
      <c r="A3054">
        <v>27844643</v>
      </c>
      <c r="B3054" t="s">
        <v>17</v>
      </c>
      <c r="C3054" s="4">
        <v>44771.911719733798</v>
      </c>
      <c r="D3054" t="s">
        <v>2204</v>
      </c>
      <c r="E3054" t="s">
        <v>38</v>
      </c>
      <c r="F3054" t="s">
        <v>52</v>
      </c>
      <c r="G3054" t="s">
        <v>165</v>
      </c>
      <c r="H3054" t="s">
        <v>29</v>
      </c>
      <c r="I3054" t="s">
        <v>21</v>
      </c>
      <c r="J3054" t="s">
        <v>563</v>
      </c>
    </row>
    <row r="3055" spans="1:10" x14ac:dyDescent="0.25">
      <c r="A3055">
        <v>27844653</v>
      </c>
      <c r="B3055" t="s">
        <v>17</v>
      </c>
      <c r="C3055" s="4">
        <v>44771.911983784717</v>
      </c>
      <c r="D3055" t="s">
        <v>2198</v>
      </c>
      <c r="E3055" t="s">
        <v>27</v>
      </c>
      <c r="F3055" t="s">
        <v>49</v>
      </c>
      <c r="G3055" t="s">
        <v>80</v>
      </c>
      <c r="H3055" t="s">
        <v>25</v>
      </c>
      <c r="I3055" t="s">
        <v>21</v>
      </c>
      <c r="J3055" t="s">
        <v>2199</v>
      </c>
    </row>
    <row r="3056" spans="1:10" x14ac:dyDescent="0.25">
      <c r="A3056">
        <v>27844668</v>
      </c>
      <c r="B3056" t="s">
        <v>17</v>
      </c>
      <c r="C3056" s="4">
        <v>44771.912729988428</v>
      </c>
      <c r="D3056" t="s">
        <v>2203</v>
      </c>
      <c r="E3056" t="s">
        <v>38</v>
      </c>
      <c r="F3056" t="s">
        <v>23</v>
      </c>
      <c r="G3056" t="s">
        <v>140</v>
      </c>
      <c r="H3056" t="s">
        <v>196</v>
      </c>
      <c r="I3056" t="s">
        <v>21</v>
      </c>
      <c r="J3056" t="s">
        <v>565</v>
      </c>
    </row>
    <row r="3057" spans="1:10" x14ac:dyDescent="0.25">
      <c r="A3057">
        <v>27844674</v>
      </c>
      <c r="B3057" t="s">
        <v>17</v>
      </c>
      <c r="C3057" s="4">
        <v>44771.91275560185</v>
      </c>
      <c r="D3057" t="s">
        <v>2203</v>
      </c>
      <c r="E3057" t="s">
        <v>38</v>
      </c>
      <c r="F3057" t="s">
        <v>23</v>
      </c>
      <c r="G3057" t="s">
        <v>140</v>
      </c>
      <c r="H3057" t="s">
        <v>42</v>
      </c>
      <c r="I3057" t="s">
        <v>21</v>
      </c>
      <c r="J3057" t="s">
        <v>565</v>
      </c>
    </row>
    <row r="3058" spans="1:10" x14ac:dyDescent="0.25">
      <c r="A3058">
        <v>27844676</v>
      </c>
      <c r="B3058" t="s">
        <v>17</v>
      </c>
      <c r="C3058" s="4">
        <v>44771.912762372682</v>
      </c>
      <c r="D3058" t="s">
        <v>2203</v>
      </c>
      <c r="E3058" t="s">
        <v>38</v>
      </c>
      <c r="F3058" t="s">
        <v>23</v>
      </c>
      <c r="G3058" t="s">
        <v>140</v>
      </c>
      <c r="H3058" t="s">
        <v>232</v>
      </c>
      <c r="I3058" t="s">
        <v>21</v>
      </c>
      <c r="J3058" t="s">
        <v>565</v>
      </c>
    </row>
    <row r="3059" spans="1:10" x14ac:dyDescent="0.25">
      <c r="A3059">
        <v>27844679</v>
      </c>
      <c r="B3059" t="s">
        <v>17</v>
      </c>
      <c r="C3059" s="4">
        <v>44771.912870069442</v>
      </c>
      <c r="F3059" t="s">
        <v>23</v>
      </c>
      <c r="G3059" t="s">
        <v>140</v>
      </c>
      <c r="H3059" t="s">
        <v>20</v>
      </c>
      <c r="I3059" t="s">
        <v>21</v>
      </c>
    </row>
    <row r="3060" spans="1:10" x14ac:dyDescent="0.25">
      <c r="A3060">
        <v>27844684</v>
      </c>
      <c r="B3060" t="s">
        <v>17</v>
      </c>
      <c r="C3060" s="4">
        <v>44771.913102210638</v>
      </c>
      <c r="D3060" t="s">
        <v>2205</v>
      </c>
      <c r="E3060" t="s">
        <v>38</v>
      </c>
      <c r="F3060" t="s">
        <v>55</v>
      </c>
      <c r="G3060" t="s">
        <v>138</v>
      </c>
      <c r="H3060" t="s">
        <v>29</v>
      </c>
      <c r="I3060" t="s">
        <v>21</v>
      </c>
    </row>
    <row r="3061" spans="1:10" x14ac:dyDescent="0.25">
      <c r="A3061">
        <v>27844709</v>
      </c>
      <c r="B3061" t="s">
        <v>17</v>
      </c>
      <c r="C3061" s="4">
        <v>44771.913650960647</v>
      </c>
      <c r="D3061" t="s">
        <v>2203</v>
      </c>
      <c r="E3061" t="s">
        <v>38</v>
      </c>
      <c r="F3061" t="s">
        <v>23</v>
      </c>
      <c r="G3061" t="s">
        <v>140</v>
      </c>
      <c r="H3061" t="s">
        <v>40</v>
      </c>
      <c r="I3061" t="s">
        <v>21</v>
      </c>
    </row>
    <row r="3062" spans="1:10" x14ac:dyDescent="0.25">
      <c r="A3062">
        <v>27844720</v>
      </c>
      <c r="B3062" t="s">
        <v>17</v>
      </c>
      <c r="C3062" s="4">
        <v>44771.914202106484</v>
      </c>
      <c r="D3062" t="s">
        <v>2206</v>
      </c>
      <c r="E3062" t="s">
        <v>27</v>
      </c>
      <c r="F3062" t="s">
        <v>18</v>
      </c>
      <c r="G3062" t="s">
        <v>285</v>
      </c>
      <c r="H3062" t="s">
        <v>29</v>
      </c>
      <c r="I3062" t="s">
        <v>21</v>
      </c>
      <c r="J3062" t="s">
        <v>2207</v>
      </c>
    </row>
    <row r="3063" spans="1:10" x14ac:dyDescent="0.25">
      <c r="A3063">
        <v>27844730</v>
      </c>
      <c r="B3063" t="s">
        <v>17</v>
      </c>
      <c r="C3063" s="4">
        <v>44771.914393437502</v>
      </c>
      <c r="D3063" t="s">
        <v>2203</v>
      </c>
      <c r="E3063" t="s">
        <v>38</v>
      </c>
      <c r="F3063" t="s">
        <v>23</v>
      </c>
      <c r="G3063" t="s">
        <v>140</v>
      </c>
      <c r="H3063" t="s">
        <v>25</v>
      </c>
      <c r="I3063" t="s">
        <v>21</v>
      </c>
    </row>
    <row r="3064" spans="1:10" x14ac:dyDescent="0.25">
      <c r="A3064">
        <v>27844760</v>
      </c>
      <c r="B3064" t="s">
        <v>17</v>
      </c>
      <c r="C3064" s="4">
        <v>44771.915318136576</v>
      </c>
      <c r="D3064" t="s">
        <v>2208</v>
      </c>
      <c r="E3064" t="s">
        <v>191</v>
      </c>
      <c r="F3064" t="s">
        <v>49</v>
      </c>
      <c r="G3064" t="s">
        <v>146</v>
      </c>
      <c r="H3064" t="s">
        <v>42</v>
      </c>
      <c r="I3064" t="s">
        <v>21</v>
      </c>
      <c r="J3064" t="s">
        <v>571</v>
      </c>
    </row>
    <row r="3065" spans="1:10" x14ac:dyDescent="0.25">
      <c r="A3065">
        <v>27844766</v>
      </c>
      <c r="B3065" t="s">
        <v>17</v>
      </c>
      <c r="C3065" s="4">
        <v>44771.916301331017</v>
      </c>
      <c r="D3065" t="s">
        <v>2208</v>
      </c>
      <c r="E3065" t="s">
        <v>191</v>
      </c>
      <c r="F3065" t="s">
        <v>49</v>
      </c>
      <c r="G3065" t="s">
        <v>146</v>
      </c>
      <c r="H3065" t="s">
        <v>54</v>
      </c>
      <c r="I3065" t="s">
        <v>21</v>
      </c>
      <c r="J3065" t="s">
        <v>571</v>
      </c>
    </row>
    <row r="3066" spans="1:10" x14ac:dyDescent="0.25">
      <c r="A3066">
        <v>27844799</v>
      </c>
      <c r="B3066" t="s">
        <v>17</v>
      </c>
      <c r="C3066" s="4">
        <v>44771.91848565972</v>
      </c>
      <c r="D3066" t="s">
        <v>2209</v>
      </c>
      <c r="E3066" t="s">
        <v>22</v>
      </c>
      <c r="F3066" t="s">
        <v>31</v>
      </c>
      <c r="G3066" t="s">
        <v>137</v>
      </c>
      <c r="H3066" t="s">
        <v>29</v>
      </c>
      <c r="I3066" t="s">
        <v>21</v>
      </c>
      <c r="J3066" t="s">
        <v>2210</v>
      </c>
    </row>
    <row r="3067" spans="1:10" x14ac:dyDescent="0.25">
      <c r="A3067">
        <v>27844813</v>
      </c>
      <c r="B3067" t="s">
        <v>17</v>
      </c>
      <c r="C3067" s="4">
        <v>44771.918631608787</v>
      </c>
      <c r="D3067" t="s">
        <v>2208</v>
      </c>
      <c r="E3067" t="s">
        <v>191</v>
      </c>
      <c r="F3067" t="s">
        <v>49</v>
      </c>
      <c r="G3067" t="s">
        <v>146</v>
      </c>
      <c r="H3067" t="s">
        <v>118</v>
      </c>
      <c r="I3067" t="s">
        <v>36</v>
      </c>
      <c r="J3067" t="s">
        <v>571</v>
      </c>
    </row>
    <row r="3068" spans="1:10" x14ac:dyDescent="0.25">
      <c r="A3068">
        <v>27844823</v>
      </c>
      <c r="B3068" t="s">
        <v>17</v>
      </c>
      <c r="C3068" s="4">
        <v>44771.91875946759</v>
      </c>
      <c r="D3068" t="s">
        <v>2211</v>
      </c>
      <c r="E3068" t="s">
        <v>191</v>
      </c>
      <c r="F3068" t="s">
        <v>49</v>
      </c>
      <c r="G3068" t="s">
        <v>250</v>
      </c>
      <c r="H3068" t="s">
        <v>29</v>
      </c>
      <c r="I3068" t="s">
        <v>21</v>
      </c>
      <c r="J3068" t="s">
        <v>2212</v>
      </c>
    </row>
    <row r="3069" spans="1:10" x14ac:dyDescent="0.25">
      <c r="A3069">
        <v>27844830</v>
      </c>
      <c r="B3069" t="s">
        <v>17</v>
      </c>
      <c r="C3069" s="4">
        <v>44771.918812337957</v>
      </c>
      <c r="D3069" t="s">
        <v>2208</v>
      </c>
      <c r="E3069" t="s">
        <v>191</v>
      </c>
      <c r="F3069" t="s">
        <v>49</v>
      </c>
      <c r="G3069" t="s">
        <v>146</v>
      </c>
      <c r="H3069" t="s">
        <v>35</v>
      </c>
      <c r="I3069" t="s">
        <v>36</v>
      </c>
      <c r="J3069" t="s">
        <v>571</v>
      </c>
    </row>
    <row r="3070" spans="1:10" x14ac:dyDescent="0.25">
      <c r="A3070">
        <v>27844890</v>
      </c>
      <c r="B3070" t="s">
        <v>17</v>
      </c>
      <c r="C3070" s="4">
        <v>44771.921331967591</v>
      </c>
      <c r="D3070" t="s">
        <v>2213</v>
      </c>
      <c r="E3070" t="s">
        <v>27</v>
      </c>
      <c r="F3070" t="s">
        <v>18</v>
      </c>
      <c r="G3070" t="s">
        <v>415</v>
      </c>
      <c r="H3070" t="s">
        <v>29</v>
      </c>
      <c r="I3070" t="s">
        <v>21</v>
      </c>
      <c r="J3070" t="s">
        <v>2214</v>
      </c>
    </row>
    <row r="3071" spans="1:10" x14ac:dyDescent="0.25">
      <c r="A3071">
        <v>27844899</v>
      </c>
      <c r="B3071" t="s">
        <v>17</v>
      </c>
      <c r="C3071" s="4">
        <v>44771.92143072917</v>
      </c>
      <c r="D3071" t="s">
        <v>2215</v>
      </c>
      <c r="E3071" t="s">
        <v>38</v>
      </c>
      <c r="F3071" t="s">
        <v>23</v>
      </c>
      <c r="G3071" t="s">
        <v>120</v>
      </c>
      <c r="H3071" t="s">
        <v>29</v>
      </c>
      <c r="I3071" t="s">
        <v>21</v>
      </c>
      <c r="J3071" t="s">
        <v>2216</v>
      </c>
    </row>
    <row r="3072" spans="1:10" x14ac:dyDescent="0.25">
      <c r="A3072">
        <v>27844942</v>
      </c>
      <c r="B3072" t="s">
        <v>17</v>
      </c>
      <c r="C3072" s="4">
        <v>44771.923751967603</v>
      </c>
      <c r="D3072" t="s">
        <v>2217</v>
      </c>
      <c r="E3072" t="s">
        <v>62</v>
      </c>
      <c r="F3072" t="s">
        <v>18</v>
      </c>
      <c r="G3072" t="s">
        <v>265</v>
      </c>
      <c r="H3072" t="s">
        <v>42</v>
      </c>
      <c r="I3072" t="s">
        <v>21</v>
      </c>
      <c r="J3072" t="s">
        <v>2218</v>
      </c>
    </row>
    <row r="3073" spans="1:10" x14ac:dyDescent="0.25">
      <c r="A3073">
        <v>27844956</v>
      </c>
      <c r="B3073" t="s">
        <v>17</v>
      </c>
      <c r="C3073" s="4">
        <v>44771.924913773153</v>
      </c>
      <c r="D3073" t="s">
        <v>2118</v>
      </c>
      <c r="E3073" t="s">
        <v>371</v>
      </c>
      <c r="F3073" t="s">
        <v>49</v>
      </c>
      <c r="G3073" t="s">
        <v>192</v>
      </c>
      <c r="H3073" t="s">
        <v>29</v>
      </c>
      <c r="I3073" t="s">
        <v>21</v>
      </c>
    </row>
    <row r="3074" spans="1:10" x14ac:dyDescent="0.25">
      <c r="A3074">
        <v>27844968</v>
      </c>
      <c r="B3074" t="s">
        <v>17</v>
      </c>
      <c r="C3074" s="4">
        <v>44771.925578912043</v>
      </c>
      <c r="D3074" t="s">
        <v>2208</v>
      </c>
      <c r="E3074" t="s">
        <v>191</v>
      </c>
      <c r="F3074" t="s">
        <v>49</v>
      </c>
      <c r="G3074" t="s">
        <v>146</v>
      </c>
      <c r="H3074" t="s">
        <v>40</v>
      </c>
      <c r="I3074" t="s">
        <v>21</v>
      </c>
      <c r="J3074" t="s">
        <v>571</v>
      </c>
    </row>
    <row r="3075" spans="1:10" x14ac:dyDescent="0.25">
      <c r="A3075">
        <v>27844982</v>
      </c>
      <c r="B3075" t="s">
        <v>17</v>
      </c>
      <c r="C3075" s="4">
        <v>44771.926211331018</v>
      </c>
      <c r="D3075" t="s">
        <v>2208</v>
      </c>
      <c r="E3075" t="s">
        <v>191</v>
      </c>
      <c r="F3075" t="s">
        <v>49</v>
      </c>
      <c r="G3075" t="s">
        <v>146</v>
      </c>
      <c r="H3075" t="s">
        <v>25</v>
      </c>
      <c r="I3075" t="s">
        <v>21</v>
      </c>
      <c r="J3075" t="s">
        <v>571</v>
      </c>
    </row>
    <row r="3076" spans="1:10" x14ac:dyDescent="0.25">
      <c r="A3076">
        <v>27844996</v>
      </c>
      <c r="B3076" t="s">
        <v>17</v>
      </c>
      <c r="C3076" s="4">
        <v>44771.926429791667</v>
      </c>
      <c r="D3076" t="s">
        <v>2175</v>
      </c>
      <c r="E3076" t="s">
        <v>38</v>
      </c>
      <c r="F3076" t="s">
        <v>55</v>
      </c>
      <c r="G3076" t="s">
        <v>193</v>
      </c>
      <c r="H3076" t="s">
        <v>232</v>
      </c>
      <c r="I3076" t="s">
        <v>21</v>
      </c>
      <c r="J3076" t="s">
        <v>2135</v>
      </c>
    </row>
    <row r="3077" spans="1:10" x14ac:dyDescent="0.25">
      <c r="A3077">
        <v>27844998</v>
      </c>
      <c r="B3077" t="s">
        <v>17</v>
      </c>
      <c r="C3077" s="4">
        <v>44771.926430266198</v>
      </c>
      <c r="D3077" t="s">
        <v>2172</v>
      </c>
      <c r="E3077" t="s">
        <v>38</v>
      </c>
      <c r="F3077" t="s">
        <v>55</v>
      </c>
      <c r="G3077" t="s">
        <v>309</v>
      </c>
      <c r="H3077" t="s">
        <v>232</v>
      </c>
      <c r="I3077" t="s">
        <v>21</v>
      </c>
      <c r="J3077" t="s">
        <v>486</v>
      </c>
    </row>
    <row r="3078" spans="1:10" x14ac:dyDescent="0.25">
      <c r="A3078">
        <v>27845005</v>
      </c>
      <c r="B3078" t="s">
        <v>17</v>
      </c>
      <c r="C3078" s="4">
        <v>44771.926881550928</v>
      </c>
      <c r="D3078" t="s">
        <v>2219</v>
      </c>
      <c r="E3078" t="s">
        <v>38</v>
      </c>
      <c r="F3078" t="s">
        <v>55</v>
      </c>
      <c r="G3078" t="s">
        <v>248</v>
      </c>
      <c r="H3078" t="s">
        <v>29</v>
      </c>
      <c r="I3078" t="s">
        <v>21</v>
      </c>
      <c r="J3078" t="s">
        <v>188</v>
      </c>
    </row>
    <row r="3079" spans="1:10" x14ac:dyDescent="0.25">
      <c r="A3079">
        <v>27845021</v>
      </c>
      <c r="B3079" t="s">
        <v>17</v>
      </c>
      <c r="C3079" s="4">
        <v>44771.927395613428</v>
      </c>
      <c r="F3079" t="s">
        <v>52</v>
      </c>
      <c r="G3079" t="s">
        <v>165</v>
      </c>
      <c r="H3079" t="s">
        <v>20</v>
      </c>
      <c r="I3079" t="s">
        <v>21</v>
      </c>
    </row>
    <row r="3080" spans="1:10" x14ac:dyDescent="0.25">
      <c r="A3080">
        <v>27845040</v>
      </c>
      <c r="B3080" t="s">
        <v>17</v>
      </c>
      <c r="C3080" s="4">
        <v>44771.927910312501</v>
      </c>
      <c r="D3080" t="s">
        <v>2217</v>
      </c>
      <c r="E3080" t="s">
        <v>62</v>
      </c>
      <c r="F3080" t="s">
        <v>18</v>
      </c>
      <c r="G3080" t="s">
        <v>265</v>
      </c>
      <c r="H3080" t="s">
        <v>54</v>
      </c>
      <c r="I3080" t="s">
        <v>21</v>
      </c>
      <c r="J3080" t="s">
        <v>2218</v>
      </c>
    </row>
    <row r="3081" spans="1:10" x14ac:dyDescent="0.25">
      <c r="A3081">
        <v>27845044</v>
      </c>
      <c r="B3081" t="s">
        <v>17</v>
      </c>
      <c r="C3081" s="4">
        <v>44771.928213692132</v>
      </c>
      <c r="D3081" t="s">
        <v>2220</v>
      </c>
      <c r="E3081" t="s">
        <v>191</v>
      </c>
      <c r="F3081" t="s">
        <v>57</v>
      </c>
      <c r="G3081" t="s">
        <v>321</v>
      </c>
      <c r="H3081" t="s">
        <v>29</v>
      </c>
      <c r="I3081" t="s">
        <v>21</v>
      </c>
      <c r="J3081" t="s">
        <v>2221</v>
      </c>
    </row>
    <row r="3082" spans="1:10" x14ac:dyDescent="0.25">
      <c r="A3082">
        <v>27845064</v>
      </c>
      <c r="B3082" t="s">
        <v>17</v>
      </c>
      <c r="C3082" s="4">
        <v>44771.928623240739</v>
      </c>
      <c r="D3082" t="s">
        <v>2222</v>
      </c>
      <c r="E3082" t="s">
        <v>38</v>
      </c>
      <c r="F3082" t="s">
        <v>52</v>
      </c>
      <c r="G3082" t="s">
        <v>165</v>
      </c>
      <c r="H3082" t="s">
        <v>40</v>
      </c>
      <c r="I3082" t="s">
        <v>21</v>
      </c>
      <c r="J3082" t="s">
        <v>520</v>
      </c>
    </row>
    <row r="3083" spans="1:10" x14ac:dyDescent="0.25">
      <c r="A3083">
        <v>27845070</v>
      </c>
      <c r="B3083" t="s">
        <v>17</v>
      </c>
      <c r="C3083" s="4">
        <v>44771.929033078697</v>
      </c>
      <c r="D3083" t="s">
        <v>2223</v>
      </c>
      <c r="E3083" t="s">
        <v>38</v>
      </c>
      <c r="F3083" t="s">
        <v>23</v>
      </c>
      <c r="G3083" t="s">
        <v>337</v>
      </c>
      <c r="H3083" t="s">
        <v>29</v>
      </c>
      <c r="I3083" t="s">
        <v>21</v>
      </c>
      <c r="J3083" t="s">
        <v>572</v>
      </c>
    </row>
    <row r="3084" spans="1:10" x14ac:dyDescent="0.25">
      <c r="A3084">
        <v>27845077</v>
      </c>
      <c r="B3084" t="s">
        <v>17</v>
      </c>
      <c r="C3084" s="4">
        <v>44771.929103946757</v>
      </c>
      <c r="D3084" t="s">
        <v>2217</v>
      </c>
      <c r="E3084" t="s">
        <v>62</v>
      </c>
      <c r="F3084" t="s">
        <v>18</v>
      </c>
      <c r="G3084" t="s">
        <v>265</v>
      </c>
      <c r="H3084" t="s">
        <v>40</v>
      </c>
      <c r="I3084" t="s">
        <v>21</v>
      </c>
      <c r="J3084" t="s">
        <v>2218</v>
      </c>
    </row>
    <row r="3085" spans="1:10" x14ac:dyDescent="0.25">
      <c r="A3085">
        <v>27845081</v>
      </c>
      <c r="B3085" t="s">
        <v>17</v>
      </c>
      <c r="C3085" s="4">
        <v>44771.929125740739</v>
      </c>
      <c r="D3085" t="s">
        <v>2222</v>
      </c>
      <c r="E3085" t="s">
        <v>38</v>
      </c>
      <c r="F3085" t="s">
        <v>52</v>
      </c>
      <c r="G3085" t="s">
        <v>165</v>
      </c>
      <c r="H3085" t="s">
        <v>25</v>
      </c>
      <c r="I3085" t="s">
        <v>21</v>
      </c>
      <c r="J3085" t="s">
        <v>520</v>
      </c>
    </row>
    <row r="3086" spans="1:10" x14ac:dyDescent="0.25">
      <c r="A3086">
        <v>27845090</v>
      </c>
      <c r="B3086" t="s">
        <v>17</v>
      </c>
      <c r="C3086" s="4">
        <v>44771.929571539353</v>
      </c>
      <c r="D3086" t="s">
        <v>2224</v>
      </c>
      <c r="E3086" t="s">
        <v>22</v>
      </c>
      <c r="F3086" t="s">
        <v>23</v>
      </c>
      <c r="G3086" t="s">
        <v>98</v>
      </c>
      <c r="H3086" t="s">
        <v>29</v>
      </c>
      <c r="I3086" t="s">
        <v>21</v>
      </c>
      <c r="J3086" t="s">
        <v>577</v>
      </c>
    </row>
    <row r="3087" spans="1:10" x14ac:dyDescent="0.25">
      <c r="A3087">
        <v>27845092</v>
      </c>
      <c r="B3087" t="s">
        <v>17</v>
      </c>
      <c r="C3087" s="4">
        <v>44771.929575752307</v>
      </c>
      <c r="D3087" t="s">
        <v>2217</v>
      </c>
      <c r="E3087" t="s">
        <v>62</v>
      </c>
      <c r="F3087" t="s">
        <v>18</v>
      </c>
      <c r="G3087" t="s">
        <v>265</v>
      </c>
      <c r="H3087" t="s">
        <v>25</v>
      </c>
      <c r="I3087" t="s">
        <v>21</v>
      </c>
      <c r="J3087" t="s">
        <v>2218</v>
      </c>
    </row>
    <row r="3088" spans="1:10" x14ac:dyDescent="0.25">
      <c r="A3088">
        <v>27845128</v>
      </c>
      <c r="B3088" t="s">
        <v>17</v>
      </c>
      <c r="C3088" s="4">
        <v>44771.930674444448</v>
      </c>
      <c r="D3088" t="s">
        <v>2225</v>
      </c>
      <c r="E3088" t="s">
        <v>38</v>
      </c>
      <c r="F3088" t="s">
        <v>52</v>
      </c>
      <c r="G3088" t="s">
        <v>229</v>
      </c>
      <c r="H3088" t="s">
        <v>29</v>
      </c>
      <c r="I3088" t="s">
        <v>21</v>
      </c>
      <c r="J3088" t="s">
        <v>570</v>
      </c>
    </row>
    <row r="3089" spans="1:10" x14ac:dyDescent="0.25">
      <c r="A3089">
        <v>27845144</v>
      </c>
      <c r="B3089" t="s">
        <v>17</v>
      </c>
      <c r="C3089" s="4">
        <v>44771.930774490742</v>
      </c>
      <c r="D3089" t="s">
        <v>2226</v>
      </c>
      <c r="E3089" t="s">
        <v>27</v>
      </c>
      <c r="F3089" t="s">
        <v>18</v>
      </c>
      <c r="G3089" t="s">
        <v>375</v>
      </c>
      <c r="H3089" t="s">
        <v>29</v>
      </c>
      <c r="I3089" t="s">
        <v>21</v>
      </c>
      <c r="J3089" t="s">
        <v>2227</v>
      </c>
    </row>
    <row r="3090" spans="1:10" x14ac:dyDescent="0.25">
      <c r="A3090">
        <v>27845166</v>
      </c>
      <c r="B3090" t="s">
        <v>17</v>
      </c>
      <c r="C3090" s="4">
        <v>44771.931809849542</v>
      </c>
      <c r="D3090" t="s">
        <v>2228</v>
      </c>
      <c r="E3090" t="s">
        <v>27</v>
      </c>
      <c r="F3090" t="s">
        <v>49</v>
      </c>
      <c r="G3090" t="s">
        <v>359</v>
      </c>
      <c r="H3090" t="s">
        <v>29</v>
      </c>
      <c r="I3090" t="s">
        <v>21</v>
      </c>
      <c r="J3090" t="s">
        <v>2229</v>
      </c>
    </row>
    <row r="3091" spans="1:10" x14ac:dyDescent="0.25">
      <c r="A3091">
        <v>27845192</v>
      </c>
      <c r="B3091" t="s">
        <v>17</v>
      </c>
      <c r="C3091" s="4">
        <v>44771.93243483796</v>
      </c>
      <c r="D3091" t="s">
        <v>2134</v>
      </c>
      <c r="E3091" t="s">
        <v>38</v>
      </c>
      <c r="F3091" t="s">
        <v>31</v>
      </c>
      <c r="G3091" t="s">
        <v>209</v>
      </c>
      <c r="H3091" t="s">
        <v>29</v>
      </c>
      <c r="I3091" t="s">
        <v>21</v>
      </c>
    </row>
    <row r="3092" spans="1:10" x14ac:dyDescent="0.25">
      <c r="A3092">
        <v>27845196</v>
      </c>
      <c r="B3092" t="s">
        <v>17</v>
      </c>
      <c r="C3092" s="4">
        <v>44771.932588321761</v>
      </c>
      <c r="D3092" t="s">
        <v>2205</v>
      </c>
      <c r="E3092" t="s">
        <v>38</v>
      </c>
      <c r="F3092" t="s">
        <v>55</v>
      </c>
      <c r="G3092" t="s">
        <v>351</v>
      </c>
      <c r="H3092" t="s">
        <v>29</v>
      </c>
      <c r="I3092" t="s">
        <v>21</v>
      </c>
    </row>
    <row r="3093" spans="1:10" x14ac:dyDescent="0.25">
      <c r="A3093">
        <v>27845204</v>
      </c>
      <c r="B3093" t="s">
        <v>17</v>
      </c>
      <c r="C3093" s="4">
        <v>44771.932779560193</v>
      </c>
      <c r="D3093" t="s">
        <v>2230</v>
      </c>
      <c r="E3093" t="s">
        <v>184</v>
      </c>
      <c r="F3093" t="s">
        <v>57</v>
      </c>
      <c r="G3093" t="s">
        <v>286</v>
      </c>
      <c r="H3093" t="s">
        <v>42</v>
      </c>
      <c r="I3093" t="s">
        <v>21</v>
      </c>
      <c r="J3093" t="s">
        <v>569</v>
      </c>
    </row>
    <row r="3094" spans="1:10" x14ac:dyDescent="0.25">
      <c r="A3094">
        <v>27845211</v>
      </c>
      <c r="B3094" t="s">
        <v>17</v>
      </c>
      <c r="C3094" s="4">
        <v>44771.933070208332</v>
      </c>
      <c r="D3094" t="s">
        <v>2231</v>
      </c>
      <c r="E3094" t="s">
        <v>27</v>
      </c>
      <c r="F3094" t="s">
        <v>18</v>
      </c>
      <c r="G3094" t="s">
        <v>236</v>
      </c>
      <c r="H3094" t="s">
        <v>29</v>
      </c>
      <c r="I3094" t="s">
        <v>21</v>
      </c>
      <c r="J3094" t="s">
        <v>2232</v>
      </c>
    </row>
    <row r="3095" spans="1:10" x14ac:dyDescent="0.25">
      <c r="A3095">
        <v>27845226</v>
      </c>
      <c r="B3095" t="s">
        <v>17</v>
      </c>
      <c r="C3095" s="4">
        <v>44771.933410578713</v>
      </c>
      <c r="F3095" t="s">
        <v>23</v>
      </c>
      <c r="G3095" t="s">
        <v>120</v>
      </c>
      <c r="H3095" t="s">
        <v>20</v>
      </c>
      <c r="I3095" t="s">
        <v>21</v>
      </c>
    </row>
    <row r="3096" spans="1:10" x14ac:dyDescent="0.25">
      <c r="A3096">
        <v>27845237</v>
      </c>
      <c r="B3096" t="s">
        <v>17</v>
      </c>
      <c r="C3096" s="4">
        <v>44771.933793645832</v>
      </c>
      <c r="D3096" t="s">
        <v>2233</v>
      </c>
      <c r="E3096" t="s">
        <v>22</v>
      </c>
      <c r="F3096" t="s">
        <v>57</v>
      </c>
      <c r="G3096" t="s">
        <v>383</v>
      </c>
      <c r="H3096" t="s">
        <v>29</v>
      </c>
      <c r="I3096" t="s">
        <v>21</v>
      </c>
      <c r="J3096" t="s">
        <v>849</v>
      </c>
    </row>
    <row r="3097" spans="1:10" x14ac:dyDescent="0.25">
      <c r="A3097">
        <v>27845245</v>
      </c>
      <c r="B3097" t="s">
        <v>17</v>
      </c>
      <c r="C3097" s="4">
        <v>44771.933820972219</v>
      </c>
      <c r="D3097" t="s">
        <v>2234</v>
      </c>
      <c r="E3097" t="s">
        <v>22</v>
      </c>
      <c r="F3097" t="s">
        <v>57</v>
      </c>
      <c r="G3097" t="s">
        <v>383</v>
      </c>
      <c r="H3097" t="s">
        <v>42</v>
      </c>
      <c r="I3097" t="s">
        <v>21</v>
      </c>
      <c r="J3097" t="s">
        <v>2235</v>
      </c>
    </row>
    <row r="3098" spans="1:10" x14ac:dyDescent="0.25">
      <c r="A3098">
        <v>27845252</v>
      </c>
      <c r="B3098" t="s">
        <v>17</v>
      </c>
      <c r="C3098" s="4">
        <v>44771.933937141213</v>
      </c>
      <c r="D3098" t="s">
        <v>2236</v>
      </c>
      <c r="E3098" t="s">
        <v>129</v>
      </c>
      <c r="F3098" t="s">
        <v>49</v>
      </c>
      <c r="G3098" t="s">
        <v>50</v>
      </c>
      <c r="H3098" t="s">
        <v>42</v>
      </c>
      <c r="I3098" t="s">
        <v>21</v>
      </c>
      <c r="J3098" t="s">
        <v>2237</v>
      </c>
    </row>
    <row r="3099" spans="1:10" x14ac:dyDescent="0.25">
      <c r="A3099">
        <v>27845276</v>
      </c>
      <c r="B3099" t="s">
        <v>17</v>
      </c>
      <c r="C3099" s="4">
        <v>44771.934239641203</v>
      </c>
      <c r="D3099" t="s">
        <v>2238</v>
      </c>
      <c r="E3099" t="s">
        <v>22</v>
      </c>
      <c r="F3099" t="s">
        <v>52</v>
      </c>
      <c r="G3099" t="s">
        <v>409</v>
      </c>
      <c r="H3099" t="s">
        <v>29</v>
      </c>
      <c r="I3099" t="s">
        <v>21</v>
      </c>
      <c r="J3099" t="s">
        <v>2239</v>
      </c>
    </row>
    <row r="3100" spans="1:10" x14ac:dyDescent="0.25">
      <c r="A3100">
        <v>27845291</v>
      </c>
      <c r="B3100" t="s">
        <v>17</v>
      </c>
      <c r="C3100" s="4">
        <v>44771.934696087963</v>
      </c>
      <c r="D3100" t="s">
        <v>2240</v>
      </c>
      <c r="E3100" t="s">
        <v>27</v>
      </c>
      <c r="F3100" t="s">
        <v>18</v>
      </c>
      <c r="G3100" t="s">
        <v>260</v>
      </c>
      <c r="H3100" t="s">
        <v>29</v>
      </c>
      <c r="I3100" t="s">
        <v>21</v>
      </c>
      <c r="J3100" t="s">
        <v>2241</v>
      </c>
    </row>
    <row r="3101" spans="1:10" x14ac:dyDescent="0.25">
      <c r="A3101">
        <v>27845308</v>
      </c>
      <c r="B3101" t="s">
        <v>17</v>
      </c>
      <c r="C3101" s="4">
        <v>44771.934771168977</v>
      </c>
      <c r="D3101" t="s">
        <v>2242</v>
      </c>
      <c r="E3101" t="s">
        <v>38</v>
      </c>
      <c r="F3101" t="s">
        <v>31</v>
      </c>
      <c r="G3101" t="s">
        <v>168</v>
      </c>
      <c r="H3101" t="s">
        <v>29</v>
      </c>
      <c r="I3101" t="s">
        <v>21</v>
      </c>
      <c r="J3101" t="s">
        <v>461</v>
      </c>
    </row>
    <row r="3102" spans="1:10" x14ac:dyDescent="0.25">
      <c r="A3102">
        <v>27845314</v>
      </c>
      <c r="B3102" t="s">
        <v>17</v>
      </c>
      <c r="C3102" s="4">
        <v>44771.934783240737</v>
      </c>
      <c r="D3102" t="s">
        <v>2243</v>
      </c>
      <c r="E3102" t="s">
        <v>38</v>
      </c>
      <c r="F3102" t="s">
        <v>55</v>
      </c>
      <c r="G3102" t="s">
        <v>275</v>
      </c>
      <c r="H3102" t="s">
        <v>29</v>
      </c>
      <c r="I3102" t="s">
        <v>21</v>
      </c>
      <c r="J3102" t="s">
        <v>2244</v>
      </c>
    </row>
    <row r="3103" spans="1:10" x14ac:dyDescent="0.25">
      <c r="A3103">
        <v>27845326</v>
      </c>
      <c r="B3103" t="s">
        <v>17</v>
      </c>
      <c r="C3103" s="4">
        <v>44771.935152199083</v>
      </c>
      <c r="D3103" t="s">
        <v>2245</v>
      </c>
      <c r="E3103" t="s">
        <v>191</v>
      </c>
      <c r="F3103" t="s">
        <v>49</v>
      </c>
      <c r="G3103" t="s">
        <v>218</v>
      </c>
      <c r="H3103" t="s">
        <v>42</v>
      </c>
      <c r="I3103" t="s">
        <v>21</v>
      </c>
      <c r="J3103" t="s">
        <v>2246</v>
      </c>
    </row>
    <row r="3104" spans="1:10" x14ac:dyDescent="0.25">
      <c r="A3104">
        <v>27845337</v>
      </c>
      <c r="B3104" t="s">
        <v>17</v>
      </c>
      <c r="C3104" s="4">
        <v>44771.935394432869</v>
      </c>
      <c r="D3104" t="s">
        <v>2230</v>
      </c>
      <c r="E3104" t="s">
        <v>184</v>
      </c>
      <c r="F3104" t="s">
        <v>57</v>
      </c>
      <c r="G3104" t="s">
        <v>286</v>
      </c>
      <c r="H3104" t="s">
        <v>54</v>
      </c>
      <c r="I3104" t="s">
        <v>21</v>
      </c>
      <c r="J3104" t="s">
        <v>569</v>
      </c>
    </row>
    <row r="3105" spans="1:10" x14ac:dyDescent="0.25">
      <c r="A3105">
        <v>27845343</v>
      </c>
      <c r="B3105" t="s">
        <v>17</v>
      </c>
      <c r="C3105" s="4">
        <v>44771.935540543978</v>
      </c>
      <c r="D3105" t="s">
        <v>1996</v>
      </c>
      <c r="E3105" t="s">
        <v>38</v>
      </c>
      <c r="F3105" t="s">
        <v>23</v>
      </c>
      <c r="G3105" t="s">
        <v>224</v>
      </c>
      <c r="H3105" t="s">
        <v>29</v>
      </c>
      <c r="I3105" t="s">
        <v>21</v>
      </c>
      <c r="J3105" t="s">
        <v>449</v>
      </c>
    </row>
    <row r="3106" spans="1:10" x14ac:dyDescent="0.25">
      <c r="A3106">
        <v>27845361</v>
      </c>
      <c r="B3106" t="s">
        <v>17</v>
      </c>
      <c r="C3106" s="4">
        <v>44771.936089270843</v>
      </c>
      <c r="D3106" t="s">
        <v>2247</v>
      </c>
      <c r="E3106" t="s">
        <v>184</v>
      </c>
      <c r="F3106" t="s">
        <v>57</v>
      </c>
      <c r="G3106" t="s">
        <v>76</v>
      </c>
      <c r="H3106" t="s">
        <v>29</v>
      </c>
      <c r="I3106" t="s">
        <v>21</v>
      </c>
      <c r="J3106" t="s">
        <v>2248</v>
      </c>
    </row>
    <row r="3107" spans="1:10" x14ac:dyDescent="0.25">
      <c r="A3107">
        <v>27845378</v>
      </c>
      <c r="B3107" t="s">
        <v>17</v>
      </c>
      <c r="C3107" s="4">
        <v>44771.936488749998</v>
      </c>
      <c r="D3107" t="s">
        <v>2234</v>
      </c>
      <c r="E3107" t="s">
        <v>22</v>
      </c>
      <c r="F3107" t="s">
        <v>57</v>
      </c>
      <c r="G3107" t="s">
        <v>383</v>
      </c>
      <c r="H3107" t="s">
        <v>54</v>
      </c>
      <c r="I3107" t="s">
        <v>21</v>
      </c>
      <c r="J3107" t="s">
        <v>2235</v>
      </c>
    </row>
    <row r="3108" spans="1:10" x14ac:dyDescent="0.25">
      <c r="A3108">
        <v>27845392</v>
      </c>
      <c r="B3108" t="s">
        <v>17</v>
      </c>
      <c r="C3108" s="4">
        <v>44771.936892916667</v>
      </c>
      <c r="D3108" t="s">
        <v>2245</v>
      </c>
      <c r="E3108" t="s">
        <v>191</v>
      </c>
      <c r="F3108" t="s">
        <v>49</v>
      </c>
      <c r="G3108" t="s">
        <v>218</v>
      </c>
      <c r="H3108" t="s">
        <v>54</v>
      </c>
      <c r="I3108" t="s">
        <v>21</v>
      </c>
      <c r="J3108" t="s">
        <v>2246</v>
      </c>
    </row>
    <row r="3109" spans="1:10" x14ac:dyDescent="0.25">
      <c r="A3109">
        <v>27845399</v>
      </c>
      <c r="B3109" t="s">
        <v>17</v>
      </c>
      <c r="C3109" s="4">
        <v>44771.936943414352</v>
      </c>
      <c r="D3109" t="s">
        <v>2249</v>
      </c>
      <c r="E3109" t="s">
        <v>27</v>
      </c>
      <c r="F3109" t="s">
        <v>18</v>
      </c>
      <c r="G3109" t="s">
        <v>28</v>
      </c>
      <c r="H3109" t="s">
        <v>42</v>
      </c>
      <c r="I3109" t="s">
        <v>21</v>
      </c>
      <c r="J3109" t="s">
        <v>2250</v>
      </c>
    </row>
    <row r="3110" spans="1:10" x14ac:dyDescent="0.25">
      <c r="A3110">
        <v>27845402</v>
      </c>
      <c r="B3110" t="s">
        <v>17</v>
      </c>
      <c r="C3110" s="4">
        <v>44771.93695599537</v>
      </c>
      <c r="D3110" t="s">
        <v>2251</v>
      </c>
      <c r="E3110" t="s">
        <v>38</v>
      </c>
      <c r="F3110" t="s">
        <v>49</v>
      </c>
      <c r="G3110" t="s">
        <v>130</v>
      </c>
      <c r="H3110" t="s">
        <v>29</v>
      </c>
      <c r="I3110" t="s">
        <v>21</v>
      </c>
      <c r="J3110" t="s">
        <v>2252</v>
      </c>
    </row>
    <row r="3111" spans="1:10" x14ac:dyDescent="0.25">
      <c r="A3111">
        <v>27845412</v>
      </c>
      <c r="B3111" t="s">
        <v>17</v>
      </c>
      <c r="C3111" s="4">
        <v>44771.936977268517</v>
      </c>
      <c r="D3111" t="s">
        <v>2249</v>
      </c>
      <c r="E3111" t="s">
        <v>27</v>
      </c>
      <c r="F3111" t="s">
        <v>18</v>
      </c>
      <c r="G3111" t="s">
        <v>28</v>
      </c>
      <c r="H3111" t="s">
        <v>54</v>
      </c>
      <c r="I3111" t="s">
        <v>21</v>
      </c>
      <c r="J3111" t="s">
        <v>2250</v>
      </c>
    </row>
    <row r="3112" spans="1:10" x14ac:dyDescent="0.25">
      <c r="A3112">
        <v>27845445</v>
      </c>
      <c r="B3112" t="s">
        <v>17</v>
      </c>
      <c r="C3112" s="4">
        <v>44771.937684097233</v>
      </c>
      <c r="D3112" t="s">
        <v>2253</v>
      </c>
      <c r="E3112" t="s">
        <v>554</v>
      </c>
      <c r="F3112" t="s">
        <v>49</v>
      </c>
      <c r="G3112" t="s">
        <v>201</v>
      </c>
      <c r="H3112" t="s">
        <v>29</v>
      </c>
      <c r="I3112" t="s">
        <v>21</v>
      </c>
      <c r="J3112" t="s">
        <v>2254</v>
      </c>
    </row>
    <row r="3113" spans="1:10" x14ac:dyDescent="0.25">
      <c r="A3113">
        <v>27845468</v>
      </c>
      <c r="B3113" t="s">
        <v>17</v>
      </c>
      <c r="C3113" s="4">
        <v>44771.938269525461</v>
      </c>
      <c r="D3113" t="s">
        <v>2255</v>
      </c>
      <c r="E3113" t="s">
        <v>27</v>
      </c>
      <c r="F3113" t="s">
        <v>18</v>
      </c>
      <c r="G3113" t="s">
        <v>273</v>
      </c>
      <c r="H3113" t="s">
        <v>29</v>
      </c>
      <c r="I3113" t="s">
        <v>21</v>
      </c>
      <c r="J3113" t="s">
        <v>2256</v>
      </c>
    </row>
    <row r="3114" spans="1:10" x14ac:dyDescent="0.25">
      <c r="A3114">
        <v>27845482</v>
      </c>
      <c r="B3114" t="s">
        <v>17</v>
      </c>
      <c r="C3114" s="4">
        <v>44771.938759386583</v>
      </c>
      <c r="F3114" t="s">
        <v>55</v>
      </c>
      <c r="G3114" t="s">
        <v>193</v>
      </c>
      <c r="H3114" t="s">
        <v>20</v>
      </c>
      <c r="I3114" t="s">
        <v>21</v>
      </c>
    </row>
    <row r="3115" spans="1:10" x14ac:dyDescent="0.25">
      <c r="A3115">
        <v>27845492</v>
      </c>
      <c r="B3115" t="s">
        <v>17</v>
      </c>
      <c r="C3115" s="4">
        <v>44771.938877291657</v>
      </c>
      <c r="F3115" t="s">
        <v>31</v>
      </c>
      <c r="G3115" t="s">
        <v>137</v>
      </c>
      <c r="H3115" t="s">
        <v>20</v>
      </c>
      <c r="I3115" t="s">
        <v>21</v>
      </c>
    </row>
    <row r="3116" spans="1:10" x14ac:dyDescent="0.25">
      <c r="A3116">
        <v>27845497</v>
      </c>
      <c r="B3116" t="s">
        <v>17</v>
      </c>
      <c r="C3116" s="4">
        <v>44771.938983981483</v>
      </c>
      <c r="D3116" t="s">
        <v>2236</v>
      </c>
      <c r="E3116" t="s">
        <v>129</v>
      </c>
      <c r="F3116" t="s">
        <v>49</v>
      </c>
      <c r="G3116" t="s">
        <v>50</v>
      </c>
      <c r="H3116" t="s">
        <v>239</v>
      </c>
      <c r="I3116" t="s">
        <v>21</v>
      </c>
      <c r="J3116" t="s">
        <v>2237</v>
      </c>
    </row>
    <row r="3117" spans="1:10" x14ac:dyDescent="0.25">
      <c r="A3117">
        <v>27845498</v>
      </c>
      <c r="B3117" t="s">
        <v>17</v>
      </c>
      <c r="C3117" s="4">
        <v>44771.93899170139</v>
      </c>
      <c r="D3117" t="s">
        <v>2236</v>
      </c>
      <c r="E3117" t="s">
        <v>129</v>
      </c>
      <c r="F3117" t="s">
        <v>49</v>
      </c>
      <c r="G3117" t="s">
        <v>50</v>
      </c>
      <c r="H3117" t="s">
        <v>240</v>
      </c>
      <c r="I3117" t="s">
        <v>21</v>
      </c>
      <c r="J3117" t="s">
        <v>2237</v>
      </c>
    </row>
    <row r="3118" spans="1:10" x14ac:dyDescent="0.25">
      <c r="A3118">
        <v>27845526</v>
      </c>
      <c r="B3118" t="s">
        <v>17</v>
      </c>
      <c r="C3118" s="4">
        <v>44771.940269421299</v>
      </c>
      <c r="D3118" t="s">
        <v>2234</v>
      </c>
      <c r="E3118" t="s">
        <v>22</v>
      </c>
      <c r="F3118" t="s">
        <v>57</v>
      </c>
      <c r="G3118" t="s">
        <v>383</v>
      </c>
      <c r="H3118" t="s">
        <v>40</v>
      </c>
      <c r="I3118" t="s">
        <v>21</v>
      </c>
      <c r="J3118" t="s">
        <v>2235</v>
      </c>
    </row>
    <row r="3119" spans="1:10" x14ac:dyDescent="0.25">
      <c r="A3119">
        <v>27845528</v>
      </c>
      <c r="B3119" t="s">
        <v>17</v>
      </c>
      <c r="C3119" s="4">
        <v>44771.940416585647</v>
      </c>
      <c r="D3119" t="s">
        <v>2230</v>
      </c>
      <c r="E3119" t="s">
        <v>184</v>
      </c>
      <c r="F3119" t="s">
        <v>57</v>
      </c>
      <c r="G3119" t="s">
        <v>286</v>
      </c>
      <c r="H3119" t="s">
        <v>40</v>
      </c>
      <c r="I3119" t="s">
        <v>21</v>
      </c>
      <c r="J3119" t="s">
        <v>569</v>
      </c>
    </row>
    <row r="3120" spans="1:10" x14ac:dyDescent="0.25">
      <c r="A3120">
        <v>27845529</v>
      </c>
      <c r="B3120" t="s">
        <v>17</v>
      </c>
      <c r="C3120" s="4">
        <v>44771.940556307869</v>
      </c>
      <c r="D3120" t="s">
        <v>2257</v>
      </c>
      <c r="E3120" t="s">
        <v>38</v>
      </c>
      <c r="F3120" t="s">
        <v>52</v>
      </c>
      <c r="G3120" t="s">
        <v>65</v>
      </c>
      <c r="H3120" t="s">
        <v>29</v>
      </c>
      <c r="I3120" t="s">
        <v>21</v>
      </c>
      <c r="J3120" t="s">
        <v>2258</v>
      </c>
    </row>
    <row r="3121" spans="1:10" x14ac:dyDescent="0.25">
      <c r="A3121">
        <v>27845536</v>
      </c>
      <c r="B3121" t="s">
        <v>17</v>
      </c>
      <c r="C3121" s="4">
        <v>44771.940592268518</v>
      </c>
      <c r="D3121" t="s">
        <v>2259</v>
      </c>
      <c r="E3121" t="s">
        <v>22</v>
      </c>
      <c r="F3121" t="s">
        <v>52</v>
      </c>
      <c r="G3121" t="s">
        <v>65</v>
      </c>
      <c r="H3121" t="s">
        <v>42</v>
      </c>
      <c r="I3121" t="s">
        <v>21</v>
      </c>
      <c r="J3121" t="s">
        <v>580</v>
      </c>
    </row>
    <row r="3122" spans="1:10" x14ac:dyDescent="0.25">
      <c r="A3122">
        <v>27845547</v>
      </c>
      <c r="B3122" t="s">
        <v>17</v>
      </c>
      <c r="C3122" s="4">
        <v>44771.940650104167</v>
      </c>
      <c r="D3122" t="s">
        <v>2260</v>
      </c>
      <c r="E3122" t="s">
        <v>27</v>
      </c>
      <c r="F3122" t="s">
        <v>18</v>
      </c>
      <c r="G3122" t="s">
        <v>186</v>
      </c>
      <c r="H3122" t="s">
        <v>42</v>
      </c>
      <c r="I3122" t="s">
        <v>21</v>
      </c>
      <c r="J3122" t="s">
        <v>574</v>
      </c>
    </row>
    <row r="3123" spans="1:10" x14ac:dyDescent="0.25">
      <c r="A3123">
        <v>27845552</v>
      </c>
      <c r="B3123" t="s">
        <v>17</v>
      </c>
      <c r="C3123" s="4">
        <v>44771.940784756953</v>
      </c>
      <c r="D3123" t="s">
        <v>2260</v>
      </c>
      <c r="E3123" t="s">
        <v>27</v>
      </c>
      <c r="F3123" t="s">
        <v>18</v>
      </c>
      <c r="G3123" t="s">
        <v>186</v>
      </c>
      <c r="H3123" t="s">
        <v>54</v>
      </c>
      <c r="I3123" t="s">
        <v>21</v>
      </c>
      <c r="J3123" t="s">
        <v>574</v>
      </c>
    </row>
    <row r="3124" spans="1:10" x14ac:dyDescent="0.25">
      <c r="A3124">
        <v>27845570</v>
      </c>
      <c r="B3124" t="s">
        <v>17</v>
      </c>
      <c r="C3124" s="4">
        <v>44771.941020775463</v>
      </c>
      <c r="D3124" t="s">
        <v>2230</v>
      </c>
      <c r="E3124" t="s">
        <v>184</v>
      </c>
      <c r="F3124" t="s">
        <v>57</v>
      </c>
      <c r="G3124" t="s">
        <v>286</v>
      </c>
      <c r="H3124" t="s">
        <v>25</v>
      </c>
      <c r="I3124" t="s">
        <v>21</v>
      </c>
      <c r="J3124" t="s">
        <v>569</v>
      </c>
    </row>
    <row r="3125" spans="1:10" x14ac:dyDescent="0.25">
      <c r="A3125">
        <v>27845578</v>
      </c>
      <c r="B3125" t="s">
        <v>17</v>
      </c>
      <c r="C3125" s="4">
        <v>44771.941032812501</v>
      </c>
      <c r="D3125" t="s">
        <v>2234</v>
      </c>
      <c r="E3125" t="s">
        <v>22</v>
      </c>
      <c r="F3125" t="s">
        <v>57</v>
      </c>
      <c r="G3125" t="s">
        <v>383</v>
      </c>
      <c r="H3125" t="s">
        <v>25</v>
      </c>
      <c r="I3125" t="s">
        <v>21</v>
      </c>
      <c r="J3125" t="s">
        <v>2235</v>
      </c>
    </row>
    <row r="3126" spans="1:10" x14ac:dyDescent="0.25">
      <c r="A3126">
        <v>27845607</v>
      </c>
      <c r="B3126" t="s">
        <v>17</v>
      </c>
      <c r="C3126" s="4">
        <v>44771.941688622683</v>
      </c>
      <c r="D3126" t="s">
        <v>2236</v>
      </c>
      <c r="E3126" t="s">
        <v>129</v>
      </c>
      <c r="F3126" t="s">
        <v>49</v>
      </c>
      <c r="G3126" t="s">
        <v>50</v>
      </c>
      <c r="H3126" t="s">
        <v>40</v>
      </c>
      <c r="I3126" t="s">
        <v>21</v>
      </c>
      <c r="J3126" t="s">
        <v>2237</v>
      </c>
    </row>
    <row r="3127" spans="1:10" x14ac:dyDescent="0.25">
      <c r="A3127">
        <v>27845614</v>
      </c>
      <c r="B3127" t="s">
        <v>17</v>
      </c>
      <c r="C3127" s="4">
        <v>44771.941831875003</v>
      </c>
      <c r="D3127" t="s">
        <v>2259</v>
      </c>
      <c r="E3127" t="s">
        <v>22</v>
      </c>
      <c r="F3127" t="s">
        <v>52</v>
      </c>
      <c r="G3127" t="s">
        <v>65</v>
      </c>
      <c r="H3127" t="s">
        <v>54</v>
      </c>
      <c r="I3127" t="s">
        <v>21</v>
      </c>
      <c r="J3127" t="s">
        <v>580</v>
      </c>
    </row>
    <row r="3128" spans="1:10" x14ac:dyDescent="0.25">
      <c r="A3128">
        <v>27845626</v>
      </c>
      <c r="B3128" t="s">
        <v>17</v>
      </c>
      <c r="C3128" s="4">
        <v>44771.942223796294</v>
      </c>
      <c r="D3128" t="s">
        <v>2236</v>
      </c>
      <c r="E3128" t="s">
        <v>129</v>
      </c>
      <c r="F3128" t="s">
        <v>49</v>
      </c>
      <c r="G3128" t="s">
        <v>50</v>
      </c>
      <c r="H3128" t="s">
        <v>25</v>
      </c>
      <c r="I3128" t="s">
        <v>21</v>
      </c>
      <c r="J3128" t="s">
        <v>2237</v>
      </c>
    </row>
    <row r="3129" spans="1:10" x14ac:dyDescent="0.25">
      <c r="A3129">
        <v>27845641</v>
      </c>
      <c r="B3129" t="s">
        <v>17</v>
      </c>
      <c r="C3129" s="4">
        <v>44771.942335127307</v>
      </c>
      <c r="D3129" t="s">
        <v>2261</v>
      </c>
      <c r="E3129" t="s">
        <v>27</v>
      </c>
      <c r="F3129" t="s">
        <v>18</v>
      </c>
      <c r="G3129" t="s">
        <v>183</v>
      </c>
      <c r="H3129" t="s">
        <v>29</v>
      </c>
      <c r="I3129" t="s">
        <v>21</v>
      </c>
      <c r="J3129" t="s">
        <v>2262</v>
      </c>
    </row>
    <row r="3130" spans="1:10" x14ac:dyDescent="0.25">
      <c r="A3130">
        <v>27845664</v>
      </c>
      <c r="B3130" t="s">
        <v>17</v>
      </c>
      <c r="C3130" s="4">
        <v>44771.943420370371</v>
      </c>
      <c r="D3130" t="s">
        <v>2249</v>
      </c>
      <c r="E3130" t="s">
        <v>27</v>
      </c>
      <c r="F3130" t="s">
        <v>18</v>
      </c>
      <c r="G3130" t="s">
        <v>28</v>
      </c>
      <c r="H3130" t="s">
        <v>40</v>
      </c>
      <c r="I3130" t="s">
        <v>21</v>
      </c>
      <c r="J3130" t="s">
        <v>2250</v>
      </c>
    </row>
    <row r="3131" spans="1:10" x14ac:dyDescent="0.25">
      <c r="A3131">
        <v>27845668</v>
      </c>
      <c r="B3131" t="s">
        <v>17</v>
      </c>
      <c r="C3131" s="4">
        <v>44771.943936932868</v>
      </c>
      <c r="D3131" t="s">
        <v>2249</v>
      </c>
      <c r="E3131" t="s">
        <v>27</v>
      </c>
      <c r="F3131" t="s">
        <v>18</v>
      </c>
      <c r="G3131" t="s">
        <v>28</v>
      </c>
      <c r="H3131" t="s">
        <v>25</v>
      </c>
      <c r="I3131" t="s">
        <v>21</v>
      </c>
      <c r="J3131" t="s">
        <v>2250</v>
      </c>
    </row>
    <row r="3132" spans="1:10" x14ac:dyDescent="0.25">
      <c r="A3132">
        <v>27845692</v>
      </c>
      <c r="B3132" t="s">
        <v>17</v>
      </c>
      <c r="C3132" s="4">
        <v>44771.944593680557</v>
      </c>
      <c r="D3132" t="s">
        <v>2263</v>
      </c>
      <c r="E3132" t="s">
        <v>62</v>
      </c>
      <c r="F3132" t="s">
        <v>57</v>
      </c>
      <c r="G3132" t="s">
        <v>291</v>
      </c>
      <c r="H3132" t="s">
        <v>29</v>
      </c>
      <c r="I3132" t="s">
        <v>21</v>
      </c>
      <c r="J3132" t="s">
        <v>2264</v>
      </c>
    </row>
    <row r="3133" spans="1:10" x14ac:dyDescent="0.25">
      <c r="A3133">
        <v>27845702</v>
      </c>
      <c r="B3133" t="s">
        <v>17</v>
      </c>
      <c r="C3133" s="4">
        <v>44771.944996620368</v>
      </c>
      <c r="D3133" t="s">
        <v>2245</v>
      </c>
      <c r="E3133" t="s">
        <v>191</v>
      </c>
      <c r="F3133" t="s">
        <v>49</v>
      </c>
      <c r="G3133" t="s">
        <v>218</v>
      </c>
      <c r="H3133" t="s">
        <v>40</v>
      </c>
      <c r="I3133" t="s">
        <v>21</v>
      </c>
      <c r="J3133" t="s">
        <v>2246</v>
      </c>
    </row>
    <row r="3134" spans="1:10" x14ac:dyDescent="0.25">
      <c r="A3134">
        <v>27845720</v>
      </c>
      <c r="B3134" t="s">
        <v>17</v>
      </c>
      <c r="C3134" s="4">
        <v>44771.945459675917</v>
      </c>
      <c r="D3134" t="s">
        <v>2265</v>
      </c>
      <c r="E3134" t="s">
        <v>38</v>
      </c>
      <c r="F3134" t="s">
        <v>23</v>
      </c>
      <c r="G3134" t="s">
        <v>120</v>
      </c>
      <c r="H3134" t="s">
        <v>40</v>
      </c>
      <c r="I3134" t="s">
        <v>21</v>
      </c>
      <c r="J3134" t="s">
        <v>889</v>
      </c>
    </row>
    <row r="3135" spans="1:10" x14ac:dyDescent="0.25">
      <c r="A3135">
        <v>27845722</v>
      </c>
      <c r="B3135" t="s">
        <v>17</v>
      </c>
      <c r="C3135" s="4">
        <v>44771.945480358787</v>
      </c>
      <c r="D3135" t="s">
        <v>2245</v>
      </c>
      <c r="E3135" t="s">
        <v>191</v>
      </c>
      <c r="F3135" t="s">
        <v>49</v>
      </c>
      <c r="G3135" t="s">
        <v>218</v>
      </c>
      <c r="H3135" t="s">
        <v>25</v>
      </c>
      <c r="I3135" t="s">
        <v>21</v>
      </c>
      <c r="J3135" t="s">
        <v>2246</v>
      </c>
    </row>
    <row r="3136" spans="1:10" x14ac:dyDescent="0.25">
      <c r="A3136">
        <v>27845736</v>
      </c>
      <c r="B3136" t="s">
        <v>17</v>
      </c>
      <c r="C3136" s="4">
        <v>44771.945841516201</v>
      </c>
      <c r="D3136" t="s">
        <v>1721</v>
      </c>
      <c r="E3136" t="s">
        <v>38</v>
      </c>
      <c r="F3136" t="s">
        <v>52</v>
      </c>
      <c r="G3136" t="s">
        <v>145</v>
      </c>
      <c r="H3136" t="s">
        <v>29</v>
      </c>
      <c r="I3136" t="s">
        <v>21</v>
      </c>
      <c r="J3136" t="s">
        <v>2266</v>
      </c>
    </row>
    <row r="3137" spans="1:10" x14ac:dyDescent="0.25">
      <c r="A3137">
        <v>27845748</v>
      </c>
      <c r="B3137" t="s">
        <v>17</v>
      </c>
      <c r="C3137" s="4">
        <v>44771.94610021991</v>
      </c>
      <c r="E3137" t="s">
        <v>38</v>
      </c>
      <c r="F3137" t="s">
        <v>55</v>
      </c>
      <c r="G3137" t="s">
        <v>193</v>
      </c>
      <c r="H3137" t="s">
        <v>40</v>
      </c>
      <c r="I3137" t="s">
        <v>21</v>
      </c>
    </row>
    <row r="3138" spans="1:10" x14ac:dyDescent="0.25">
      <c r="A3138">
        <v>27845749</v>
      </c>
      <c r="B3138" t="s">
        <v>17</v>
      </c>
      <c r="C3138" s="4">
        <v>44771.946113645827</v>
      </c>
      <c r="D3138" t="s">
        <v>2265</v>
      </c>
      <c r="E3138" t="s">
        <v>38</v>
      </c>
      <c r="F3138" t="s">
        <v>23</v>
      </c>
      <c r="G3138" t="s">
        <v>120</v>
      </c>
      <c r="H3138" t="s">
        <v>25</v>
      </c>
      <c r="I3138" t="s">
        <v>21</v>
      </c>
      <c r="J3138" t="s">
        <v>889</v>
      </c>
    </row>
    <row r="3139" spans="1:10" x14ac:dyDescent="0.25">
      <c r="A3139">
        <v>27845758</v>
      </c>
      <c r="B3139" t="s">
        <v>17</v>
      </c>
      <c r="C3139" s="4">
        <v>44771.946842418984</v>
      </c>
      <c r="D3139" t="s">
        <v>2267</v>
      </c>
      <c r="E3139" t="s">
        <v>22</v>
      </c>
      <c r="F3139" t="s">
        <v>23</v>
      </c>
      <c r="G3139" t="s">
        <v>187</v>
      </c>
      <c r="H3139" t="s">
        <v>29</v>
      </c>
      <c r="I3139" t="s">
        <v>21</v>
      </c>
      <c r="J3139" t="s">
        <v>2268</v>
      </c>
    </row>
    <row r="3140" spans="1:10" x14ac:dyDescent="0.25">
      <c r="A3140">
        <v>27845771</v>
      </c>
      <c r="B3140" t="s">
        <v>17</v>
      </c>
      <c r="C3140" s="4">
        <v>44771.946877372677</v>
      </c>
      <c r="E3140" t="s">
        <v>38</v>
      </c>
      <c r="F3140" t="s">
        <v>55</v>
      </c>
      <c r="G3140" t="s">
        <v>193</v>
      </c>
      <c r="H3140" t="s">
        <v>25</v>
      </c>
      <c r="I3140" t="s">
        <v>21</v>
      </c>
    </row>
    <row r="3141" spans="1:10" x14ac:dyDescent="0.25">
      <c r="A3141">
        <v>27845785</v>
      </c>
      <c r="B3141" t="s">
        <v>17</v>
      </c>
      <c r="C3141" s="4">
        <v>44771.947151250002</v>
      </c>
      <c r="D3141" t="s">
        <v>2259</v>
      </c>
      <c r="E3141" t="s">
        <v>22</v>
      </c>
      <c r="F3141" t="s">
        <v>52</v>
      </c>
      <c r="G3141" t="s">
        <v>65</v>
      </c>
      <c r="H3141" t="s">
        <v>40</v>
      </c>
      <c r="I3141" t="s">
        <v>21</v>
      </c>
      <c r="J3141" t="s">
        <v>580</v>
      </c>
    </row>
    <row r="3142" spans="1:10" x14ac:dyDescent="0.25">
      <c r="A3142">
        <v>27845791</v>
      </c>
      <c r="B3142" t="s">
        <v>17</v>
      </c>
      <c r="C3142" s="4">
        <v>44771.947630150462</v>
      </c>
      <c r="D3142" t="s">
        <v>2259</v>
      </c>
      <c r="E3142" t="s">
        <v>22</v>
      </c>
      <c r="F3142" t="s">
        <v>52</v>
      </c>
      <c r="G3142" t="s">
        <v>65</v>
      </c>
      <c r="H3142" t="s">
        <v>25</v>
      </c>
      <c r="I3142" t="s">
        <v>21</v>
      </c>
      <c r="J3142" t="s">
        <v>580</v>
      </c>
    </row>
    <row r="3143" spans="1:10" x14ac:dyDescent="0.25">
      <c r="A3143">
        <v>27845802</v>
      </c>
      <c r="B3143" t="s">
        <v>17</v>
      </c>
      <c r="C3143" s="4">
        <v>44771.947645335647</v>
      </c>
      <c r="D3143" t="s">
        <v>2260</v>
      </c>
      <c r="E3143" t="s">
        <v>27</v>
      </c>
      <c r="F3143" t="s">
        <v>18</v>
      </c>
      <c r="G3143" t="s">
        <v>186</v>
      </c>
      <c r="H3143" t="s">
        <v>40</v>
      </c>
      <c r="I3143" t="s">
        <v>21</v>
      </c>
      <c r="J3143" t="s">
        <v>574</v>
      </c>
    </row>
    <row r="3144" spans="1:10" x14ac:dyDescent="0.25">
      <c r="A3144">
        <v>27845808</v>
      </c>
      <c r="B3144" t="s">
        <v>17</v>
      </c>
      <c r="C3144" s="4">
        <v>44771.947949479167</v>
      </c>
      <c r="D3144" t="s">
        <v>2269</v>
      </c>
      <c r="E3144" t="s">
        <v>27</v>
      </c>
      <c r="F3144" t="s">
        <v>49</v>
      </c>
      <c r="G3144" t="s">
        <v>359</v>
      </c>
      <c r="H3144" t="s">
        <v>29</v>
      </c>
      <c r="I3144" t="s">
        <v>21</v>
      </c>
      <c r="J3144" t="s">
        <v>2270</v>
      </c>
    </row>
    <row r="3145" spans="1:10" x14ac:dyDescent="0.25">
      <c r="A3145">
        <v>27845848</v>
      </c>
      <c r="B3145" t="s">
        <v>17</v>
      </c>
      <c r="C3145" s="4">
        <v>44771.948432754631</v>
      </c>
      <c r="D3145" t="s">
        <v>1776</v>
      </c>
      <c r="E3145" t="s">
        <v>22</v>
      </c>
      <c r="F3145" t="s">
        <v>52</v>
      </c>
      <c r="G3145" t="s">
        <v>89</v>
      </c>
      <c r="H3145" t="s">
        <v>29</v>
      </c>
      <c r="I3145" t="s">
        <v>21</v>
      </c>
      <c r="J3145" t="s">
        <v>1777</v>
      </c>
    </row>
    <row r="3146" spans="1:10" x14ac:dyDescent="0.25">
      <c r="A3146">
        <v>27845854</v>
      </c>
      <c r="B3146" t="s">
        <v>17</v>
      </c>
      <c r="C3146" s="4">
        <v>44771.948455115737</v>
      </c>
      <c r="D3146" t="s">
        <v>2260</v>
      </c>
      <c r="E3146" t="s">
        <v>27</v>
      </c>
      <c r="F3146" t="s">
        <v>18</v>
      </c>
      <c r="G3146" t="s">
        <v>186</v>
      </c>
      <c r="H3146" t="s">
        <v>25</v>
      </c>
      <c r="I3146" t="s">
        <v>21</v>
      </c>
      <c r="J3146" t="s">
        <v>574</v>
      </c>
    </row>
    <row r="3147" spans="1:10" x14ac:dyDescent="0.25">
      <c r="A3147">
        <v>27845903</v>
      </c>
      <c r="B3147" t="s">
        <v>17</v>
      </c>
      <c r="C3147" s="4">
        <v>44771.950711018508</v>
      </c>
      <c r="D3147" t="s">
        <v>2271</v>
      </c>
      <c r="E3147" t="s">
        <v>22</v>
      </c>
      <c r="F3147" t="s">
        <v>23</v>
      </c>
      <c r="G3147" t="s">
        <v>175</v>
      </c>
      <c r="H3147" t="s">
        <v>29</v>
      </c>
      <c r="I3147" t="s">
        <v>21</v>
      </c>
      <c r="J3147" t="s">
        <v>627</v>
      </c>
    </row>
    <row r="3148" spans="1:10" x14ac:dyDescent="0.25">
      <c r="A3148">
        <v>27845918</v>
      </c>
      <c r="B3148" t="s">
        <v>17</v>
      </c>
      <c r="C3148" s="4">
        <v>44771.951295324077</v>
      </c>
      <c r="D3148" t="s">
        <v>2272</v>
      </c>
      <c r="E3148" t="s">
        <v>22</v>
      </c>
      <c r="F3148" t="s">
        <v>31</v>
      </c>
      <c r="G3148" t="s">
        <v>137</v>
      </c>
      <c r="H3148" t="s">
        <v>40</v>
      </c>
      <c r="I3148" t="s">
        <v>21</v>
      </c>
      <c r="J3148" t="s">
        <v>591</v>
      </c>
    </row>
    <row r="3149" spans="1:10" x14ac:dyDescent="0.25">
      <c r="A3149">
        <v>27845932</v>
      </c>
      <c r="B3149" t="s">
        <v>17</v>
      </c>
      <c r="C3149" s="4">
        <v>44771.951927997688</v>
      </c>
      <c r="D3149" t="s">
        <v>2272</v>
      </c>
      <c r="E3149" t="s">
        <v>22</v>
      </c>
      <c r="F3149" t="s">
        <v>31</v>
      </c>
      <c r="G3149" t="s">
        <v>137</v>
      </c>
      <c r="H3149" t="s">
        <v>25</v>
      </c>
      <c r="I3149" t="s">
        <v>21</v>
      </c>
      <c r="J3149" t="s">
        <v>591</v>
      </c>
    </row>
    <row r="3150" spans="1:10" x14ac:dyDescent="0.25">
      <c r="A3150">
        <v>27845948</v>
      </c>
      <c r="B3150" t="s">
        <v>17</v>
      </c>
      <c r="C3150" s="4">
        <v>44771.952323784717</v>
      </c>
      <c r="D3150" t="s">
        <v>2273</v>
      </c>
      <c r="E3150" t="s">
        <v>38</v>
      </c>
      <c r="F3150" t="s">
        <v>31</v>
      </c>
      <c r="G3150" t="s">
        <v>157</v>
      </c>
      <c r="H3150" t="s">
        <v>29</v>
      </c>
      <c r="I3150" t="s">
        <v>21</v>
      </c>
      <c r="J3150" t="s">
        <v>579</v>
      </c>
    </row>
    <row r="3151" spans="1:10" x14ac:dyDescent="0.25">
      <c r="A3151">
        <v>27845972</v>
      </c>
      <c r="B3151" t="s">
        <v>17</v>
      </c>
      <c r="C3151" s="4">
        <v>44771.952714930558</v>
      </c>
      <c r="D3151" t="s">
        <v>2274</v>
      </c>
      <c r="E3151" t="s">
        <v>38</v>
      </c>
      <c r="F3151" t="s">
        <v>31</v>
      </c>
      <c r="G3151" t="s">
        <v>161</v>
      </c>
      <c r="H3151" t="s">
        <v>29</v>
      </c>
      <c r="I3151" t="s">
        <v>21</v>
      </c>
      <c r="J3151" t="s">
        <v>2275</v>
      </c>
    </row>
    <row r="3152" spans="1:10" x14ac:dyDescent="0.25">
      <c r="A3152">
        <v>27845979</v>
      </c>
      <c r="B3152" t="s">
        <v>17</v>
      </c>
      <c r="C3152" s="4">
        <v>44771.952745150462</v>
      </c>
      <c r="D3152" t="s">
        <v>2276</v>
      </c>
      <c r="E3152" t="s">
        <v>38</v>
      </c>
      <c r="F3152" t="s">
        <v>31</v>
      </c>
      <c r="G3152" t="s">
        <v>161</v>
      </c>
      <c r="H3152" t="s">
        <v>42</v>
      </c>
      <c r="I3152" t="s">
        <v>21</v>
      </c>
      <c r="J3152" t="s">
        <v>323</v>
      </c>
    </row>
    <row r="3153" spans="1:10" x14ac:dyDescent="0.25">
      <c r="A3153">
        <v>27845993</v>
      </c>
      <c r="B3153" t="s">
        <v>17</v>
      </c>
      <c r="C3153" s="4">
        <v>44771.953034305552</v>
      </c>
      <c r="D3153" t="s">
        <v>2277</v>
      </c>
      <c r="E3153" t="s">
        <v>62</v>
      </c>
      <c r="F3153" t="s">
        <v>49</v>
      </c>
      <c r="G3153" t="s">
        <v>359</v>
      </c>
      <c r="H3153" t="s">
        <v>42</v>
      </c>
      <c r="I3153" t="s">
        <v>21</v>
      </c>
      <c r="J3153" t="s">
        <v>2278</v>
      </c>
    </row>
    <row r="3154" spans="1:10" x14ac:dyDescent="0.25">
      <c r="A3154">
        <v>27846006</v>
      </c>
      <c r="B3154" t="s">
        <v>17</v>
      </c>
      <c r="C3154" s="4">
        <v>44771.953587453703</v>
      </c>
      <c r="D3154" t="s">
        <v>2279</v>
      </c>
      <c r="E3154" t="s">
        <v>38</v>
      </c>
      <c r="F3154" t="s">
        <v>52</v>
      </c>
      <c r="G3154" t="s">
        <v>77</v>
      </c>
      <c r="H3154" t="s">
        <v>29</v>
      </c>
      <c r="I3154" t="s">
        <v>21</v>
      </c>
      <c r="J3154" t="s">
        <v>467</v>
      </c>
    </row>
    <row r="3155" spans="1:10" x14ac:dyDescent="0.25">
      <c r="A3155">
        <v>27846041</v>
      </c>
      <c r="B3155" t="s">
        <v>17</v>
      </c>
      <c r="C3155" s="4">
        <v>44771.954901458332</v>
      </c>
      <c r="D3155" t="s">
        <v>2280</v>
      </c>
      <c r="E3155" t="s">
        <v>38</v>
      </c>
      <c r="F3155" t="s">
        <v>31</v>
      </c>
      <c r="G3155" t="s">
        <v>166</v>
      </c>
      <c r="H3155" t="s">
        <v>29</v>
      </c>
      <c r="I3155" t="s">
        <v>21</v>
      </c>
      <c r="J3155" t="s">
        <v>2281</v>
      </c>
    </row>
    <row r="3156" spans="1:10" x14ac:dyDescent="0.25">
      <c r="A3156">
        <v>27846050</v>
      </c>
      <c r="B3156" t="s">
        <v>17</v>
      </c>
      <c r="C3156" s="4">
        <v>44771.954943726851</v>
      </c>
      <c r="F3156" t="s">
        <v>52</v>
      </c>
      <c r="G3156" t="s">
        <v>89</v>
      </c>
      <c r="H3156" t="s">
        <v>116</v>
      </c>
      <c r="I3156" t="s">
        <v>21</v>
      </c>
    </row>
    <row r="3157" spans="1:10" x14ac:dyDescent="0.25">
      <c r="A3157">
        <v>27846067</v>
      </c>
      <c r="B3157" t="s">
        <v>17</v>
      </c>
      <c r="C3157" s="4">
        <v>44771.955246412042</v>
      </c>
      <c r="D3157" t="s">
        <v>2103</v>
      </c>
      <c r="E3157" t="s">
        <v>30</v>
      </c>
      <c r="F3157" t="s">
        <v>52</v>
      </c>
      <c r="G3157" t="s">
        <v>220</v>
      </c>
      <c r="H3157" t="s">
        <v>29</v>
      </c>
      <c r="I3157" t="s">
        <v>21</v>
      </c>
    </row>
    <row r="3158" spans="1:10" x14ac:dyDescent="0.25">
      <c r="A3158">
        <v>27846079</v>
      </c>
      <c r="B3158" t="s">
        <v>17</v>
      </c>
      <c r="C3158" s="4">
        <v>44771.955697546298</v>
      </c>
      <c r="D3158" t="s">
        <v>2276</v>
      </c>
      <c r="E3158" t="s">
        <v>38</v>
      </c>
      <c r="F3158" t="s">
        <v>31</v>
      </c>
      <c r="G3158" t="s">
        <v>161</v>
      </c>
      <c r="H3158" t="s">
        <v>54</v>
      </c>
      <c r="I3158" t="s">
        <v>21</v>
      </c>
      <c r="J3158" t="s">
        <v>323</v>
      </c>
    </row>
    <row r="3159" spans="1:10" x14ac:dyDescent="0.25">
      <c r="A3159">
        <v>27846087</v>
      </c>
      <c r="B3159" t="s">
        <v>17</v>
      </c>
      <c r="C3159" s="4">
        <v>44771.956158506953</v>
      </c>
      <c r="D3159" t="s">
        <v>2277</v>
      </c>
      <c r="E3159" t="s">
        <v>62</v>
      </c>
      <c r="F3159" t="s">
        <v>49</v>
      </c>
      <c r="G3159" t="s">
        <v>359</v>
      </c>
      <c r="H3159" t="s">
        <v>239</v>
      </c>
      <c r="I3159" t="s">
        <v>21</v>
      </c>
      <c r="J3159" t="s">
        <v>2278</v>
      </c>
    </row>
    <row r="3160" spans="1:10" x14ac:dyDescent="0.25">
      <c r="A3160">
        <v>27846088</v>
      </c>
      <c r="B3160" t="s">
        <v>17</v>
      </c>
      <c r="C3160" s="4">
        <v>44771.956162650473</v>
      </c>
      <c r="D3160" t="s">
        <v>2277</v>
      </c>
      <c r="E3160" t="s">
        <v>62</v>
      </c>
      <c r="F3160" t="s">
        <v>49</v>
      </c>
      <c r="G3160" t="s">
        <v>359</v>
      </c>
      <c r="H3160" t="s">
        <v>240</v>
      </c>
      <c r="I3160" t="s">
        <v>21</v>
      </c>
      <c r="J3160" t="s">
        <v>2278</v>
      </c>
    </row>
    <row r="3161" spans="1:10" x14ac:dyDescent="0.25">
      <c r="A3161">
        <v>27846095</v>
      </c>
      <c r="B3161" t="s">
        <v>17</v>
      </c>
      <c r="C3161" s="4">
        <v>44771.956344548613</v>
      </c>
      <c r="D3161" t="s">
        <v>2276</v>
      </c>
      <c r="E3161" t="s">
        <v>38</v>
      </c>
      <c r="F3161" t="s">
        <v>31</v>
      </c>
      <c r="G3161" t="s">
        <v>161</v>
      </c>
      <c r="H3161" t="s">
        <v>40</v>
      </c>
      <c r="I3161" t="s">
        <v>21</v>
      </c>
      <c r="J3161" t="s">
        <v>323</v>
      </c>
    </row>
    <row r="3162" spans="1:10" x14ac:dyDescent="0.25">
      <c r="A3162">
        <v>27846102</v>
      </c>
      <c r="B3162" t="s">
        <v>17</v>
      </c>
      <c r="C3162" s="4">
        <v>44771.957008425918</v>
      </c>
      <c r="D3162" t="s">
        <v>2276</v>
      </c>
      <c r="E3162" t="s">
        <v>38</v>
      </c>
      <c r="F3162" t="s">
        <v>31</v>
      </c>
      <c r="G3162" t="s">
        <v>161</v>
      </c>
      <c r="H3162" t="s">
        <v>25</v>
      </c>
      <c r="I3162" t="s">
        <v>21</v>
      </c>
      <c r="J3162" t="s">
        <v>323</v>
      </c>
    </row>
    <row r="3163" spans="1:10" x14ac:dyDescent="0.25">
      <c r="A3163">
        <v>27846147</v>
      </c>
      <c r="B3163" t="s">
        <v>17</v>
      </c>
      <c r="C3163" s="4">
        <v>44771.958867546287</v>
      </c>
      <c r="D3163" t="s">
        <v>2282</v>
      </c>
      <c r="E3163" t="s">
        <v>379</v>
      </c>
      <c r="F3163" t="s">
        <v>31</v>
      </c>
      <c r="G3163" t="s">
        <v>96</v>
      </c>
      <c r="H3163" t="s">
        <v>29</v>
      </c>
      <c r="I3163" t="s">
        <v>21</v>
      </c>
      <c r="J3163" t="s">
        <v>443</v>
      </c>
    </row>
    <row r="3164" spans="1:10" x14ac:dyDescent="0.25">
      <c r="A3164">
        <v>27846174</v>
      </c>
      <c r="B3164" t="s">
        <v>17</v>
      </c>
      <c r="C3164" s="4">
        <v>44771.959178136567</v>
      </c>
      <c r="D3164" t="s">
        <v>1177</v>
      </c>
      <c r="E3164" t="s">
        <v>38</v>
      </c>
      <c r="F3164" t="s">
        <v>55</v>
      </c>
      <c r="G3164" t="s">
        <v>204</v>
      </c>
      <c r="H3164" t="s">
        <v>29</v>
      </c>
      <c r="I3164" t="s">
        <v>21</v>
      </c>
      <c r="J3164" t="s">
        <v>2283</v>
      </c>
    </row>
    <row r="3165" spans="1:10" x14ac:dyDescent="0.25">
      <c r="A3165">
        <v>27846197</v>
      </c>
      <c r="B3165" t="s">
        <v>17</v>
      </c>
      <c r="C3165" s="4">
        <v>44771.959515752307</v>
      </c>
      <c r="D3165" t="s">
        <v>2284</v>
      </c>
      <c r="E3165" t="s">
        <v>387</v>
      </c>
      <c r="F3165" t="s">
        <v>18</v>
      </c>
      <c r="G3165" t="s">
        <v>413</v>
      </c>
      <c r="H3165" t="s">
        <v>42</v>
      </c>
      <c r="I3165" t="s">
        <v>21</v>
      </c>
      <c r="J3165" t="s">
        <v>385</v>
      </c>
    </row>
    <row r="3166" spans="1:10" x14ac:dyDescent="0.25">
      <c r="A3166">
        <v>27846200</v>
      </c>
      <c r="B3166" t="s">
        <v>17</v>
      </c>
      <c r="C3166" s="4">
        <v>44771.959566446763</v>
      </c>
      <c r="D3166" t="s">
        <v>2284</v>
      </c>
      <c r="E3166" t="s">
        <v>387</v>
      </c>
      <c r="F3166" t="s">
        <v>18</v>
      </c>
      <c r="G3166" t="s">
        <v>413</v>
      </c>
      <c r="H3166" t="s">
        <v>54</v>
      </c>
      <c r="I3166" t="s">
        <v>21</v>
      </c>
      <c r="J3166" t="s">
        <v>385</v>
      </c>
    </row>
    <row r="3167" spans="1:10" x14ac:dyDescent="0.25">
      <c r="A3167">
        <v>27846214</v>
      </c>
      <c r="B3167" t="s">
        <v>17</v>
      </c>
      <c r="C3167" s="4">
        <v>44771.959978587962</v>
      </c>
      <c r="D3167" t="s">
        <v>2285</v>
      </c>
      <c r="E3167" t="s">
        <v>38</v>
      </c>
      <c r="F3167" t="s">
        <v>31</v>
      </c>
      <c r="G3167" t="s">
        <v>215</v>
      </c>
      <c r="H3167" t="s">
        <v>29</v>
      </c>
      <c r="I3167" t="s">
        <v>21</v>
      </c>
      <c r="J3167" t="s">
        <v>458</v>
      </c>
    </row>
    <row r="3168" spans="1:10" x14ac:dyDescent="0.25">
      <c r="A3168">
        <v>27846234</v>
      </c>
      <c r="B3168" t="s">
        <v>17</v>
      </c>
      <c r="C3168" s="4">
        <v>44771.960821053239</v>
      </c>
      <c r="D3168" t="s">
        <v>2286</v>
      </c>
      <c r="E3168" t="s">
        <v>38</v>
      </c>
      <c r="F3168" t="s">
        <v>52</v>
      </c>
      <c r="G3168" t="s">
        <v>53</v>
      </c>
      <c r="H3168" t="s">
        <v>29</v>
      </c>
      <c r="I3168" t="s">
        <v>21</v>
      </c>
      <c r="J3168" t="s">
        <v>462</v>
      </c>
    </row>
    <row r="3169" spans="1:10" x14ac:dyDescent="0.25">
      <c r="A3169">
        <v>27846249</v>
      </c>
      <c r="B3169" t="s">
        <v>17</v>
      </c>
      <c r="C3169" s="4">
        <v>44771.961368229167</v>
      </c>
      <c r="D3169" t="s">
        <v>2287</v>
      </c>
      <c r="E3169" t="s">
        <v>38</v>
      </c>
      <c r="F3169" t="s">
        <v>49</v>
      </c>
      <c r="G3169" t="s">
        <v>247</v>
      </c>
      <c r="H3169" t="s">
        <v>42</v>
      </c>
      <c r="I3169" t="s">
        <v>21</v>
      </c>
      <c r="J3169" t="s">
        <v>576</v>
      </c>
    </row>
    <row r="3170" spans="1:10" x14ac:dyDescent="0.25">
      <c r="A3170">
        <v>27846253</v>
      </c>
      <c r="B3170" t="s">
        <v>17</v>
      </c>
      <c r="C3170" s="4">
        <v>44771.961695046302</v>
      </c>
      <c r="D3170" t="s">
        <v>2102</v>
      </c>
      <c r="E3170" t="s">
        <v>22</v>
      </c>
      <c r="F3170" t="s">
        <v>23</v>
      </c>
      <c r="G3170" t="s">
        <v>355</v>
      </c>
      <c r="H3170" t="s">
        <v>29</v>
      </c>
      <c r="I3170" t="s">
        <v>21</v>
      </c>
      <c r="J3170" t="s">
        <v>2288</v>
      </c>
    </row>
    <row r="3171" spans="1:10" x14ac:dyDescent="0.25">
      <c r="A3171">
        <v>27846300</v>
      </c>
      <c r="B3171" t="s">
        <v>17</v>
      </c>
      <c r="C3171" s="4">
        <v>44771.963277337964</v>
      </c>
      <c r="D3171" t="s">
        <v>2289</v>
      </c>
      <c r="E3171" t="s">
        <v>129</v>
      </c>
      <c r="F3171" t="s">
        <v>49</v>
      </c>
      <c r="G3171" t="s">
        <v>106</v>
      </c>
      <c r="H3171" t="s">
        <v>42</v>
      </c>
      <c r="I3171" t="s">
        <v>21</v>
      </c>
      <c r="J3171" t="s">
        <v>2290</v>
      </c>
    </row>
    <row r="3172" spans="1:10" x14ac:dyDescent="0.25">
      <c r="A3172">
        <v>27846303</v>
      </c>
      <c r="B3172" t="s">
        <v>17</v>
      </c>
      <c r="C3172" s="4">
        <v>44771.963318877322</v>
      </c>
      <c r="D3172" t="s">
        <v>2277</v>
      </c>
      <c r="E3172" t="s">
        <v>62</v>
      </c>
      <c r="F3172" t="s">
        <v>49</v>
      </c>
      <c r="G3172" t="s">
        <v>359</v>
      </c>
      <c r="H3172" t="s">
        <v>40</v>
      </c>
      <c r="I3172" t="s">
        <v>21</v>
      </c>
      <c r="J3172" t="s">
        <v>2278</v>
      </c>
    </row>
    <row r="3173" spans="1:10" x14ac:dyDescent="0.25">
      <c r="A3173">
        <v>27846311</v>
      </c>
      <c r="B3173" t="s">
        <v>17</v>
      </c>
      <c r="C3173" s="4">
        <v>44771.964126018524</v>
      </c>
      <c r="D3173" t="s">
        <v>2277</v>
      </c>
      <c r="E3173" t="s">
        <v>62</v>
      </c>
      <c r="F3173" t="s">
        <v>49</v>
      </c>
      <c r="G3173" t="s">
        <v>359</v>
      </c>
      <c r="H3173" t="s">
        <v>25</v>
      </c>
      <c r="I3173" t="s">
        <v>21</v>
      </c>
      <c r="J3173" t="s">
        <v>2278</v>
      </c>
    </row>
    <row r="3174" spans="1:10" x14ac:dyDescent="0.25">
      <c r="A3174">
        <v>27846348</v>
      </c>
      <c r="B3174" t="s">
        <v>17</v>
      </c>
      <c r="C3174" s="4">
        <v>44771.965745868052</v>
      </c>
      <c r="D3174" t="s">
        <v>2284</v>
      </c>
      <c r="E3174" t="s">
        <v>387</v>
      </c>
      <c r="F3174" t="s">
        <v>18</v>
      </c>
      <c r="G3174" t="s">
        <v>413</v>
      </c>
      <c r="H3174" t="s">
        <v>40</v>
      </c>
      <c r="I3174" t="s">
        <v>21</v>
      </c>
      <c r="J3174" t="s">
        <v>385</v>
      </c>
    </row>
    <row r="3175" spans="1:10" x14ac:dyDescent="0.25">
      <c r="A3175">
        <v>27846359</v>
      </c>
      <c r="B3175" t="s">
        <v>17</v>
      </c>
      <c r="C3175" s="4">
        <v>44771.966163900463</v>
      </c>
      <c r="D3175" t="s">
        <v>2284</v>
      </c>
      <c r="E3175" t="s">
        <v>387</v>
      </c>
      <c r="F3175" t="s">
        <v>18</v>
      </c>
      <c r="G3175" t="s">
        <v>413</v>
      </c>
      <c r="H3175" t="s">
        <v>25</v>
      </c>
      <c r="I3175" t="s">
        <v>21</v>
      </c>
      <c r="J3175" t="s">
        <v>385</v>
      </c>
    </row>
    <row r="3176" spans="1:10" x14ac:dyDescent="0.25">
      <c r="A3176">
        <v>27846363</v>
      </c>
      <c r="B3176" t="s">
        <v>17</v>
      </c>
      <c r="C3176" s="4">
        <v>44771.966170567131</v>
      </c>
      <c r="D3176" t="s">
        <v>2289</v>
      </c>
      <c r="E3176" t="s">
        <v>129</v>
      </c>
      <c r="F3176" t="s">
        <v>49</v>
      </c>
      <c r="G3176" t="s">
        <v>106</v>
      </c>
      <c r="H3176" t="s">
        <v>54</v>
      </c>
      <c r="I3176" t="s">
        <v>21</v>
      </c>
      <c r="J3176" t="s">
        <v>2290</v>
      </c>
    </row>
    <row r="3177" spans="1:10" x14ac:dyDescent="0.25">
      <c r="A3177">
        <v>27846380</v>
      </c>
      <c r="B3177" t="s">
        <v>17</v>
      </c>
      <c r="C3177" s="4">
        <v>44771.966533287043</v>
      </c>
      <c r="D3177" t="s">
        <v>2291</v>
      </c>
      <c r="E3177" t="s">
        <v>38</v>
      </c>
      <c r="F3177" t="s">
        <v>23</v>
      </c>
      <c r="G3177" t="s">
        <v>51</v>
      </c>
      <c r="H3177" t="s">
        <v>29</v>
      </c>
      <c r="I3177" t="s">
        <v>21</v>
      </c>
      <c r="J3177" t="s">
        <v>459</v>
      </c>
    </row>
    <row r="3178" spans="1:10" x14ac:dyDescent="0.25">
      <c r="A3178">
        <v>27846400</v>
      </c>
      <c r="B3178" t="s">
        <v>17</v>
      </c>
      <c r="C3178" s="4">
        <v>44771.967350995372</v>
      </c>
      <c r="D3178" t="s">
        <v>2292</v>
      </c>
      <c r="E3178" t="s">
        <v>38</v>
      </c>
      <c r="F3178" t="s">
        <v>49</v>
      </c>
      <c r="G3178" t="s">
        <v>74</v>
      </c>
      <c r="H3178" t="s">
        <v>29</v>
      </c>
      <c r="I3178" t="s">
        <v>21</v>
      </c>
      <c r="J3178" t="s">
        <v>2293</v>
      </c>
    </row>
    <row r="3179" spans="1:10" x14ac:dyDescent="0.25">
      <c r="A3179">
        <v>27846415</v>
      </c>
      <c r="B3179" t="s">
        <v>17</v>
      </c>
      <c r="C3179" s="4">
        <v>44771.967618263887</v>
      </c>
      <c r="D3179" t="s">
        <v>2294</v>
      </c>
      <c r="E3179" t="s">
        <v>62</v>
      </c>
      <c r="F3179" t="s">
        <v>57</v>
      </c>
      <c r="G3179" t="s">
        <v>424</v>
      </c>
      <c r="H3179" t="s">
        <v>42</v>
      </c>
      <c r="I3179" t="s">
        <v>21</v>
      </c>
      <c r="J3179" t="s">
        <v>2295</v>
      </c>
    </row>
    <row r="3180" spans="1:10" x14ac:dyDescent="0.25">
      <c r="A3180">
        <v>27846442</v>
      </c>
      <c r="B3180" t="s">
        <v>17</v>
      </c>
      <c r="C3180" s="4">
        <v>44771.968717442127</v>
      </c>
      <c r="D3180" t="s">
        <v>2296</v>
      </c>
      <c r="E3180" t="s">
        <v>30</v>
      </c>
      <c r="F3180" t="s">
        <v>49</v>
      </c>
      <c r="G3180" t="s">
        <v>84</v>
      </c>
      <c r="H3180" t="s">
        <v>42</v>
      </c>
      <c r="I3180" t="s">
        <v>21</v>
      </c>
      <c r="J3180" t="s">
        <v>583</v>
      </c>
    </row>
    <row r="3181" spans="1:10" x14ac:dyDescent="0.25">
      <c r="A3181">
        <v>27846451</v>
      </c>
      <c r="B3181" t="s">
        <v>17</v>
      </c>
      <c r="C3181" s="4">
        <v>44771.968810520833</v>
      </c>
      <c r="F3181" t="s">
        <v>57</v>
      </c>
      <c r="G3181" t="s">
        <v>292</v>
      </c>
      <c r="H3181" t="s">
        <v>116</v>
      </c>
      <c r="I3181" t="s">
        <v>21</v>
      </c>
    </row>
    <row r="3182" spans="1:10" x14ac:dyDescent="0.25">
      <c r="A3182">
        <v>27846459</v>
      </c>
      <c r="B3182" t="s">
        <v>17</v>
      </c>
      <c r="C3182" s="4">
        <v>44771.968913634257</v>
      </c>
      <c r="D3182" t="s">
        <v>2287</v>
      </c>
      <c r="E3182" t="s">
        <v>38</v>
      </c>
      <c r="F3182" t="s">
        <v>49</v>
      </c>
      <c r="G3182" t="s">
        <v>247</v>
      </c>
      <c r="H3182" t="s">
        <v>54</v>
      </c>
      <c r="I3182" t="s">
        <v>21</v>
      </c>
      <c r="J3182" t="s">
        <v>576</v>
      </c>
    </row>
    <row r="3183" spans="1:10" x14ac:dyDescent="0.25">
      <c r="A3183">
        <v>27846467</v>
      </c>
      <c r="B3183" t="s">
        <v>17</v>
      </c>
      <c r="C3183" s="4">
        <v>44771.96900675926</v>
      </c>
      <c r="D3183" t="s">
        <v>2294</v>
      </c>
      <c r="E3183" t="s">
        <v>62</v>
      </c>
      <c r="F3183" t="s">
        <v>57</v>
      </c>
      <c r="G3183" t="s">
        <v>424</v>
      </c>
      <c r="H3183" t="s">
        <v>54</v>
      </c>
      <c r="I3183" t="s">
        <v>21</v>
      </c>
      <c r="J3183" t="s">
        <v>2295</v>
      </c>
    </row>
    <row r="3184" spans="1:10" x14ac:dyDescent="0.25">
      <c r="A3184">
        <v>27846489</v>
      </c>
      <c r="B3184" t="s">
        <v>17</v>
      </c>
      <c r="C3184" s="4">
        <v>44771.96987483796</v>
      </c>
      <c r="D3184" t="s">
        <v>2297</v>
      </c>
      <c r="E3184" t="s">
        <v>72</v>
      </c>
      <c r="F3184" t="s">
        <v>49</v>
      </c>
      <c r="G3184" t="s">
        <v>128</v>
      </c>
      <c r="H3184" t="s">
        <v>42</v>
      </c>
      <c r="I3184" t="s">
        <v>21</v>
      </c>
      <c r="J3184" t="s">
        <v>578</v>
      </c>
    </row>
    <row r="3185" spans="1:10" x14ac:dyDescent="0.25">
      <c r="A3185">
        <v>27846492</v>
      </c>
      <c r="B3185" t="s">
        <v>17</v>
      </c>
      <c r="C3185" s="4">
        <v>44771.969899351847</v>
      </c>
      <c r="D3185" t="s">
        <v>1246</v>
      </c>
      <c r="E3185" t="s">
        <v>38</v>
      </c>
      <c r="F3185" t="s">
        <v>31</v>
      </c>
      <c r="G3185" t="s">
        <v>112</v>
      </c>
      <c r="H3185" t="s">
        <v>29</v>
      </c>
      <c r="I3185" t="s">
        <v>21</v>
      </c>
      <c r="J3185" t="s">
        <v>1664</v>
      </c>
    </row>
    <row r="3186" spans="1:10" x14ac:dyDescent="0.25">
      <c r="A3186">
        <v>27846502</v>
      </c>
      <c r="B3186" t="s">
        <v>17</v>
      </c>
      <c r="C3186" s="4">
        <v>44771.970264479169</v>
      </c>
      <c r="E3186" t="s">
        <v>38</v>
      </c>
      <c r="F3186" t="s">
        <v>55</v>
      </c>
      <c r="G3186" t="s">
        <v>99</v>
      </c>
      <c r="H3186" t="s">
        <v>29</v>
      </c>
      <c r="I3186" t="s">
        <v>21</v>
      </c>
    </row>
    <row r="3187" spans="1:10" x14ac:dyDescent="0.25">
      <c r="A3187">
        <v>27846509</v>
      </c>
      <c r="B3187" t="s">
        <v>17</v>
      </c>
      <c r="C3187" s="4">
        <v>44771.970546851851</v>
      </c>
      <c r="F3187" t="s">
        <v>52</v>
      </c>
      <c r="G3187" t="s">
        <v>229</v>
      </c>
      <c r="H3187" t="s">
        <v>20</v>
      </c>
      <c r="I3187" t="s">
        <v>21</v>
      </c>
    </row>
    <row r="3188" spans="1:10" x14ac:dyDescent="0.25">
      <c r="A3188">
        <v>27846512</v>
      </c>
      <c r="B3188" t="s">
        <v>17</v>
      </c>
      <c r="C3188" s="4">
        <v>44771.970572002312</v>
      </c>
      <c r="D3188" t="s">
        <v>2298</v>
      </c>
      <c r="E3188" t="s">
        <v>27</v>
      </c>
      <c r="F3188" t="s">
        <v>49</v>
      </c>
      <c r="G3188" t="s">
        <v>80</v>
      </c>
      <c r="H3188" t="s">
        <v>29</v>
      </c>
      <c r="I3188" t="s">
        <v>21</v>
      </c>
      <c r="J3188" t="s">
        <v>2299</v>
      </c>
    </row>
    <row r="3189" spans="1:10" x14ac:dyDescent="0.25">
      <c r="A3189">
        <v>27846520</v>
      </c>
      <c r="B3189" t="s">
        <v>17</v>
      </c>
      <c r="C3189" s="4">
        <v>44771.97057784722</v>
      </c>
      <c r="D3189" t="s">
        <v>2300</v>
      </c>
      <c r="E3189" t="s">
        <v>38</v>
      </c>
      <c r="F3189" t="s">
        <v>31</v>
      </c>
      <c r="G3189" t="s">
        <v>86</v>
      </c>
      <c r="H3189" t="s">
        <v>29</v>
      </c>
      <c r="I3189" t="s">
        <v>21</v>
      </c>
      <c r="J3189" t="s">
        <v>2301</v>
      </c>
    </row>
    <row r="3190" spans="1:10" x14ac:dyDescent="0.25">
      <c r="A3190">
        <v>27846542</v>
      </c>
      <c r="B3190" t="s">
        <v>17</v>
      </c>
      <c r="C3190" s="4">
        <v>44771.971085150457</v>
      </c>
      <c r="D3190" t="s">
        <v>2287</v>
      </c>
      <c r="E3190" t="s">
        <v>38</v>
      </c>
      <c r="F3190" t="s">
        <v>49</v>
      </c>
      <c r="G3190" t="s">
        <v>247</v>
      </c>
      <c r="H3190" t="s">
        <v>40</v>
      </c>
      <c r="I3190" t="s">
        <v>21</v>
      </c>
      <c r="J3190" t="s">
        <v>576</v>
      </c>
    </row>
    <row r="3191" spans="1:10" x14ac:dyDescent="0.25">
      <c r="A3191">
        <v>27846544</v>
      </c>
      <c r="B3191" t="s">
        <v>17</v>
      </c>
      <c r="C3191" s="4">
        <v>44771.971089965278</v>
      </c>
      <c r="D3191" t="s">
        <v>2302</v>
      </c>
      <c r="E3191" t="s">
        <v>38</v>
      </c>
      <c r="F3191" t="s">
        <v>52</v>
      </c>
      <c r="G3191" t="s">
        <v>53</v>
      </c>
      <c r="H3191" t="s">
        <v>42</v>
      </c>
      <c r="I3191" t="s">
        <v>21</v>
      </c>
      <c r="J3191" t="s">
        <v>2303</v>
      </c>
    </row>
    <row r="3192" spans="1:10" x14ac:dyDescent="0.25">
      <c r="A3192">
        <v>27846547</v>
      </c>
      <c r="B3192" t="s">
        <v>17</v>
      </c>
      <c r="C3192" s="4">
        <v>44771.971105810182</v>
      </c>
      <c r="D3192" t="s">
        <v>2289</v>
      </c>
      <c r="E3192" t="s">
        <v>129</v>
      </c>
      <c r="F3192" t="s">
        <v>49</v>
      </c>
      <c r="G3192" t="s">
        <v>106</v>
      </c>
      <c r="H3192" t="s">
        <v>40</v>
      </c>
      <c r="I3192" t="s">
        <v>21</v>
      </c>
      <c r="J3192" t="s">
        <v>2290</v>
      </c>
    </row>
    <row r="3193" spans="1:10" x14ac:dyDescent="0.25">
      <c r="A3193">
        <v>27846554</v>
      </c>
      <c r="B3193" t="s">
        <v>17</v>
      </c>
      <c r="C3193" s="4">
        <v>44771.971356412039</v>
      </c>
      <c r="D3193" t="s">
        <v>1058</v>
      </c>
      <c r="E3193" t="s">
        <v>38</v>
      </c>
      <c r="F3193" t="s">
        <v>52</v>
      </c>
      <c r="G3193" t="s">
        <v>90</v>
      </c>
      <c r="H3193" t="s">
        <v>29</v>
      </c>
      <c r="I3193" t="s">
        <v>21</v>
      </c>
      <c r="J3193" t="s">
        <v>2304</v>
      </c>
    </row>
    <row r="3194" spans="1:10" x14ac:dyDescent="0.25">
      <c r="A3194">
        <v>27846570</v>
      </c>
      <c r="B3194" t="s">
        <v>17</v>
      </c>
      <c r="C3194" s="4">
        <v>44771.971482384259</v>
      </c>
      <c r="D3194" t="s">
        <v>2289</v>
      </c>
      <c r="E3194" t="s">
        <v>129</v>
      </c>
      <c r="F3194" t="s">
        <v>49</v>
      </c>
      <c r="G3194" t="s">
        <v>106</v>
      </c>
      <c r="H3194" t="s">
        <v>25</v>
      </c>
      <c r="I3194" t="s">
        <v>21</v>
      </c>
      <c r="J3194" t="s">
        <v>2290</v>
      </c>
    </row>
    <row r="3195" spans="1:10" x14ac:dyDescent="0.25">
      <c r="A3195">
        <v>27846583</v>
      </c>
      <c r="B3195" t="s">
        <v>17</v>
      </c>
      <c r="C3195" s="4">
        <v>44771.971586423613</v>
      </c>
      <c r="D3195" t="s">
        <v>2287</v>
      </c>
      <c r="E3195" t="s">
        <v>38</v>
      </c>
      <c r="F3195" t="s">
        <v>49</v>
      </c>
      <c r="G3195" t="s">
        <v>247</v>
      </c>
      <c r="H3195" t="s">
        <v>25</v>
      </c>
      <c r="I3195" t="s">
        <v>21</v>
      </c>
      <c r="J3195" t="s">
        <v>576</v>
      </c>
    </row>
    <row r="3196" spans="1:10" x14ac:dyDescent="0.25">
      <c r="A3196">
        <v>27846598</v>
      </c>
      <c r="B3196" t="s">
        <v>17</v>
      </c>
      <c r="C3196" s="4">
        <v>44771.972093252312</v>
      </c>
      <c r="D3196" t="s">
        <v>2302</v>
      </c>
      <c r="E3196" t="s">
        <v>38</v>
      </c>
      <c r="F3196" t="s">
        <v>52</v>
      </c>
      <c r="G3196" t="s">
        <v>53</v>
      </c>
      <c r="H3196" t="s">
        <v>54</v>
      </c>
      <c r="I3196" t="s">
        <v>21</v>
      </c>
      <c r="J3196" t="s">
        <v>2303</v>
      </c>
    </row>
    <row r="3197" spans="1:10" x14ac:dyDescent="0.25">
      <c r="A3197">
        <v>27846602</v>
      </c>
      <c r="B3197" t="s">
        <v>17</v>
      </c>
      <c r="C3197" s="4">
        <v>44771.972234444453</v>
      </c>
      <c r="D3197" t="s">
        <v>2296</v>
      </c>
      <c r="E3197" t="s">
        <v>30</v>
      </c>
      <c r="F3197" t="s">
        <v>49</v>
      </c>
      <c r="G3197" t="s">
        <v>84</v>
      </c>
      <c r="H3197" t="s">
        <v>54</v>
      </c>
      <c r="I3197" t="s">
        <v>21</v>
      </c>
      <c r="J3197" t="s">
        <v>583</v>
      </c>
    </row>
    <row r="3198" spans="1:10" x14ac:dyDescent="0.25">
      <c r="A3198">
        <v>27846610</v>
      </c>
      <c r="B3198" t="s">
        <v>17</v>
      </c>
      <c r="C3198" s="4">
        <v>44771.972261134259</v>
      </c>
      <c r="D3198" t="s">
        <v>2305</v>
      </c>
      <c r="E3198" t="s">
        <v>22</v>
      </c>
      <c r="F3198" t="s">
        <v>52</v>
      </c>
      <c r="G3198" t="s">
        <v>160</v>
      </c>
      <c r="H3198" t="s">
        <v>29</v>
      </c>
      <c r="I3198" t="s">
        <v>21</v>
      </c>
      <c r="J3198" t="s">
        <v>2306</v>
      </c>
    </row>
    <row r="3199" spans="1:10" x14ac:dyDescent="0.25">
      <c r="A3199">
        <v>27846648</v>
      </c>
      <c r="B3199" t="s">
        <v>17</v>
      </c>
      <c r="C3199" s="4">
        <v>44771.972952581018</v>
      </c>
      <c r="D3199" t="s">
        <v>2307</v>
      </c>
      <c r="E3199" t="s">
        <v>27</v>
      </c>
      <c r="F3199" t="s">
        <v>57</v>
      </c>
      <c r="G3199" t="s">
        <v>291</v>
      </c>
      <c r="H3199" t="s">
        <v>42</v>
      </c>
      <c r="I3199" t="s">
        <v>21</v>
      </c>
      <c r="J3199" t="s">
        <v>593</v>
      </c>
    </row>
    <row r="3200" spans="1:10" x14ac:dyDescent="0.25">
      <c r="A3200">
        <v>27846651</v>
      </c>
      <c r="B3200" t="s">
        <v>17</v>
      </c>
      <c r="C3200" s="4">
        <v>44771.973060046294</v>
      </c>
      <c r="D3200" t="s">
        <v>2297</v>
      </c>
      <c r="E3200" t="s">
        <v>72</v>
      </c>
      <c r="F3200" t="s">
        <v>49</v>
      </c>
      <c r="G3200" t="s">
        <v>128</v>
      </c>
      <c r="H3200" t="s">
        <v>54</v>
      </c>
      <c r="I3200" t="s">
        <v>21</v>
      </c>
      <c r="J3200" t="s">
        <v>578</v>
      </c>
    </row>
    <row r="3201" spans="1:10" x14ac:dyDescent="0.25">
      <c r="A3201">
        <v>27846666</v>
      </c>
      <c r="B3201" t="s">
        <v>17</v>
      </c>
      <c r="C3201" s="4">
        <v>44771.973640300923</v>
      </c>
      <c r="D3201" t="s">
        <v>2294</v>
      </c>
      <c r="E3201" t="s">
        <v>62</v>
      </c>
      <c r="F3201" t="s">
        <v>57</v>
      </c>
      <c r="G3201" t="s">
        <v>424</v>
      </c>
      <c r="H3201" t="s">
        <v>40</v>
      </c>
      <c r="I3201" t="s">
        <v>21</v>
      </c>
      <c r="J3201" t="s">
        <v>2295</v>
      </c>
    </row>
    <row r="3202" spans="1:10" x14ac:dyDescent="0.25">
      <c r="A3202">
        <v>27846674</v>
      </c>
      <c r="B3202" t="s">
        <v>17</v>
      </c>
      <c r="C3202" s="4">
        <v>44771.974034375002</v>
      </c>
      <c r="D3202" t="s">
        <v>2294</v>
      </c>
      <c r="E3202" t="s">
        <v>62</v>
      </c>
      <c r="F3202" t="s">
        <v>57</v>
      </c>
      <c r="G3202" t="s">
        <v>424</v>
      </c>
      <c r="H3202" t="s">
        <v>25</v>
      </c>
      <c r="I3202" t="s">
        <v>21</v>
      </c>
      <c r="J3202" t="s">
        <v>2295</v>
      </c>
    </row>
    <row r="3203" spans="1:10" x14ac:dyDescent="0.25">
      <c r="A3203">
        <v>27846702</v>
      </c>
      <c r="B3203" t="s">
        <v>17</v>
      </c>
      <c r="C3203" s="4">
        <v>44771.974967476854</v>
      </c>
      <c r="F3203" t="s">
        <v>18</v>
      </c>
      <c r="G3203" t="s">
        <v>418</v>
      </c>
      <c r="H3203" t="s">
        <v>42</v>
      </c>
      <c r="I3203" t="s">
        <v>21</v>
      </c>
    </row>
    <row r="3204" spans="1:10" x14ac:dyDescent="0.25">
      <c r="A3204">
        <v>27846704</v>
      </c>
      <c r="B3204" t="s">
        <v>17</v>
      </c>
      <c r="C3204" s="4">
        <v>44771.974976666657</v>
      </c>
      <c r="D3204" t="s">
        <v>2308</v>
      </c>
      <c r="E3204" t="s">
        <v>939</v>
      </c>
      <c r="F3204" t="s">
        <v>18</v>
      </c>
      <c r="G3204" t="s">
        <v>418</v>
      </c>
      <c r="H3204" t="s">
        <v>54</v>
      </c>
      <c r="I3204" t="s">
        <v>21</v>
      </c>
      <c r="J3204" t="s">
        <v>2309</v>
      </c>
    </row>
    <row r="3205" spans="1:10" x14ac:dyDescent="0.25">
      <c r="A3205">
        <v>27846733</v>
      </c>
      <c r="B3205" t="s">
        <v>17</v>
      </c>
      <c r="C3205" s="4">
        <v>44771.976229745371</v>
      </c>
      <c r="D3205" t="s">
        <v>2296</v>
      </c>
      <c r="E3205" t="s">
        <v>30</v>
      </c>
      <c r="F3205" t="s">
        <v>49</v>
      </c>
      <c r="G3205" t="s">
        <v>84</v>
      </c>
      <c r="H3205" t="s">
        <v>40</v>
      </c>
      <c r="I3205" t="s">
        <v>21</v>
      </c>
      <c r="J3205" t="s">
        <v>583</v>
      </c>
    </row>
    <row r="3206" spans="1:10" x14ac:dyDescent="0.25">
      <c r="A3206">
        <v>27846738</v>
      </c>
      <c r="B3206" t="s">
        <v>17</v>
      </c>
      <c r="C3206" s="4">
        <v>44771.976410844909</v>
      </c>
      <c r="D3206" t="s">
        <v>1514</v>
      </c>
      <c r="E3206" t="s">
        <v>38</v>
      </c>
      <c r="F3206" t="s">
        <v>52</v>
      </c>
      <c r="G3206" t="s">
        <v>408</v>
      </c>
      <c r="H3206" t="s">
        <v>29</v>
      </c>
      <c r="I3206" t="s">
        <v>21</v>
      </c>
      <c r="J3206" t="s">
        <v>629</v>
      </c>
    </row>
    <row r="3207" spans="1:10" x14ac:dyDescent="0.25">
      <c r="A3207">
        <v>27846748</v>
      </c>
      <c r="B3207" t="s">
        <v>17</v>
      </c>
      <c r="C3207" s="4">
        <v>44771.976913553241</v>
      </c>
      <c r="D3207" t="s">
        <v>2296</v>
      </c>
      <c r="E3207" t="s">
        <v>30</v>
      </c>
      <c r="F3207" t="s">
        <v>49</v>
      </c>
      <c r="G3207" t="s">
        <v>84</v>
      </c>
      <c r="H3207" t="s">
        <v>25</v>
      </c>
      <c r="I3207" t="s">
        <v>21</v>
      </c>
      <c r="J3207" t="s">
        <v>583</v>
      </c>
    </row>
    <row r="3208" spans="1:10" x14ac:dyDescent="0.25">
      <c r="A3208">
        <v>27846763</v>
      </c>
      <c r="B3208" t="s">
        <v>17</v>
      </c>
      <c r="C3208" s="4">
        <v>44771.976993009259</v>
      </c>
      <c r="D3208" t="s">
        <v>2310</v>
      </c>
      <c r="E3208" t="s">
        <v>27</v>
      </c>
      <c r="F3208" t="s">
        <v>18</v>
      </c>
      <c r="G3208" t="s">
        <v>260</v>
      </c>
      <c r="H3208" t="s">
        <v>42</v>
      </c>
      <c r="I3208" t="s">
        <v>21</v>
      </c>
      <c r="J3208" t="s">
        <v>588</v>
      </c>
    </row>
    <row r="3209" spans="1:10" x14ac:dyDescent="0.25">
      <c r="A3209">
        <v>27846769</v>
      </c>
      <c r="B3209" t="s">
        <v>17</v>
      </c>
      <c r="C3209" s="4">
        <v>44771.977079687502</v>
      </c>
      <c r="D3209" t="s">
        <v>2310</v>
      </c>
      <c r="E3209" t="s">
        <v>27</v>
      </c>
      <c r="F3209" t="s">
        <v>18</v>
      </c>
      <c r="G3209" t="s">
        <v>260</v>
      </c>
      <c r="H3209" t="s">
        <v>54</v>
      </c>
      <c r="I3209" t="s">
        <v>21</v>
      </c>
      <c r="J3209" t="s">
        <v>588</v>
      </c>
    </row>
    <row r="3210" spans="1:10" x14ac:dyDescent="0.25">
      <c r="A3210">
        <v>27846791</v>
      </c>
      <c r="B3210" t="s">
        <v>17</v>
      </c>
      <c r="C3210" s="4">
        <v>44771.977810659722</v>
      </c>
      <c r="D3210" t="s">
        <v>2311</v>
      </c>
      <c r="E3210" t="s">
        <v>38</v>
      </c>
      <c r="F3210" t="s">
        <v>52</v>
      </c>
      <c r="G3210" t="s">
        <v>229</v>
      </c>
      <c r="H3210" t="s">
        <v>40</v>
      </c>
      <c r="I3210" t="s">
        <v>21</v>
      </c>
      <c r="J3210" t="s">
        <v>151</v>
      </c>
    </row>
    <row r="3211" spans="1:10" x14ac:dyDescent="0.25">
      <c r="A3211">
        <v>27846792</v>
      </c>
      <c r="B3211" t="s">
        <v>17</v>
      </c>
      <c r="C3211" s="4">
        <v>44771.977854976853</v>
      </c>
      <c r="D3211" t="s">
        <v>2307</v>
      </c>
      <c r="E3211" t="s">
        <v>27</v>
      </c>
      <c r="F3211" t="s">
        <v>57</v>
      </c>
      <c r="G3211" t="s">
        <v>291</v>
      </c>
      <c r="H3211" t="s">
        <v>54</v>
      </c>
      <c r="I3211" t="s">
        <v>21</v>
      </c>
      <c r="J3211" t="s">
        <v>593</v>
      </c>
    </row>
    <row r="3212" spans="1:10" x14ac:dyDescent="0.25">
      <c r="A3212">
        <v>27846798</v>
      </c>
      <c r="B3212" t="s">
        <v>17</v>
      </c>
      <c r="C3212" s="4">
        <v>44771.978062685193</v>
      </c>
      <c r="D3212" t="s">
        <v>2160</v>
      </c>
      <c r="E3212" t="s">
        <v>38</v>
      </c>
      <c r="F3212" t="s">
        <v>52</v>
      </c>
      <c r="G3212" t="s">
        <v>100</v>
      </c>
      <c r="H3212" t="s">
        <v>29</v>
      </c>
      <c r="I3212" t="s">
        <v>21</v>
      </c>
      <c r="J3212" t="s">
        <v>2312</v>
      </c>
    </row>
    <row r="3213" spans="1:10" x14ac:dyDescent="0.25">
      <c r="A3213">
        <v>27846815</v>
      </c>
      <c r="B3213" t="s">
        <v>17</v>
      </c>
      <c r="C3213" s="4">
        <v>44771.978323923613</v>
      </c>
      <c r="D3213" t="s">
        <v>2313</v>
      </c>
      <c r="E3213" t="s">
        <v>62</v>
      </c>
      <c r="F3213" t="s">
        <v>49</v>
      </c>
      <c r="G3213" t="s">
        <v>359</v>
      </c>
      <c r="H3213" t="s">
        <v>42</v>
      </c>
      <c r="I3213" t="s">
        <v>21</v>
      </c>
      <c r="J3213" t="s">
        <v>511</v>
      </c>
    </row>
    <row r="3214" spans="1:10" x14ac:dyDescent="0.25">
      <c r="A3214">
        <v>27846821</v>
      </c>
      <c r="B3214" t="s">
        <v>17</v>
      </c>
      <c r="C3214" s="4">
        <v>44771.978449965267</v>
      </c>
      <c r="D3214" t="s">
        <v>2311</v>
      </c>
      <c r="E3214" t="s">
        <v>38</v>
      </c>
      <c r="F3214" t="s">
        <v>52</v>
      </c>
      <c r="G3214" t="s">
        <v>229</v>
      </c>
      <c r="H3214" t="s">
        <v>25</v>
      </c>
      <c r="I3214" t="s">
        <v>21</v>
      </c>
      <c r="J3214" t="s">
        <v>151</v>
      </c>
    </row>
    <row r="3215" spans="1:10" x14ac:dyDescent="0.25">
      <c r="A3215">
        <v>27846841</v>
      </c>
      <c r="B3215" t="s">
        <v>17</v>
      </c>
      <c r="C3215" s="4">
        <v>44771.978865081022</v>
      </c>
      <c r="D3215" t="s">
        <v>2297</v>
      </c>
      <c r="E3215" t="s">
        <v>72</v>
      </c>
      <c r="F3215" t="s">
        <v>49</v>
      </c>
      <c r="G3215" t="s">
        <v>128</v>
      </c>
      <c r="H3215" t="s">
        <v>40</v>
      </c>
      <c r="I3215" t="s">
        <v>21</v>
      </c>
      <c r="J3215" t="s">
        <v>578</v>
      </c>
    </row>
    <row r="3216" spans="1:10" x14ac:dyDescent="0.25">
      <c r="A3216">
        <v>27846862</v>
      </c>
      <c r="B3216" t="s">
        <v>17</v>
      </c>
      <c r="C3216" s="4">
        <v>44771.979353506948</v>
      </c>
      <c r="D3216" t="s">
        <v>2313</v>
      </c>
      <c r="E3216" t="s">
        <v>62</v>
      </c>
      <c r="F3216" t="s">
        <v>49</v>
      </c>
      <c r="G3216" t="s">
        <v>359</v>
      </c>
      <c r="H3216" t="s">
        <v>239</v>
      </c>
      <c r="I3216" t="s">
        <v>21</v>
      </c>
      <c r="J3216" t="s">
        <v>511</v>
      </c>
    </row>
    <row r="3217" spans="1:10" x14ac:dyDescent="0.25">
      <c r="A3217">
        <v>27846863</v>
      </c>
      <c r="B3217" t="s">
        <v>17</v>
      </c>
      <c r="C3217" s="4">
        <v>44771.979361365738</v>
      </c>
      <c r="D3217" t="s">
        <v>2313</v>
      </c>
      <c r="E3217" t="s">
        <v>62</v>
      </c>
      <c r="F3217" t="s">
        <v>49</v>
      </c>
      <c r="G3217" t="s">
        <v>359</v>
      </c>
      <c r="H3217" t="s">
        <v>240</v>
      </c>
      <c r="I3217" t="s">
        <v>21</v>
      </c>
      <c r="J3217" t="s">
        <v>511</v>
      </c>
    </row>
    <row r="3218" spans="1:10" x14ac:dyDescent="0.25">
      <c r="A3218">
        <v>27846872</v>
      </c>
      <c r="B3218" t="s">
        <v>17</v>
      </c>
      <c r="C3218" s="4">
        <v>44771.979510636571</v>
      </c>
      <c r="D3218" t="s">
        <v>2297</v>
      </c>
      <c r="E3218" t="s">
        <v>72</v>
      </c>
      <c r="F3218" t="s">
        <v>49</v>
      </c>
      <c r="G3218" t="s">
        <v>128</v>
      </c>
      <c r="H3218" t="s">
        <v>25</v>
      </c>
      <c r="I3218" t="s">
        <v>21</v>
      </c>
      <c r="J3218" t="s">
        <v>578</v>
      </c>
    </row>
    <row r="3219" spans="1:10" x14ac:dyDescent="0.25">
      <c r="A3219">
        <v>27846887</v>
      </c>
      <c r="B3219" t="s">
        <v>17</v>
      </c>
      <c r="C3219" s="4">
        <v>44771.979597210651</v>
      </c>
      <c r="D3219" t="s">
        <v>2314</v>
      </c>
      <c r="E3219" t="s">
        <v>38</v>
      </c>
      <c r="F3219" t="s">
        <v>23</v>
      </c>
      <c r="G3219" t="s">
        <v>337</v>
      </c>
      <c r="H3219" t="s">
        <v>42</v>
      </c>
      <c r="I3219" t="s">
        <v>21</v>
      </c>
      <c r="J3219" t="s">
        <v>595</v>
      </c>
    </row>
    <row r="3220" spans="1:10" x14ac:dyDescent="0.25">
      <c r="A3220">
        <v>27846917</v>
      </c>
      <c r="B3220" t="s">
        <v>17</v>
      </c>
      <c r="C3220" s="4">
        <v>44771.980962557871</v>
      </c>
      <c r="D3220" t="s">
        <v>2314</v>
      </c>
      <c r="E3220" t="s">
        <v>38</v>
      </c>
      <c r="F3220" t="s">
        <v>23</v>
      </c>
      <c r="G3220" t="s">
        <v>337</v>
      </c>
      <c r="H3220" t="s">
        <v>54</v>
      </c>
      <c r="I3220" t="s">
        <v>21</v>
      </c>
      <c r="J3220" t="s">
        <v>595</v>
      </c>
    </row>
    <row r="3221" spans="1:10" x14ac:dyDescent="0.25">
      <c r="A3221">
        <v>27846931</v>
      </c>
      <c r="B3221" t="s">
        <v>17</v>
      </c>
      <c r="C3221" s="4">
        <v>44771.981460208342</v>
      </c>
      <c r="D3221" t="s">
        <v>2308</v>
      </c>
      <c r="E3221" t="s">
        <v>939</v>
      </c>
      <c r="F3221" t="s">
        <v>18</v>
      </c>
      <c r="G3221" t="s">
        <v>418</v>
      </c>
      <c r="H3221" t="s">
        <v>40</v>
      </c>
      <c r="I3221" t="s">
        <v>21</v>
      </c>
      <c r="J3221" t="s">
        <v>2309</v>
      </c>
    </row>
    <row r="3222" spans="1:10" x14ac:dyDescent="0.25">
      <c r="A3222">
        <v>27846932</v>
      </c>
      <c r="B3222" t="s">
        <v>17</v>
      </c>
      <c r="C3222" s="4">
        <v>44771.981511319442</v>
      </c>
      <c r="D3222" t="s">
        <v>2315</v>
      </c>
      <c r="E3222" t="s">
        <v>38</v>
      </c>
      <c r="F3222" t="s">
        <v>31</v>
      </c>
      <c r="G3222" t="s">
        <v>148</v>
      </c>
      <c r="H3222" t="s">
        <v>29</v>
      </c>
      <c r="I3222" t="s">
        <v>21</v>
      </c>
      <c r="J3222" t="s">
        <v>2316</v>
      </c>
    </row>
    <row r="3223" spans="1:10" x14ac:dyDescent="0.25">
      <c r="A3223">
        <v>27846946</v>
      </c>
      <c r="B3223" t="s">
        <v>17</v>
      </c>
      <c r="C3223" s="4">
        <v>44771.981622326392</v>
      </c>
      <c r="D3223" t="s">
        <v>2317</v>
      </c>
      <c r="E3223" t="s">
        <v>38</v>
      </c>
      <c r="F3223" t="s">
        <v>52</v>
      </c>
      <c r="G3223" t="s">
        <v>220</v>
      </c>
      <c r="H3223" t="s">
        <v>42</v>
      </c>
      <c r="I3223" t="s">
        <v>21</v>
      </c>
      <c r="J3223" t="s">
        <v>506</v>
      </c>
    </row>
    <row r="3224" spans="1:10" x14ac:dyDescent="0.25">
      <c r="A3224">
        <v>27846954</v>
      </c>
      <c r="B3224" t="s">
        <v>17</v>
      </c>
      <c r="C3224" s="4">
        <v>44771.981818437504</v>
      </c>
      <c r="D3224" t="s">
        <v>2308</v>
      </c>
      <c r="E3224" t="s">
        <v>939</v>
      </c>
      <c r="F3224" t="s">
        <v>18</v>
      </c>
      <c r="G3224" t="s">
        <v>418</v>
      </c>
      <c r="H3224" t="s">
        <v>25</v>
      </c>
      <c r="I3224" t="s">
        <v>21</v>
      </c>
      <c r="J3224" t="s">
        <v>2309</v>
      </c>
    </row>
    <row r="3225" spans="1:10" x14ac:dyDescent="0.25">
      <c r="A3225">
        <v>27846968</v>
      </c>
      <c r="B3225" t="s">
        <v>17</v>
      </c>
      <c r="C3225" s="4">
        <v>44771.981907222224</v>
      </c>
      <c r="D3225" t="s">
        <v>2318</v>
      </c>
      <c r="E3225" t="s">
        <v>72</v>
      </c>
      <c r="F3225" t="s">
        <v>49</v>
      </c>
      <c r="G3225" t="s">
        <v>50</v>
      </c>
      <c r="H3225" t="s">
        <v>29</v>
      </c>
      <c r="I3225" t="s">
        <v>21</v>
      </c>
      <c r="J3225" t="s">
        <v>2319</v>
      </c>
    </row>
    <row r="3226" spans="1:10" x14ac:dyDescent="0.25">
      <c r="A3226">
        <v>27846979</v>
      </c>
      <c r="B3226" t="s">
        <v>17</v>
      </c>
      <c r="C3226" s="4">
        <v>44771.982042442127</v>
      </c>
      <c r="D3226" t="s">
        <v>2307</v>
      </c>
      <c r="E3226" t="s">
        <v>27</v>
      </c>
      <c r="F3226" t="s">
        <v>57</v>
      </c>
      <c r="G3226" t="s">
        <v>291</v>
      </c>
      <c r="H3226" t="s">
        <v>40</v>
      </c>
      <c r="I3226" t="s">
        <v>21</v>
      </c>
      <c r="J3226" t="s">
        <v>593</v>
      </c>
    </row>
    <row r="3227" spans="1:10" x14ac:dyDescent="0.25">
      <c r="A3227">
        <v>27846981</v>
      </c>
      <c r="B3227" t="s">
        <v>17</v>
      </c>
      <c r="C3227" s="4">
        <v>44771.98265085648</v>
      </c>
      <c r="D3227" t="s">
        <v>2307</v>
      </c>
      <c r="E3227" t="s">
        <v>27</v>
      </c>
      <c r="F3227" t="s">
        <v>57</v>
      </c>
      <c r="G3227" t="s">
        <v>291</v>
      </c>
      <c r="H3227" t="s">
        <v>25</v>
      </c>
      <c r="I3227" t="s">
        <v>21</v>
      </c>
      <c r="J3227" t="s">
        <v>593</v>
      </c>
    </row>
    <row r="3228" spans="1:10" x14ac:dyDescent="0.25">
      <c r="A3228">
        <v>27847007</v>
      </c>
      <c r="B3228" t="s">
        <v>17</v>
      </c>
      <c r="C3228" s="4">
        <v>44771.982895740737</v>
      </c>
      <c r="D3228" t="s">
        <v>2320</v>
      </c>
      <c r="E3228" t="s">
        <v>129</v>
      </c>
      <c r="F3228" t="s">
        <v>49</v>
      </c>
      <c r="G3228" t="s">
        <v>74</v>
      </c>
      <c r="H3228" t="s">
        <v>42</v>
      </c>
      <c r="I3228" t="s">
        <v>21</v>
      </c>
      <c r="J3228" t="s">
        <v>508</v>
      </c>
    </row>
    <row r="3229" spans="1:10" x14ac:dyDescent="0.25">
      <c r="A3229">
        <v>27847014</v>
      </c>
      <c r="B3229" t="s">
        <v>17</v>
      </c>
      <c r="C3229" s="4">
        <v>44771.983520023146</v>
      </c>
      <c r="D3229" t="s">
        <v>2317</v>
      </c>
      <c r="E3229" t="s">
        <v>38</v>
      </c>
      <c r="F3229" t="s">
        <v>52</v>
      </c>
      <c r="G3229" t="s">
        <v>220</v>
      </c>
      <c r="H3229" t="s">
        <v>54</v>
      </c>
      <c r="I3229" t="s">
        <v>21</v>
      </c>
      <c r="J3229" t="s">
        <v>506</v>
      </c>
    </row>
    <row r="3230" spans="1:10" x14ac:dyDescent="0.25">
      <c r="A3230">
        <v>27847021</v>
      </c>
      <c r="B3230" t="s">
        <v>17</v>
      </c>
      <c r="C3230" s="4">
        <v>44771.983686400461</v>
      </c>
      <c r="D3230" t="s">
        <v>2321</v>
      </c>
      <c r="E3230" t="s">
        <v>38</v>
      </c>
      <c r="F3230" t="s">
        <v>31</v>
      </c>
      <c r="G3230" t="s">
        <v>133</v>
      </c>
      <c r="H3230" t="s">
        <v>29</v>
      </c>
      <c r="I3230" t="s">
        <v>21</v>
      </c>
      <c r="J3230" t="s">
        <v>2322</v>
      </c>
    </row>
    <row r="3231" spans="1:10" x14ac:dyDescent="0.25">
      <c r="A3231">
        <v>27847031</v>
      </c>
      <c r="B3231" t="s">
        <v>17</v>
      </c>
      <c r="C3231" s="4">
        <v>44771.983746388891</v>
      </c>
      <c r="D3231" t="s">
        <v>2310</v>
      </c>
      <c r="E3231" t="s">
        <v>27</v>
      </c>
      <c r="F3231" t="s">
        <v>18</v>
      </c>
      <c r="G3231" t="s">
        <v>260</v>
      </c>
      <c r="H3231" t="s">
        <v>40</v>
      </c>
      <c r="I3231" t="s">
        <v>21</v>
      </c>
      <c r="J3231" t="s">
        <v>588</v>
      </c>
    </row>
    <row r="3232" spans="1:10" x14ac:dyDescent="0.25">
      <c r="A3232">
        <v>27847037</v>
      </c>
      <c r="B3232" t="s">
        <v>17</v>
      </c>
      <c r="C3232" s="4">
        <v>44771.984195821758</v>
      </c>
      <c r="D3232" t="s">
        <v>2310</v>
      </c>
      <c r="E3232" t="s">
        <v>27</v>
      </c>
      <c r="F3232" t="s">
        <v>18</v>
      </c>
      <c r="G3232" t="s">
        <v>260</v>
      </c>
      <c r="H3232" t="s">
        <v>25</v>
      </c>
      <c r="I3232" t="s">
        <v>21</v>
      </c>
      <c r="J3232" t="s">
        <v>588</v>
      </c>
    </row>
    <row r="3233" spans="1:10" x14ac:dyDescent="0.25">
      <c r="A3233">
        <v>27847049</v>
      </c>
      <c r="B3233" t="s">
        <v>17</v>
      </c>
      <c r="C3233" s="4">
        <v>44771.984229618058</v>
      </c>
      <c r="D3233" t="s">
        <v>2302</v>
      </c>
      <c r="E3233" t="s">
        <v>38</v>
      </c>
      <c r="F3233" t="s">
        <v>52</v>
      </c>
      <c r="G3233" t="s">
        <v>53</v>
      </c>
      <c r="H3233" t="s">
        <v>40</v>
      </c>
      <c r="I3233" t="s">
        <v>21</v>
      </c>
      <c r="J3233" t="s">
        <v>2303</v>
      </c>
    </row>
    <row r="3234" spans="1:10" x14ac:dyDescent="0.25">
      <c r="A3234">
        <v>27847066</v>
      </c>
      <c r="B3234" t="s">
        <v>17</v>
      </c>
      <c r="C3234" s="4">
        <v>44771.984797754631</v>
      </c>
      <c r="D3234" t="s">
        <v>2313</v>
      </c>
      <c r="E3234" t="s">
        <v>62</v>
      </c>
      <c r="F3234" t="s">
        <v>49</v>
      </c>
      <c r="G3234" t="s">
        <v>359</v>
      </c>
      <c r="H3234" t="s">
        <v>40</v>
      </c>
      <c r="I3234" t="s">
        <v>21</v>
      </c>
      <c r="J3234" t="s">
        <v>511</v>
      </c>
    </row>
    <row r="3235" spans="1:10" x14ac:dyDescent="0.25">
      <c r="A3235">
        <v>27847070</v>
      </c>
      <c r="B3235" t="s">
        <v>17</v>
      </c>
      <c r="C3235" s="4">
        <v>44771.98490949074</v>
      </c>
      <c r="D3235" t="s">
        <v>2302</v>
      </c>
      <c r="E3235" t="s">
        <v>38</v>
      </c>
      <c r="F3235" t="s">
        <v>52</v>
      </c>
      <c r="G3235" t="s">
        <v>53</v>
      </c>
      <c r="H3235" t="s">
        <v>25</v>
      </c>
      <c r="I3235" t="s">
        <v>21</v>
      </c>
      <c r="J3235" t="s">
        <v>2303</v>
      </c>
    </row>
    <row r="3236" spans="1:10" x14ac:dyDescent="0.25">
      <c r="A3236">
        <v>27847088</v>
      </c>
      <c r="B3236" t="s">
        <v>17</v>
      </c>
      <c r="C3236" s="4">
        <v>44771.985301655091</v>
      </c>
      <c r="D3236" t="s">
        <v>2313</v>
      </c>
      <c r="E3236" t="s">
        <v>62</v>
      </c>
      <c r="F3236" t="s">
        <v>49</v>
      </c>
      <c r="G3236" t="s">
        <v>359</v>
      </c>
      <c r="H3236" t="s">
        <v>25</v>
      </c>
      <c r="I3236" t="s">
        <v>21</v>
      </c>
      <c r="J3236" t="s">
        <v>511</v>
      </c>
    </row>
    <row r="3237" spans="1:10" x14ac:dyDescent="0.25">
      <c r="A3237">
        <v>27847112</v>
      </c>
      <c r="B3237" t="s">
        <v>17</v>
      </c>
      <c r="C3237" s="4">
        <v>44771.986207152782</v>
      </c>
      <c r="D3237" t="s">
        <v>2323</v>
      </c>
      <c r="E3237" t="s">
        <v>38</v>
      </c>
      <c r="F3237" t="s">
        <v>52</v>
      </c>
      <c r="G3237" t="s">
        <v>134</v>
      </c>
      <c r="H3237" t="s">
        <v>29</v>
      </c>
      <c r="I3237" t="s">
        <v>21</v>
      </c>
      <c r="J3237" t="s">
        <v>2324</v>
      </c>
    </row>
    <row r="3238" spans="1:10" x14ac:dyDescent="0.25">
      <c r="A3238">
        <v>27847139</v>
      </c>
      <c r="B3238" t="s">
        <v>17</v>
      </c>
      <c r="C3238" s="4">
        <v>44771.986854664348</v>
      </c>
      <c r="D3238" t="s">
        <v>2314</v>
      </c>
      <c r="E3238" t="s">
        <v>38</v>
      </c>
      <c r="F3238" t="s">
        <v>23</v>
      </c>
      <c r="G3238" t="s">
        <v>337</v>
      </c>
      <c r="H3238" t="s">
        <v>40</v>
      </c>
      <c r="I3238" t="s">
        <v>21</v>
      </c>
      <c r="J3238" t="s">
        <v>595</v>
      </c>
    </row>
    <row r="3239" spans="1:10" x14ac:dyDescent="0.25">
      <c r="A3239">
        <v>27847143</v>
      </c>
      <c r="B3239" t="s">
        <v>17</v>
      </c>
      <c r="C3239" s="4">
        <v>44771.987088703703</v>
      </c>
      <c r="F3239" t="s">
        <v>52</v>
      </c>
      <c r="G3239" t="s">
        <v>145</v>
      </c>
      <c r="H3239" t="s">
        <v>20</v>
      </c>
      <c r="I3239" t="s">
        <v>21</v>
      </c>
    </row>
    <row r="3240" spans="1:10" x14ac:dyDescent="0.25">
      <c r="A3240">
        <v>27847151</v>
      </c>
      <c r="B3240" t="s">
        <v>17</v>
      </c>
      <c r="C3240" s="4">
        <v>44771.987401481478</v>
      </c>
      <c r="D3240" t="s">
        <v>2314</v>
      </c>
      <c r="E3240" t="s">
        <v>38</v>
      </c>
      <c r="F3240" t="s">
        <v>23</v>
      </c>
      <c r="G3240" t="s">
        <v>337</v>
      </c>
      <c r="H3240" t="s">
        <v>25</v>
      </c>
      <c r="I3240" t="s">
        <v>21</v>
      </c>
      <c r="J3240" t="s">
        <v>595</v>
      </c>
    </row>
    <row r="3241" spans="1:10" x14ac:dyDescent="0.25">
      <c r="A3241">
        <v>27847171</v>
      </c>
      <c r="B3241" t="s">
        <v>17</v>
      </c>
      <c r="C3241" s="4">
        <v>44771.988291122689</v>
      </c>
      <c r="D3241" t="s">
        <v>2114</v>
      </c>
      <c r="E3241" t="s">
        <v>371</v>
      </c>
      <c r="F3241" t="s">
        <v>57</v>
      </c>
      <c r="G3241" t="s">
        <v>185</v>
      </c>
      <c r="H3241" t="s">
        <v>29</v>
      </c>
      <c r="I3241" t="s">
        <v>21</v>
      </c>
    </row>
    <row r="3242" spans="1:10" x14ac:dyDescent="0.25">
      <c r="A3242">
        <v>27847188</v>
      </c>
      <c r="B3242" t="s">
        <v>17</v>
      </c>
      <c r="C3242" s="4">
        <v>44771.988978969908</v>
      </c>
      <c r="D3242" t="s">
        <v>2320</v>
      </c>
      <c r="E3242" t="s">
        <v>129</v>
      </c>
      <c r="F3242" t="s">
        <v>49</v>
      </c>
      <c r="G3242" t="s">
        <v>74</v>
      </c>
      <c r="H3242" t="s">
        <v>239</v>
      </c>
      <c r="I3242" t="s">
        <v>21</v>
      </c>
      <c r="J3242" t="s">
        <v>508</v>
      </c>
    </row>
    <row r="3243" spans="1:10" x14ac:dyDescent="0.25">
      <c r="A3243">
        <v>27847189</v>
      </c>
      <c r="B3243" t="s">
        <v>17</v>
      </c>
      <c r="C3243" s="4">
        <v>44771.988983090283</v>
      </c>
      <c r="D3243" t="s">
        <v>2320</v>
      </c>
      <c r="E3243" t="s">
        <v>129</v>
      </c>
      <c r="F3243" t="s">
        <v>49</v>
      </c>
      <c r="G3243" t="s">
        <v>74</v>
      </c>
      <c r="H3243" t="s">
        <v>240</v>
      </c>
      <c r="I3243" t="s">
        <v>21</v>
      </c>
      <c r="J3243" t="s">
        <v>508</v>
      </c>
    </row>
    <row r="3244" spans="1:10" x14ac:dyDescent="0.25">
      <c r="A3244">
        <v>27847200</v>
      </c>
      <c r="B3244" t="s">
        <v>17</v>
      </c>
      <c r="C3244" s="4">
        <v>44771.989232905093</v>
      </c>
      <c r="D3244" t="s">
        <v>2325</v>
      </c>
      <c r="E3244" t="s">
        <v>38</v>
      </c>
      <c r="F3244" t="s">
        <v>31</v>
      </c>
      <c r="G3244" t="s">
        <v>199</v>
      </c>
      <c r="H3244" t="s">
        <v>29</v>
      </c>
      <c r="I3244" t="s">
        <v>21</v>
      </c>
      <c r="J3244" t="s">
        <v>2326</v>
      </c>
    </row>
    <row r="3245" spans="1:10" x14ac:dyDescent="0.25">
      <c r="A3245">
        <v>27847213</v>
      </c>
      <c r="B3245" t="s">
        <v>17</v>
      </c>
      <c r="C3245" s="4">
        <v>44771.989419328696</v>
      </c>
      <c r="D3245" t="s">
        <v>2327</v>
      </c>
      <c r="E3245" t="s">
        <v>62</v>
      </c>
      <c r="F3245" t="s">
        <v>18</v>
      </c>
      <c r="G3245" t="s">
        <v>265</v>
      </c>
      <c r="H3245" t="s">
        <v>29</v>
      </c>
      <c r="I3245" t="s">
        <v>21</v>
      </c>
      <c r="J3245" t="s">
        <v>2328</v>
      </c>
    </row>
    <row r="3246" spans="1:10" x14ac:dyDescent="0.25">
      <c r="A3246">
        <v>27847247</v>
      </c>
      <c r="B3246" t="s">
        <v>17</v>
      </c>
      <c r="C3246" s="4">
        <v>44771.990460601854</v>
      </c>
      <c r="D3246" t="s">
        <v>2320</v>
      </c>
      <c r="E3246" t="s">
        <v>129</v>
      </c>
      <c r="F3246" t="s">
        <v>49</v>
      </c>
      <c r="G3246" t="s">
        <v>74</v>
      </c>
      <c r="H3246" t="s">
        <v>40</v>
      </c>
      <c r="I3246" t="s">
        <v>21</v>
      </c>
      <c r="J3246" t="s">
        <v>508</v>
      </c>
    </row>
    <row r="3247" spans="1:10" x14ac:dyDescent="0.25">
      <c r="A3247">
        <v>27847251</v>
      </c>
      <c r="B3247" t="s">
        <v>17</v>
      </c>
      <c r="C3247" s="4">
        <v>44771.990519444444</v>
      </c>
      <c r="D3247" t="s">
        <v>2317</v>
      </c>
      <c r="E3247" t="s">
        <v>38</v>
      </c>
      <c r="F3247" t="s">
        <v>52</v>
      </c>
      <c r="G3247" t="s">
        <v>220</v>
      </c>
      <c r="H3247" t="s">
        <v>40</v>
      </c>
      <c r="I3247" t="s">
        <v>21</v>
      </c>
      <c r="J3247" t="s">
        <v>506</v>
      </c>
    </row>
    <row r="3248" spans="1:10" x14ac:dyDescent="0.25">
      <c r="A3248">
        <v>27847257</v>
      </c>
      <c r="B3248" t="s">
        <v>17</v>
      </c>
      <c r="C3248" s="4">
        <v>44771.990723912037</v>
      </c>
      <c r="D3248" t="s">
        <v>2320</v>
      </c>
      <c r="E3248" t="s">
        <v>129</v>
      </c>
      <c r="F3248" t="s">
        <v>49</v>
      </c>
      <c r="G3248" t="s">
        <v>74</v>
      </c>
      <c r="H3248" t="s">
        <v>25</v>
      </c>
      <c r="I3248" t="s">
        <v>21</v>
      </c>
      <c r="J3248" t="s">
        <v>508</v>
      </c>
    </row>
    <row r="3249" spans="1:10" x14ac:dyDescent="0.25">
      <c r="A3249">
        <v>27847275</v>
      </c>
      <c r="B3249" t="s">
        <v>17</v>
      </c>
      <c r="C3249" s="4">
        <v>44771.990955231478</v>
      </c>
      <c r="D3249" t="s">
        <v>2317</v>
      </c>
      <c r="E3249" t="s">
        <v>38</v>
      </c>
      <c r="F3249" t="s">
        <v>52</v>
      </c>
      <c r="G3249" t="s">
        <v>220</v>
      </c>
      <c r="H3249" t="s">
        <v>25</v>
      </c>
      <c r="I3249" t="s">
        <v>21</v>
      </c>
      <c r="J3249" t="s">
        <v>506</v>
      </c>
    </row>
    <row r="3250" spans="1:10" x14ac:dyDescent="0.25">
      <c r="A3250">
        <v>27847302</v>
      </c>
      <c r="B3250" t="s">
        <v>17</v>
      </c>
      <c r="C3250" s="4">
        <v>44771.991911863428</v>
      </c>
      <c r="D3250" t="s">
        <v>1960</v>
      </c>
      <c r="E3250" t="s">
        <v>38</v>
      </c>
      <c r="F3250" t="s">
        <v>52</v>
      </c>
      <c r="G3250" t="s">
        <v>69</v>
      </c>
      <c r="H3250" t="s">
        <v>29</v>
      </c>
      <c r="I3250" t="s">
        <v>21</v>
      </c>
      <c r="J3250" t="s">
        <v>2329</v>
      </c>
    </row>
    <row r="3251" spans="1:10" x14ac:dyDescent="0.25">
      <c r="A3251">
        <v>27847322</v>
      </c>
      <c r="B3251" t="s">
        <v>17</v>
      </c>
      <c r="C3251" s="4">
        <v>44771.992268125003</v>
      </c>
      <c r="E3251" t="s">
        <v>38</v>
      </c>
      <c r="F3251" t="s">
        <v>52</v>
      </c>
      <c r="G3251" t="s">
        <v>89</v>
      </c>
      <c r="H3251" t="s">
        <v>29</v>
      </c>
      <c r="I3251" t="s">
        <v>21</v>
      </c>
    </row>
    <row r="3252" spans="1:10" x14ac:dyDescent="0.25">
      <c r="A3252">
        <v>27847334</v>
      </c>
      <c r="B3252" t="s">
        <v>17</v>
      </c>
      <c r="C3252" s="4">
        <v>44771.992816215279</v>
      </c>
      <c r="D3252" t="s">
        <v>2330</v>
      </c>
      <c r="E3252" t="s">
        <v>22</v>
      </c>
      <c r="F3252" t="s">
        <v>23</v>
      </c>
      <c r="G3252" t="s">
        <v>110</v>
      </c>
      <c r="H3252" t="s">
        <v>29</v>
      </c>
      <c r="I3252" t="s">
        <v>21</v>
      </c>
      <c r="J3252" t="s">
        <v>2331</v>
      </c>
    </row>
    <row r="3253" spans="1:10" x14ac:dyDescent="0.25">
      <c r="A3253">
        <v>27847356</v>
      </c>
      <c r="B3253" t="s">
        <v>17</v>
      </c>
      <c r="C3253" s="4">
        <v>44771.993413587959</v>
      </c>
      <c r="D3253" t="s">
        <v>2332</v>
      </c>
      <c r="E3253" t="s">
        <v>254</v>
      </c>
      <c r="F3253" t="s">
        <v>57</v>
      </c>
      <c r="G3253" t="s">
        <v>419</v>
      </c>
      <c r="H3253" t="s">
        <v>29</v>
      </c>
      <c r="I3253" t="s">
        <v>21</v>
      </c>
      <c r="J3253" t="s">
        <v>2333</v>
      </c>
    </row>
    <row r="3254" spans="1:10" x14ac:dyDescent="0.25">
      <c r="A3254">
        <v>27847385</v>
      </c>
      <c r="B3254" t="s">
        <v>17</v>
      </c>
      <c r="C3254" s="4">
        <v>44771.995650787037</v>
      </c>
      <c r="F3254" t="s">
        <v>57</v>
      </c>
      <c r="G3254" t="s">
        <v>58</v>
      </c>
      <c r="H3254" t="s">
        <v>20</v>
      </c>
      <c r="I3254" t="s">
        <v>21</v>
      </c>
    </row>
    <row r="3255" spans="1:10" x14ac:dyDescent="0.25">
      <c r="A3255">
        <v>27847398</v>
      </c>
      <c r="B3255" t="s">
        <v>17</v>
      </c>
      <c r="C3255" s="4">
        <v>44771.996321851853</v>
      </c>
      <c r="D3255" t="s">
        <v>2334</v>
      </c>
      <c r="E3255" t="s">
        <v>129</v>
      </c>
      <c r="F3255" t="s">
        <v>49</v>
      </c>
      <c r="G3255" t="s">
        <v>50</v>
      </c>
      <c r="H3255" t="s">
        <v>42</v>
      </c>
      <c r="I3255" t="s">
        <v>21</v>
      </c>
      <c r="J3255" t="s">
        <v>513</v>
      </c>
    </row>
    <row r="3256" spans="1:10" x14ac:dyDescent="0.25">
      <c r="A3256">
        <v>27847412</v>
      </c>
      <c r="B3256" t="s">
        <v>17</v>
      </c>
      <c r="C3256" s="4">
        <v>44771.996671608787</v>
      </c>
      <c r="D3256" t="s">
        <v>2201</v>
      </c>
      <c r="E3256" t="s">
        <v>38</v>
      </c>
      <c r="F3256" t="s">
        <v>52</v>
      </c>
      <c r="G3256" t="s">
        <v>206</v>
      </c>
      <c r="H3256" t="s">
        <v>29</v>
      </c>
      <c r="I3256" t="s">
        <v>21</v>
      </c>
      <c r="J3256" t="s">
        <v>512</v>
      </c>
    </row>
    <row r="3257" spans="1:10" x14ac:dyDescent="0.25">
      <c r="A3257">
        <v>27847428</v>
      </c>
      <c r="B3257" t="s">
        <v>17</v>
      </c>
      <c r="C3257" s="4">
        <v>44771.99759791667</v>
      </c>
      <c r="D3257" t="s">
        <v>2334</v>
      </c>
      <c r="E3257" t="s">
        <v>129</v>
      </c>
      <c r="F3257" t="s">
        <v>49</v>
      </c>
      <c r="G3257" t="s">
        <v>50</v>
      </c>
      <c r="H3257" t="s">
        <v>239</v>
      </c>
      <c r="I3257" t="s">
        <v>21</v>
      </c>
      <c r="J3257" t="s">
        <v>513</v>
      </c>
    </row>
    <row r="3258" spans="1:10" x14ac:dyDescent="0.25">
      <c r="A3258">
        <v>27847429</v>
      </c>
      <c r="B3258" t="s">
        <v>17</v>
      </c>
      <c r="C3258" s="4">
        <v>44771.997605671299</v>
      </c>
      <c r="D3258" t="s">
        <v>2334</v>
      </c>
      <c r="E3258" t="s">
        <v>129</v>
      </c>
      <c r="F3258" t="s">
        <v>49</v>
      </c>
      <c r="G3258" t="s">
        <v>50</v>
      </c>
      <c r="H3258" t="s">
        <v>240</v>
      </c>
      <c r="I3258" t="s">
        <v>21</v>
      </c>
      <c r="J3258" t="s">
        <v>513</v>
      </c>
    </row>
    <row r="3259" spans="1:10" x14ac:dyDescent="0.25">
      <c r="A3259">
        <v>27847449</v>
      </c>
      <c r="B3259" t="s">
        <v>17</v>
      </c>
      <c r="C3259" s="4">
        <v>44771.998684756953</v>
      </c>
      <c r="F3259" t="s">
        <v>49</v>
      </c>
      <c r="G3259" t="s">
        <v>73</v>
      </c>
      <c r="H3259" t="s">
        <v>20</v>
      </c>
      <c r="I3259" t="s">
        <v>21</v>
      </c>
    </row>
    <row r="3260" spans="1:10" x14ac:dyDescent="0.25">
      <c r="A3260">
        <v>27847458</v>
      </c>
      <c r="B3260" t="s">
        <v>17</v>
      </c>
      <c r="C3260" s="4">
        <v>44771.998740416668</v>
      </c>
      <c r="D3260" t="s">
        <v>2142</v>
      </c>
      <c r="E3260" t="s">
        <v>38</v>
      </c>
      <c r="F3260" t="s">
        <v>52</v>
      </c>
      <c r="G3260" t="s">
        <v>91</v>
      </c>
      <c r="H3260" t="s">
        <v>29</v>
      </c>
      <c r="I3260" t="s">
        <v>21</v>
      </c>
    </row>
    <row r="3261" spans="1:10" x14ac:dyDescent="0.25">
      <c r="A3261">
        <v>27847461</v>
      </c>
      <c r="B3261" t="s">
        <v>17</v>
      </c>
      <c r="C3261" s="4">
        <v>44771.998752523148</v>
      </c>
      <c r="D3261" t="s">
        <v>2335</v>
      </c>
      <c r="E3261" t="s">
        <v>22</v>
      </c>
      <c r="F3261" t="s">
        <v>23</v>
      </c>
      <c r="G3261" t="s">
        <v>175</v>
      </c>
      <c r="H3261" t="s">
        <v>42</v>
      </c>
      <c r="I3261" t="s">
        <v>21</v>
      </c>
      <c r="J3261" t="s">
        <v>26</v>
      </c>
    </row>
    <row r="3262" spans="1:10" x14ac:dyDescent="0.25">
      <c r="A3262">
        <v>27847486</v>
      </c>
      <c r="B3262" t="s">
        <v>17</v>
      </c>
      <c r="C3262" s="4">
        <v>44771.999851863417</v>
      </c>
      <c r="D3262" t="s">
        <v>2336</v>
      </c>
      <c r="E3262" t="s">
        <v>129</v>
      </c>
      <c r="F3262" t="s">
        <v>49</v>
      </c>
      <c r="G3262" t="s">
        <v>201</v>
      </c>
      <c r="H3262" t="s">
        <v>42</v>
      </c>
      <c r="I3262" t="s">
        <v>21</v>
      </c>
      <c r="J3262" t="s">
        <v>514</v>
      </c>
    </row>
    <row r="3263" spans="1:10" x14ac:dyDescent="0.25">
      <c r="A3263">
        <v>27847492</v>
      </c>
      <c r="B3263" t="s">
        <v>17</v>
      </c>
      <c r="C3263" s="4">
        <v>44771.999903136573</v>
      </c>
      <c r="D3263" t="s">
        <v>2337</v>
      </c>
      <c r="E3263" t="s">
        <v>38</v>
      </c>
      <c r="F3263" t="s">
        <v>52</v>
      </c>
      <c r="G3263" t="s">
        <v>145</v>
      </c>
      <c r="H3263" t="s">
        <v>40</v>
      </c>
      <c r="I3263" t="s">
        <v>21</v>
      </c>
    </row>
    <row r="3264" spans="1:10" x14ac:dyDescent="0.25">
      <c r="A3264">
        <v>27847495</v>
      </c>
      <c r="B3264" t="s">
        <v>17</v>
      </c>
      <c r="C3264" s="4">
        <v>44771.999988946758</v>
      </c>
      <c r="D3264" t="s">
        <v>2338</v>
      </c>
      <c r="E3264" t="s">
        <v>38</v>
      </c>
      <c r="F3264" t="s">
        <v>33</v>
      </c>
      <c r="G3264" t="s">
        <v>357</v>
      </c>
      <c r="H3264" t="s">
        <v>29</v>
      </c>
      <c r="I3264" t="s">
        <v>21</v>
      </c>
    </row>
    <row r="3265" spans="1:16" x14ac:dyDescent="0.25">
      <c r="A3265">
        <v>27805703</v>
      </c>
      <c r="B3265" t="s">
        <v>601</v>
      </c>
      <c r="C3265" s="4">
        <v>44771.08487697917</v>
      </c>
      <c r="G3265" t="s">
        <v>634</v>
      </c>
      <c r="K3265" t="s">
        <v>602</v>
      </c>
      <c r="L3265" t="s">
        <v>36</v>
      </c>
      <c r="M3265">
        <v>390181</v>
      </c>
      <c r="N3265" t="s">
        <v>606</v>
      </c>
      <c r="O3265" t="s">
        <v>2339</v>
      </c>
    </row>
    <row r="3266" spans="1:16" x14ac:dyDescent="0.25">
      <c r="A3266">
        <v>27817669</v>
      </c>
      <c r="B3266" t="s">
        <v>601</v>
      </c>
      <c r="C3266" s="4">
        <v>44771.302819699071</v>
      </c>
      <c r="F3266" t="s">
        <v>18</v>
      </c>
      <c r="G3266" t="s">
        <v>228</v>
      </c>
      <c r="K3266" t="s">
        <v>602</v>
      </c>
      <c r="L3266" t="s">
        <v>36</v>
      </c>
      <c r="M3266">
        <v>-1</v>
      </c>
      <c r="N3266" t="s">
        <v>603</v>
      </c>
      <c r="O3266" t="s">
        <v>604</v>
      </c>
    </row>
    <row r="3267" spans="1:16" x14ac:dyDescent="0.25">
      <c r="A3267">
        <v>27814447</v>
      </c>
      <c r="B3267" t="s">
        <v>601</v>
      </c>
      <c r="C3267" s="4">
        <v>44771.250288831019</v>
      </c>
      <c r="F3267" t="s">
        <v>18</v>
      </c>
      <c r="G3267" t="s">
        <v>375</v>
      </c>
      <c r="J3267" t="s">
        <v>736</v>
      </c>
      <c r="K3267" t="s">
        <v>602</v>
      </c>
      <c r="L3267" t="s">
        <v>36</v>
      </c>
      <c r="M3267">
        <v>390203</v>
      </c>
      <c r="N3267" t="s">
        <v>603</v>
      </c>
      <c r="O3267" t="s">
        <v>604</v>
      </c>
    </row>
    <row r="3268" spans="1:16" x14ac:dyDescent="0.25">
      <c r="A3268">
        <v>27814467</v>
      </c>
      <c r="B3268" t="s">
        <v>601</v>
      </c>
      <c r="C3268" s="4">
        <v>44771.250380381942</v>
      </c>
      <c r="F3268" t="s">
        <v>33</v>
      </c>
      <c r="G3268" t="s">
        <v>164</v>
      </c>
      <c r="K3268" t="s">
        <v>602</v>
      </c>
      <c r="L3268" t="s">
        <v>36</v>
      </c>
      <c r="M3268">
        <v>390204</v>
      </c>
      <c r="N3268" t="s">
        <v>603</v>
      </c>
      <c r="O3268" t="s">
        <v>604</v>
      </c>
    </row>
    <row r="3269" spans="1:16" x14ac:dyDescent="0.25">
      <c r="A3269">
        <v>27815346</v>
      </c>
      <c r="B3269" t="s">
        <v>601</v>
      </c>
      <c r="C3269" s="4">
        <v>44771.265192719897</v>
      </c>
      <c r="E3269" t="s">
        <v>38</v>
      </c>
      <c r="F3269" t="s">
        <v>23</v>
      </c>
      <c r="G3269" t="s">
        <v>194</v>
      </c>
      <c r="J3269" t="s">
        <v>791</v>
      </c>
      <c r="K3269" t="s">
        <v>602</v>
      </c>
      <c r="L3269" t="s">
        <v>21</v>
      </c>
      <c r="M3269">
        <v>390210</v>
      </c>
      <c r="N3269" t="s">
        <v>607</v>
      </c>
      <c r="O3269" t="s">
        <v>608</v>
      </c>
      <c r="P3269" t="s">
        <v>21</v>
      </c>
    </row>
    <row r="3270" spans="1:16" x14ac:dyDescent="0.25">
      <c r="A3270">
        <v>27815432</v>
      </c>
      <c r="B3270" t="s">
        <v>601</v>
      </c>
      <c r="C3270" s="4">
        <v>44771.266649097219</v>
      </c>
      <c r="F3270" t="s">
        <v>18</v>
      </c>
      <c r="G3270" t="s">
        <v>228</v>
      </c>
      <c r="K3270" t="s">
        <v>602</v>
      </c>
      <c r="L3270" t="s">
        <v>36</v>
      </c>
      <c r="M3270">
        <v>-1</v>
      </c>
      <c r="N3270" t="s">
        <v>603</v>
      </c>
      <c r="O3270" t="s">
        <v>604</v>
      </c>
    </row>
    <row r="3271" spans="1:16" x14ac:dyDescent="0.25">
      <c r="A3271">
        <v>27815519</v>
      </c>
      <c r="B3271" t="s">
        <v>601</v>
      </c>
      <c r="C3271" s="4">
        <v>44771.267691319437</v>
      </c>
      <c r="E3271" t="s">
        <v>62</v>
      </c>
      <c r="F3271" t="s">
        <v>18</v>
      </c>
      <c r="G3271" t="s">
        <v>102</v>
      </c>
      <c r="J3271" t="s">
        <v>799</v>
      </c>
      <c r="K3271" t="s">
        <v>602</v>
      </c>
      <c r="L3271" t="s">
        <v>21</v>
      </c>
      <c r="M3271">
        <v>390211</v>
      </c>
      <c r="N3271" t="s">
        <v>607</v>
      </c>
      <c r="O3271" t="s">
        <v>608</v>
      </c>
      <c r="P3271" t="s">
        <v>21</v>
      </c>
    </row>
    <row r="3272" spans="1:16" x14ac:dyDescent="0.25">
      <c r="A3272">
        <v>27815651</v>
      </c>
      <c r="B3272" t="s">
        <v>601</v>
      </c>
      <c r="C3272" s="4">
        <v>44771.270945868047</v>
      </c>
      <c r="F3272" t="s">
        <v>55</v>
      </c>
      <c r="G3272" t="s">
        <v>403</v>
      </c>
      <c r="K3272" t="s">
        <v>602</v>
      </c>
      <c r="L3272" t="s">
        <v>36</v>
      </c>
      <c r="M3272">
        <v>390212</v>
      </c>
      <c r="N3272" t="s">
        <v>603</v>
      </c>
      <c r="O3272" t="s">
        <v>604</v>
      </c>
    </row>
    <row r="3273" spans="1:16" x14ac:dyDescent="0.25">
      <c r="A3273">
        <v>27815672</v>
      </c>
      <c r="B3273" t="s">
        <v>601</v>
      </c>
      <c r="C3273" s="4">
        <v>44771.271125856481</v>
      </c>
      <c r="F3273" t="s">
        <v>52</v>
      </c>
      <c r="G3273" t="s">
        <v>69</v>
      </c>
      <c r="J3273" t="s">
        <v>808</v>
      </c>
      <c r="K3273" t="s">
        <v>602</v>
      </c>
      <c r="L3273" t="s">
        <v>36</v>
      </c>
      <c r="M3273">
        <v>390213</v>
      </c>
      <c r="N3273" t="s">
        <v>603</v>
      </c>
      <c r="O3273" t="s">
        <v>604</v>
      </c>
    </row>
    <row r="3274" spans="1:16" x14ac:dyDescent="0.25">
      <c r="A3274">
        <v>27815675</v>
      </c>
      <c r="B3274" t="s">
        <v>601</v>
      </c>
      <c r="C3274" s="4">
        <v>44771.271126388892</v>
      </c>
      <c r="E3274" t="s">
        <v>22</v>
      </c>
      <c r="F3274" t="s">
        <v>23</v>
      </c>
      <c r="G3274" t="s">
        <v>180</v>
      </c>
      <c r="J3274" t="s">
        <v>476</v>
      </c>
      <c r="K3274" t="s">
        <v>602</v>
      </c>
      <c r="L3274" t="s">
        <v>36</v>
      </c>
      <c r="M3274">
        <v>390214</v>
      </c>
      <c r="N3274" t="s">
        <v>603</v>
      </c>
      <c r="O3274" t="s">
        <v>604</v>
      </c>
    </row>
    <row r="3275" spans="1:16" x14ac:dyDescent="0.25">
      <c r="A3275">
        <v>27815681</v>
      </c>
      <c r="B3275" t="s">
        <v>601</v>
      </c>
      <c r="C3275" s="4">
        <v>44771.271128113432</v>
      </c>
      <c r="E3275" t="s">
        <v>22</v>
      </c>
      <c r="F3275" t="s">
        <v>57</v>
      </c>
      <c r="G3275" t="s">
        <v>270</v>
      </c>
      <c r="J3275" t="s">
        <v>488</v>
      </c>
      <c r="K3275" t="s">
        <v>602</v>
      </c>
      <c r="L3275" t="s">
        <v>36</v>
      </c>
      <c r="M3275">
        <v>390215</v>
      </c>
      <c r="N3275" t="s">
        <v>603</v>
      </c>
      <c r="O3275" t="s">
        <v>604</v>
      </c>
    </row>
    <row r="3276" spans="1:16" x14ac:dyDescent="0.25">
      <c r="A3276">
        <v>27815701</v>
      </c>
      <c r="B3276" t="s">
        <v>601</v>
      </c>
      <c r="C3276" s="4">
        <v>44771.271134907409</v>
      </c>
      <c r="E3276" t="s">
        <v>38</v>
      </c>
      <c r="F3276" t="s">
        <v>33</v>
      </c>
      <c r="G3276" t="s">
        <v>34</v>
      </c>
      <c r="K3276" t="s">
        <v>602</v>
      </c>
      <c r="L3276" t="s">
        <v>36</v>
      </c>
      <c r="M3276">
        <v>390216</v>
      </c>
      <c r="N3276" t="s">
        <v>603</v>
      </c>
      <c r="O3276" t="s">
        <v>604</v>
      </c>
    </row>
    <row r="3277" spans="1:16" x14ac:dyDescent="0.25">
      <c r="A3277">
        <v>27815733</v>
      </c>
      <c r="B3277" t="s">
        <v>601</v>
      </c>
      <c r="C3277" s="4">
        <v>44771.27141415509</v>
      </c>
      <c r="F3277" t="s">
        <v>52</v>
      </c>
      <c r="G3277" t="s">
        <v>53</v>
      </c>
      <c r="J3277" t="s">
        <v>813</v>
      </c>
      <c r="K3277" t="s">
        <v>602</v>
      </c>
      <c r="L3277" t="s">
        <v>36</v>
      </c>
      <c r="M3277">
        <v>390217</v>
      </c>
      <c r="N3277" t="s">
        <v>603</v>
      </c>
      <c r="O3277" t="s">
        <v>604</v>
      </c>
    </row>
    <row r="3278" spans="1:16" x14ac:dyDescent="0.25">
      <c r="A3278">
        <v>27816365</v>
      </c>
      <c r="B3278" t="s">
        <v>601</v>
      </c>
      <c r="C3278" s="4">
        <v>44771.279878032408</v>
      </c>
      <c r="E3278" t="s">
        <v>842</v>
      </c>
      <c r="F3278" t="s">
        <v>18</v>
      </c>
      <c r="G3278" t="s">
        <v>413</v>
      </c>
      <c r="J3278" t="s">
        <v>843</v>
      </c>
      <c r="K3278" t="s">
        <v>602</v>
      </c>
      <c r="L3278" t="s">
        <v>21</v>
      </c>
      <c r="M3278">
        <v>390218</v>
      </c>
      <c r="N3278" t="s">
        <v>607</v>
      </c>
      <c r="O3278" t="s">
        <v>608</v>
      </c>
      <c r="P3278" t="s">
        <v>21</v>
      </c>
    </row>
    <row r="3279" spans="1:16" x14ac:dyDescent="0.25">
      <c r="A3279">
        <v>27816622</v>
      </c>
      <c r="B3279" t="s">
        <v>601</v>
      </c>
      <c r="C3279" s="4">
        <v>44771.284893912038</v>
      </c>
      <c r="E3279" t="s">
        <v>842</v>
      </c>
      <c r="F3279" t="s">
        <v>18</v>
      </c>
      <c r="G3279" t="s">
        <v>413</v>
      </c>
      <c r="J3279" t="s">
        <v>843</v>
      </c>
      <c r="K3279" t="s">
        <v>602</v>
      </c>
      <c r="L3279" t="s">
        <v>21</v>
      </c>
      <c r="M3279">
        <v>390219</v>
      </c>
      <c r="N3279" t="s">
        <v>607</v>
      </c>
      <c r="O3279" t="s">
        <v>608</v>
      </c>
      <c r="P3279" t="s">
        <v>21</v>
      </c>
    </row>
    <row r="3280" spans="1:16" x14ac:dyDescent="0.25">
      <c r="A3280">
        <v>27802717</v>
      </c>
      <c r="B3280" t="s">
        <v>601</v>
      </c>
      <c r="C3280" s="4">
        <v>44771.008492048612</v>
      </c>
      <c r="E3280" t="s">
        <v>874</v>
      </c>
      <c r="F3280" t="s">
        <v>18</v>
      </c>
      <c r="G3280" t="s">
        <v>285</v>
      </c>
      <c r="J3280" t="s">
        <v>1131</v>
      </c>
      <c r="K3280" t="s">
        <v>602</v>
      </c>
      <c r="L3280" t="s">
        <v>21</v>
      </c>
      <c r="M3280">
        <v>390178</v>
      </c>
      <c r="N3280" t="s">
        <v>607</v>
      </c>
      <c r="O3280" t="s">
        <v>608</v>
      </c>
      <c r="P3280" t="s">
        <v>21</v>
      </c>
    </row>
    <row r="3281" spans="1:16" x14ac:dyDescent="0.25">
      <c r="A3281">
        <v>27802728</v>
      </c>
      <c r="B3281" t="s">
        <v>601</v>
      </c>
      <c r="C3281" s="4">
        <v>44771.008733333343</v>
      </c>
      <c r="E3281" t="s">
        <v>874</v>
      </c>
      <c r="F3281" t="s">
        <v>18</v>
      </c>
      <c r="G3281" t="s">
        <v>285</v>
      </c>
      <c r="J3281" t="s">
        <v>1131</v>
      </c>
      <c r="K3281" t="s">
        <v>602</v>
      </c>
      <c r="L3281" t="s">
        <v>21</v>
      </c>
      <c r="M3281">
        <v>390179</v>
      </c>
      <c r="N3281" t="s">
        <v>611</v>
      </c>
      <c r="O3281" t="s">
        <v>612</v>
      </c>
    </row>
    <row r="3282" spans="1:16" x14ac:dyDescent="0.25">
      <c r="A3282">
        <v>27802992</v>
      </c>
      <c r="B3282" t="s">
        <v>601</v>
      </c>
      <c r="C3282" s="4">
        <v>44771.014168622693</v>
      </c>
      <c r="E3282" t="s">
        <v>22</v>
      </c>
      <c r="F3282" t="s">
        <v>52</v>
      </c>
      <c r="G3282" t="s">
        <v>234</v>
      </c>
      <c r="J3282" t="s">
        <v>522</v>
      </c>
      <c r="K3282" t="s">
        <v>602</v>
      </c>
      <c r="L3282" t="s">
        <v>21</v>
      </c>
      <c r="M3282">
        <v>390180</v>
      </c>
      <c r="N3282" t="s">
        <v>609</v>
      </c>
      <c r="O3282" t="s">
        <v>610</v>
      </c>
      <c r="P3282" t="s">
        <v>21</v>
      </c>
    </row>
    <row r="3283" spans="1:16" x14ac:dyDescent="0.25">
      <c r="A3283">
        <v>27816690</v>
      </c>
      <c r="B3283" t="s">
        <v>601</v>
      </c>
      <c r="C3283" s="4">
        <v>44771.285731446762</v>
      </c>
      <c r="E3283" t="s">
        <v>842</v>
      </c>
      <c r="F3283" t="s">
        <v>18</v>
      </c>
      <c r="G3283" t="s">
        <v>413</v>
      </c>
      <c r="J3283" t="s">
        <v>843</v>
      </c>
      <c r="K3283" t="s">
        <v>602</v>
      </c>
      <c r="L3283" t="s">
        <v>21</v>
      </c>
      <c r="M3283">
        <v>390220</v>
      </c>
      <c r="N3283" t="s">
        <v>607</v>
      </c>
      <c r="O3283" t="s">
        <v>608</v>
      </c>
      <c r="P3283" t="s">
        <v>21</v>
      </c>
    </row>
    <row r="3284" spans="1:16" x14ac:dyDescent="0.25">
      <c r="A3284">
        <v>27807312</v>
      </c>
      <c r="B3284" t="s">
        <v>601</v>
      </c>
      <c r="C3284" s="4">
        <v>44771.12073234954</v>
      </c>
      <c r="E3284" t="s">
        <v>27</v>
      </c>
      <c r="F3284" t="s">
        <v>45</v>
      </c>
      <c r="G3284" t="s">
        <v>314</v>
      </c>
      <c r="J3284" t="s">
        <v>895</v>
      </c>
      <c r="K3284" t="s">
        <v>602</v>
      </c>
      <c r="L3284" t="s">
        <v>21</v>
      </c>
      <c r="M3284">
        <v>390182</v>
      </c>
      <c r="N3284" t="s">
        <v>607</v>
      </c>
      <c r="O3284" t="s">
        <v>608</v>
      </c>
      <c r="P3284" t="s">
        <v>21</v>
      </c>
    </row>
    <row r="3285" spans="1:16" x14ac:dyDescent="0.25">
      <c r="A3285">
        <v>27816760</v>
      </c>
      <c r="B3285" t="s">
        <v>601</v>
      </c>
      <c r="C3285" s="4">
        <v>44771.286590532407</v>
      </c>
      <c r="E3285" t="s">
        <v>842</v>
      </c>
      <c r="F3285" t="s">
        <v>18</v>
      </c>
      <c r="G3285" t="s">
        <v>413</v>
      </c>
      <c r="J3285" t="s">
        <v>843</v>
      </c>
      <c r="K3285" t="s">
        <v>602</v>
      </c>
      <c r="L3285" t="s">
        <v>21</v>
      </c>
      <c r="M3285">
        <v>390221</v>
      </c>
      <c r="N3285" t="s">
        <v>607</v>
      </c>
      <c r="O3285" t="s">
        <v>608</v>
      </c>
      <c r="P3285" t="s">
        <v>21</v>
      </c>
    </row>
    <row r="3286" spans="1:16" x14ac:dyDescent="0.25">
      <c r="A3286">
        <v>27807792</v>
      </c>
      <c r="B3286" t="s">
        <v>601</v>
      </c>
      <c r="C3286" s="4">
        <v>44771.130853020833</v>
      </c>
      <c r="E3286" t="s">
        <v>129</v>
      </c>
      <c r="F3286" t="s">
        <v>49</v>
      </c>
      <c r="G3286" t="s">
        <v>74</v>
      </c>
      <c r="J3286" t="s">
        <v>484</v>
      </c>
      <c r="K3286" t="s">
        <v>602</v>
      </c>
      <c r="L3286" t="s">
        <v>21</v>
      </c>
      <c r="M3286">
        <v>390183</v>
      </c>
      <c r="N3286" t="s">
        <v>607</v>
      </c>
      <c r="O3286" t="s">
        <v>608</v>
      </c>
      <c r="P3286" t="s">
        <v>21</v>
      </c>
    </row>
    <row r="3287" spans="1:16" x14ac:dyDescent="0.25">
      <c r="A3287">
        <v>27808477</v>
      </c>
      <c r="B3287" t="s">
        <v>601</v>
      </c>
      <c r="C3287" s="4">
        <v>44771.144340393519</v>
      </c>
      <c r="E3287" t="s">
        <v>22</v>
      </c>
      <c r="F3287" t="s">
        <v>23</v>
      </c>
      <c r="G3287" t="s">
        <v>98</v>
      </c>
      <c r="J3287" t="s">
        <v>71</v>
      </c>
      <c r="K3287" t="s">
        <v>602</v>
      </c>
      <c r="L3287" t="s">
        <v>21</v>
      </c>
      <c r="M3287">
        <v>390184</v>
      </c>
      <c r="N3287" t="s">
        <v>611</v>
      </c>
      <c r="O3287" t="s">
        <v>612</v>
      </c>
    </row>
    <row r="3288" spans="1:16" x14ac:dyDescent="0.25">
      <c r="A3288">
        <v>27808480</v>
      </c>
      <c r="B3288" t="s">
        <v>601</v>
      </c>
      <c r="C3288" s="4">
        <v>44771.144348715279</v>
      </c>
      <c r="F3288" t="s">
        <v>23</v>
      </c>
      <c r="G3288" t="s">
        <v>98</v>
      </c>
      <c r="J3288" t="s">
        <v>71</v>
      </c>
      <c r="K3288" t="s">
        <v>602</v>
      </c>
      <c r="L3288" t="s">
        <v>21</v>
      </c>
      <c r="M3288">
        <v>390185</v>
      </c>
      <c r="N3288" t="s">
        <v>611</v>
      </c>
      <c r="O3288" t="s">
        <v>612</v>
      </c>
    </row>
    <row r="3289" spans="1:16" x14ac:dyDescent="0.25">
      <c r="A3289">
        <v>27809241</v>
      </c>
      <c r="B3289" t="s">
        <v>601</v>
      </c>
      <c r="C3289" s="4">
        <v>44771.159216354157</v>
      </c>
      <c r="E3289" t="s">
        <v>22</v>
      </c>
      <c r="F3289" t="s">
        <v>52</v>
      </c>
      <c r="G3289" t="s">
        <v>328</v>
      </c>
      <c r="J3289" t="s">
        <v>111</v>
      </c>
      <c r="K3289" t="s">
        <v>602</v>
      </c>
      <c r="L3289" t="s">
        <v>21</v>
      </c>
      <c r="M3289">
        <v>390186</v>
      </c>
      <c r="N3289" t="s">
        <v>611</v>
      </c>
      <c r="O3289" t="s">
        <v>612</v>
      </c>
    </row>
    <row r="3290" spans="1:16" x14ac:dyDescent="0.25">
      <c r="A3290">
        <v>27809279</v>
      </c>
      <c r="B3290" t="s">
        <v>601</v>
      </c>
      <c r="C3290" s="4">
        <v>44771.159616458332</v>
      </c>
      <c r="E3290" t="s">
        <v>62</v>
      </c>
      <c r="F3290" t="s">
        <v>18</v>
      </c>
      <c r="G3290" t="s">
        <v>186</v>
      </c>
      <c r="J3290" t="s">
        <v>519</v>
      </c>
      <c r="K3290" t="s">
        <v>602</v>
      </c>
      <c r="L3290" t="s">
        <v>21</v>
      </c>
      <c r="M3290">
        <v>390187</v>
      </c>
      <c r="N3290" t="s">
        <v>607</v>
      </c>
      <c r="O3290" t="s">
        <v>608</v>
      </c>
      <c r="P3290" t="s">
        <v>21</v>
      </c>
    </row>
    <row r="3291" spans="1:16" x14ac:dyDescent="0.25">
      <c r="A3291">
        <v>27809312</v>
      </c>
      <c r="B3291" t="s">
        <v>601</v>
      </c>
      <c r="C3291" s="4">
        <v>44771.16018540509</v>
      </c>
      <c r="E3291" t="s">
        <v>62</v>
      </c>
      <c r="F3291" t="s">
        <v>18</v>
      </c>
      <c r="G3291" t="s">
        <v>186</v>
      </c>
      <c r="J3291" t="s">
        <v>519</v>
      </c>
      <c r="K3291" t="s">
        <v>602</v>
      </c>
      <c r="L3291" t="s">
        <v>21</v>
      </c>
      <c r="M3291">
        <v>390188</v>
      </c>
      <c r="N3291" t="s">
        <v>607</v>
      </c>
      <c r="O3291" t="s">
        <v>608</v>
      </c>
      <c r="P3291" t="s">
        <v>21</v>
      </c>
    </row>
    <row r="3292" spans="1:16" x14ac:dyDescent="0.25">
      <c r="A3292">
        <v>27809333</v>
      </c>
      <c r="B3292" t="s">
        <v>601</v>
      </c>
      <c r="C3292" s="4">
        <v>44771.160446527778</v>
      </c>
      <c r="E3292" t="s">
        <v>62</v>
      </c>
      <c r="F3292" t="s">
        <v>18</v>
      </c>
      <c r="G3292" t="s">
        <v>186</v>
      </c>
      <c r="J3292" t="s">
        <v>519</v>
      </c>
      <c r="K3292" t="s">
        <v>602</v>
      </c>
      <c r="L3292" t="s">
        <v>21</v>
      </c>
      <c r="M3292">
        <v>390189</v>
      </c>
      <c r="N3292" t="s">
        <v>607</v>
      </c>
      <c r="O3292" t="s">
        <v>608</v>
      </c>
      <c r="P3292" t="s">
        <v>21</v>
      </c>
    </row>
    <row r="3293" spans="1:16" x14ac:dyDescent="0.25">
      <c r="A3293">
        <v>27809368</v>
      </c>
      <c r="B3293" t="s">
        <v>601</v>
      </c>
      <c r="C3293" s="4">
        <v>44771.160933159721</v>
      </c>
      <c r="E3293" t="s">
        <v>417</v>
      </c>
      <c r="F3293" t="s">
        <v>18</v>
      </c>
      <c r="G3293" t="s">
        <v>418</v>
      </c>
      <c r="J3293" t="s">
        <v>1084</v>
      </c>
      <c r="K3293" t="s">
        <v>602</v>
      </c>
      <c r="L3293" t="s">
        <v>36</v>
      </c>
      <c r="M3293">
        <v>390190</v>
      </c>
      <c r="N3293" t="s">
        <v>614</v>
      </c>
      <c r="O3293" t="s">
        <v>615</v>
      </c>
      <c r="P3293" t="s">
        <v>36</v>
      </c>
    </row>
    <row r="3294" spans="1:16" x14ac:dyDescent="0.25">
      <c r="A3294">
        <v>27809442</v>
      </c>
      <c r="B3294" t="s">
        <v>601</v>
      </c>
      <c r="C3294" s="4">
        <v>44771.162232349539</v>
      </c>
      <c r="E3294" t="s">
        <v>417</v>
      </c>
      <c r="F3294" t="s">
        <v>18</v>
      </c>
      <c r="G3294" t="s">
        <v>418</v>
      </c>
      <c r="J3294" t="s">
        <v>1084</v>
      </c>
      <c r="K3294" t="s">
        <v>602</v>
      </c>
      <c r="L3294" t="s">
        <v>36</v>
      </c>
      <c r="M3294">
        <v>390191</v>
      </c>
      <c r="N3294" t="s">
        <v>614</v>
      </c>
      <c r="O3294" t="s">
        <v>615</v>
      </c>
      <c r="P3294" t="s">
        <v>36</v>
      </c>
    </row>
    <row r="3295" spans="1:16" x14ac:dyDescent="0.25">
      <c r="A3295">
        <v>27809612</v>
      </c>
      <c r="B3295" t="s">
        <v>601</v>
      </c>
      <c r="C3295" s="4">
        <v>44771.16459291667</v>
      </c>
      <c r="E3295" t="s">
        <v>417</v>
      </c>
      <c r="F3295" t="s">
        <v>18</v>
      </c>
      <c r="G3295" t="s">
        <v>418</v>
      </c>
      <c r="J3295" t="s">
        <v>1084</v>
      </c>
      <c r="K3295" t="s">
        <v>602</v>
      </c>
      <c r="L3295" t="s">
        <v>36</v>
      </c>
      <c r="M3295">
        <v>390192</v>
      </c>
      <c r="N3295" t="s">
        <v>614</v>
      </c>
      <c r="O3295" t="s">
        <v>615</v>
      </c>
      <c r="P3295" t="s">
        <v>36</v>
      </c>
    </row>
    <row r="3296" spans="1:16" x14ac:dyDescent="0.25">
      <c r="A3296">
        <v>27809654</v>
      </c>
      <c r="B3296" t="s">
        <v>601</v>
      </c>
      <c r="C3296" s="4">
        <v>44771.165297500003</v>
      </c>
      <c r="E3296" t="s">
        <v>417</v>
      </c>
      <c r="F3296" t="s">
        <v>18</v>
      </c>
      <c r="G3296" t="s">
        <v>418</v>
      </c>
      <c r="J3296" t="s">
        <v>1084</v>
      </c>
      <c r="K3296" t="s">
        <v>602</v>
      </c>
      <c r="L3296" t="s">
        <v>36</v>
      </c>
      <c r="M3296">
        <v>390193</v>
      </c>
      <c r="N3296" t="s">
        <v>614</v>
      </c>
      <c r="O3296" t="s">
        <v>615</v>
      </c>
      <c r="P3296" t="s">
        <v>36</v>
      </c>
    </row>
    <row r="3297" spans="1:16" x14ac:dyDescent="0.25">
      <c r="A3297">
        <v>27809856</v>
      </c>
      <c r="B3297" t="s">
        <v>601</v>
      </c>
      <c r="C3297" s="4">
        <v>44771.167778043979</v>
      </c>
      <c r="E3297" t="s">
        <v>417</v>
      </c>
      <c r="F3297" t="s">
        <v>18</v>
      </c>
      <c r="G3297" t="s">
        <v>418</v>
      </c>
      <c r="J3297" t="s">
        <v>1084</v>
      </c>
      <c r="K3297" t="s">
        <v>602</v>
      </c>
      <c r="L3297" t="s">
        <v>36</v>
      </c>
      <c r="M3297">
        <v>390194</v>
      </c>
      <c r="N3297" t="s">
        <v>614</v>
      </c>
      <c r="O3297" t="s">
        <v>615</v>
      </c>
      <c r="P3297" t="s">
        <v>36</v>
      </c>
    </row>
    <row r="3298" spans="1:16" x14ac:dyDescent="0.25">
      <c r="A3298">
        <v>27809963</v>
      </c>
      <c r="B3298" t="s">
        <v>601</v>
      </c>
      <c r="C3298" s="4">
        <v>44771.168485451388</v>
      </c>
      <c r="E3298" t="s">
        <v>417</v>
      </c>
      <c r="F3298" t="s">
        <v>18</v>
      </c>
      <c r="G3298" t="s">
        <v>418</v>
      </c>
      <c r="J3298" t="s">
        <v>1084</v>
      </c>
      <c r="K3298" t="s">
        <v>602</v>
      </c>
      <c r="L3298" t="s">
        <v>36</v>
      </c>
      <c r="M3298">
        <v>390195</v>
      </c>
      <c r="N3298" t="s">
        <v>614</v>
      </c>
      <c r="O3298" t="s">
        <v>615</v>
      </c>
      <c r="P3298" t="s">
        <v>36</v>
      </c>
    </row>
    <row r="3299" spans="1:16" x14ac:dyDescent="0.25">
      <c r="A3299">
        <v>27810601</v>
      </c>
      <c r="B3299" t="s">
        <v>601</v>
      </c>
      <c r="C3299" s="4">
        <v>44771.178492222221</v>
      </c>
      <c r="E3299" t="s">
        <v>22</v>
      </c>
      <c r="F3299" t="s">
        <v>52</v>
      </c>
      <c r="G3299" t="s">
        <v>328</v>
      </c>
      <c r="J3299" t="s">
        <v>347</v>
      </c>
      <c r="K3299" t="s">
        <v>602</v>
      </c>
      <c r="L3299" t="s">
        <v>36</v>
      </c>
      <c r="M3299">
        <v>390196</v>
      </c>
      <c r="N3299" t="s">
        <v>603</v>
      </c>
      <c r="O3299" t="s">
        <v>604</v>
      </c>
    </row>
    <row r="3300" spans="1:16" x14ac:dyDescent="0.25">
      <c r="A3300">
        <v>27810845</v>
      </c>
      <c r="B3300" t="s">
        <v>601</v>
      </c>
      <c r="C3300" s="4">
        <v>44771.182545023148</v>
      </c>
      <c r="F3300" t="s">
        <v>18</v>
      </c>
      <c r="G3300" t="s">
        <v>418</v>
      </c>
      <c r="J3300" t="s">
        <v>1398</v>
      </c>
      <c r="K3300" t="s">
        <v>602</v>
      </c>
      <c r="L3300" t="s">
        <v>36</v>
      </c>
      <c r="M3300">
        <v>390197</v>
      </c>
      <c r="N3300" t="s">
        <v>2340</v>
      </c>
      <c r="O3300" t="s">
        <v>2341</v>
      </c>
      <c r="P3300" t="s">
        <v>36</v>
      </c>
    </row>
    <row r="3301" spans="1:16" x14ac:dyDescent="0.25">
      <c r="A3301">
        <v>27812239</v>
      </c>
      <c r="B3301" t="s">
        <v>601</v>
      </c>
      <c r="C3301" s="4">
        <v>44771.208461388887</v>
      </c>
      <c r="G3301" t="s">
        <v>605</v>
      </c>
      <c r="K3301" t="s">
        <v>602</v>
      </c>
      <c r="L3301" t="s">
        <v>36</v>
      </c>
      <c r="M3301">
        <v>390198</v>
      </c>
      <c r="N3301" t="s">
        <v>606</v>
      </c>
      <c r="O3301" t="s">
        <v>2342</v>
      </c>
    </row>
    <row r="3302" spans="1:16" x14ac:dyDescent="0.25">
      <c r="A3302">
        <v>27812441</v>
      </c>
      <c r="B3302" t="s">
        <v>601</v>
      </c>
      <c r="C3302" s="4">
        <v>44771.211994930563</v>
      </c>
      <c r="E3302" t="s">
        <v>38</v>
      </c>
      <c r="F3302" t="s">
        <v>23</v>
      </c>
      <c r="G3302" t="s">
        <v>337</v>
      </c>
      <c r="K3302" t="s">
        <v>602</v>
      </c>
      <c r="L3302" t="s">
        <v>21</v>
      </c>
      <c r="M3302">
        <v>390199</v>
      </c>
      <c r="N3302" t="s">
        <v>631</v>
      </c>
      <c r="O3302" t="s">
        <v>632</v>
      </c>
      <c r="P3302" t="s">
        <v>21</v>
      </c>
    </row>
    <row r="3303" spans="1:16" x14ac:dyDescent="0.25">
      <c r="A3303">
        <v>27812491</v>
      </c>
      <c r="B3303" t="s">
        <v>601</v>
      </c>
      <c r="C3303" s="4">
        <v>44771.212493067127</v>
      </c>
      <c r="E3303" t="s">
        <v>38</v>
      </c>
      <c r="F3303" t="s">
        <v>23</v>
      </c>
      <c r="G3303" t="s">
        <v>337</v>
      </c>
      <c r="J3303" t="s">
        <v>853</v>
      </c>
      <c r="K3303" t="s">
        <v>602</v>
      </c>
      <c r="L3303" t="s">
        <v>21</v>
      </c>
      <c r="M3303">
        <v>390200</v>
      </c>
      <c r="N3303" t="s">
        <v>631</v>
      </c>
      <c r="O3303" t="s">
        <v>632</v>
      </c>
      <c r="P3303" t="s">
        <v>21</v>
      </c>
    </row>
    <row r="3304" spans="1:16" x14ac:dyDescent="0.25">
      <c r="A3304">
        <v>27813762</v>
      </c>
      <c r="B3304" t="s">
        <v>601</v>
      </c>
      <c r="C3304" s="4">
        <v>44771.235206481477</v>
      </c>
      <c r="F3304" t="s">
        <v>49</v>
      </c>
      <c r="G3304" t="s">
        <v>132</v>
      </c>
      <c r="J3304" t="s">
        <v>722</v>
      </c>
      <c r="K3304" t="s">
        <v>602</v>
      </c>
      <c r="L3304" t="s">
        <v>36</v>
      </c>
      <c r="M3304">
        <v>390201</v>
      </c>
      <c r="N3304" t="s">
        <v>620</v>
      </c>
      <c r="O3304" t="s">
        <v>621</v>
      </c>
    </row>
    <row r="3305" spans="1:16" x14ac:dyDescent="0.25">
      <c r="A3305">
        <v>27814206</v>
      </c>
      <c r="B3305" t="s">
        <v>601</v>
      </c>
      <c r="C3305" s="4">
        <v>44771.245493113427</v>
      </c>
      <c r="F3305" t="s">
        <v>52</v>
      </c>
      <c r="G3305" t="s">
        <v>134</v>
      </c>
      <c r="J3305" t="s">
        <v>1080</v>
      </c>
      <c r="K3305" t="s">
        <v>602</v>
      </c>
      <c r="L3305" t="s">
        <v>21</v>
      </c>
      <c r="M3305">
        <v>390202</v>
      </c>
      <c r="N3305" t="s">
        <v>611</v>
      </c>
      <c r="O3305" t="s">
        <v>612</v>
      </c>
    </row>
    <row r="3306" spans="1:16" x14ac:dyDescent="0.25">
      <c r="A3306">
        <v>27814544</v>
      </c>
      <c r="B3306" t="s">
        <v>601</v>
      </c>
      <c r="C3306" s="4">
        <v>44771.251552928239</v>
      </c>
      <c r="F3306" t="s">
        <v>52</v>
      </c>
      <c r="G3306" t="s">
        <v>206</v>
      </c>
      <c r="J3306" t="s">
        <v>457</v>
      </c>
      <c r="K3306" t="s">
        <v>602</v>
      </c>
      <c r="L3306" t="s">
        <v>21</v>
      </c>
      <c r="M3306">
        <v>390205</v>
      </c>
      <c r="N3306" t="s">
        <v>611</v>
      </c>
      <c r="O3306" t="s">
        <v>612</v>
      </c>
    </row>
    <row r="3307" spans="1:16" x14ac:dyDescent="0.25">
      <c r="A3307">
        <v>27814929</v>
      </c>
      <c r="B3307" t="s">
        <v>601</v>
      </c>
      <c r="C3307" s="4">
        <v>44771.257481597233</v>
      </c>
      <c r="E3307" t="s">
        <v>72</v>
      </c>
      <c r="F3307" t="s">
        <v>49</v>
      </c>
      <c r="G3307" t="s">
        <v>132</v>
      </c>
      <c r="J3307" t="s">
        <v>765</v>
      </c>
      <c r="K3307" t="s">
        <v>602</v>
      </c>
      <c r="L3307" t="s">
        <v>36</v>
      </c>
      <c r="M3307">
        <v>390206</v>
      </c>
      <c r="N3307" t="s">
        <v>620</v>
      </c>
      <c r="O3307" t="s">
        <v>621</v>
      </c>
    </row>
    <row r="3308" spans="1:16" x14ac:dyDescent="0.25">
      <c r="A3308">
        <v>27814930</v>
      </c>
      <c r="B3308" t="s">
        <v>601</v>
      </c>
      <c r="C3308" s="4">
        <v>44771.257481805558</v>
      </c>
      <c r="E3308" t="s">
        <v>72</v>
      </c>
      <c r="F3308" t="s">
        <v>49</v>
      </c>
      <c r="G3308" t="s">
        <v>132</v>
      </c>
      <c r="J3308" t="s">
        <v>765</v>
      </c>
      <c r="K3308" t="s">
        <v>602</v>
      </c>
      <c r="L3308" t="s">
        <v>36</v>
      </c>
      <c r="M3308">
        <v>390207</v>
      </c>
      <c r="N3308" t="s">
        <v>620</v>
      </c>
      <c r="O3308" t="s">
        <v>621</v>
      </c>
    </row>
    <row r="3309" spans="1:16" x14ac:dyDescent="0.25">
      <c r="A3309">
        <v>27814931</v>
      </c>
      <c r="B3309" t="s">
        <v>601</v>
      </c>
      <c r="C3309" s="4">
        <v>44771.257482002307</v>
      </c>
      <c r="E3309" t="s">
        <v>72</v>
      </c>
      <c r="F3309" t="s">
        <v>49</v>
      </c>
      <c r="G3309" t="s">
        <v>132</v>
      </c>
      <c r="J3309" t="s">
        <v>765</v>
      </c>
      <c r="K3309" t="s">
        <v>602</v>
      </c>
      <c r="L3309" t="s">
        <v>36</v>
      </c>
      <c r="M3309">
        <v>390208</v>
      </c>
      <c r="N3309" t="s">
        <v>620</v>
      </c>
      <c r="O3309" t="s">
        <v>621</v>
      </c>
    </row>
    <row r="3310" spans="1:16" x14ac:dyDescent="0.25">
      <c r="A3310">
        <v>27815012</v>
      </c>
      <c r="B3310" t="s">
        <v>601</v>
      </c>
      <c r="C3310" s="4">
        <v>44771.258878900473</v>
      </c>
      <c r="F3310" t="s">
        <v>23</v>
      </c>
      <c r="G3310" t="s">
        <v>274</v>
      </c>
      <c r="K3310" t="s">
        <v>602</v>
      </c>
      <c r="L3310" t="s">
        <v>21</v>
      </c>
      <c r="M3310">
        <v>390209</v>
      </c>
      <c r="N3310" t="s">
        <v>611</v>
      </c>
      <c r="O3310" t="s">
        <v>612</v>
      </c>
    </row>
    <row r="3311" spans="1:16" x14ac:dyDescent="0.25">
      <c r="A3311">
        <v>27816838</v>
      </c>
      <c r="B3311" t="s">
        <v>601</v>
      </c>
      <c r="C3311" s="4">
        <v>44771.288038854167</v>
      </c>
      <c r="F3311" t="s">
        <v>49</v>
      </c>
      <c r="G3311" t="s">
        <v>132</v>
      </c>
      <c r="J3311" t="s">
        <v>765</v>
      </c>
      <c r="K3311" t="s">
        <v>602</v>
      </c>
      <c r="L3311" t="s">
        <v>36</v>
      </c>
      <c r="M3311">
        <v>390222</v>
      </c>
      <c r="N3311" t="s">
        <v>620</v>
      </c>
      <c r="O3311" t="s">
        <v>621</v>
      </c>
    </row>
    <row r="3312" spans="1:16" x14ac:dyDescent="0.25">
      <c r="A3312">
        <v>27816839</v>
      </c>
      <c r="B3312" t="s">
        <v>601</v>
      </c>
      <c r="C3312" s="4">
        <v>44771.288039039347</v>
      </c>
      <c r="F3312" t="s">
        <v>49</v>
      </c>
      <c r="G3312" t="s">
        <v>132</v>
      </c>
      <c r="J3312" t="s">
        <v>765</v>
      </c>
      <c r="K3312" t="s">
        <v>602</v>
      </c>
      <c r="L3312" t="s">
        <v>36</v>
      </c>
      <c r="M3312">
        <v>390223</v>
      </c>
      <c r="N3312" t="s">
        <v>620</v>
      </c>
      <c r="O3312" t="s">
        <v>621</v>
      </c>
    </row>
    <row r="3313" spans="1:16" x14ac:dyDescent="0.25">
      <c r="A3313">
        <v>27816840</v>
      </c>
      <c r="B3313" t="s">
        <v>601</v>
      </c>
      <c r="C3313" s="4">
        <v>44771.288039293977</v>
      </c>
      <c r="F3313" t="s">
        <v>49</v>
      </c>
      <c r="G3313" t="s">
        <v>132</v>
      </c>
      <c r="J3313" t="s">
        <v>765</v>
      </c>
      <c r="K3313" t="s">
        <v>602</v>
      </c>
      <c r="L3313" t="s">
        <v>36</v>
      </c>
      <c r="M3313">
        <v>390224</v>
      </c>
      <c r="N3313" t="s">
        <v>620</v>
      </c>
      <c r="O3313" t="s">
        <v>621</v>
      </c>
    </row>
    <row r="3314" spans="1:16" x14ac:dyDescent="0.25">
      <c r="A3314">
        <v>27817103</v>
      </c>
      <c r="B3314" t="s">
        <v>601</v>
      </c>
      <c r="C3314" s="4">
        <v>44771.292595104169</v>
      </c>
      <c r="F3314" t="s">
        <v>52</v>
      </c>
      <c r="G3314" t="s">
        <v>69</v>
      </c>
      <c r="J3314" t="s">
        <v>808</v>
      </c>
      <c r="K3314" t="s">
        <v>602</v>
      </c>
      <c r="L3314" t="s">
        <v>21</v>
      </c>
      <c r="M3314">
        <v>390225</v>
      </c>
      <c r="N3314" t="s">
        <v>611</v>
      </c>
      <c r="O3314" t="s">
        <v>612</v>
      </c>
    </row>
    <row r="3315" spans="1:16" x14ac:dyDescent="0.25">
      <c r="A3315">
        <v>27817174</v>
      </c>
      <c r="B3315" t="s">
        <v>601</v>
      </c>
      <c r="C3315" s="4">
        <v>44771.293684155091</v>
      </c>
      <c r="E3315" t="s">
        <v>72</v>
      </c>
      <c r="F3315" t="s">
        <v>49</v>
      </c>
      <c r="G3315" t="s">
        <v>132</v>
      </c>
      <c r="J3315" t="s">
        <v>722</v>
      </c>
      <c r="K3315" t="s">
        <v>602</v>
      </c>
      <c r="L3315" t="s">
        <v>36</v>
      </c>
      <c r="M3315">
        <v>390226</v>
      </c>
      <c r="N3315" t="s">
        <v>620</v>
      </c>
      <c r="O3315" t="s">
        <v>621</v>
      </c>
    </row>
    <row r="3316" spans="1:16" x14ac:dyDescent="0.25">
      <c r="A3316">
        <v>27817540</v>
      </c>
      <c r="B3316" t="s">
        <v>601</v>
      </c>
      <c r="C3316" s="4">
        <v>44771.300632881947</v>
      </c>
      <c r="G3316" t="s">
        <v>2343</v>
      </c>
      <c r="K3316" t="s">
        <v>602</v>
      </c>
      <c r="L3316" t="s">
        <v>36</v>
      </c>
      <c r="M3316">
        <v>390227</v>
      </c>
      <c r="N3316" t="s">
        <v>606</v>
      </c>
      <c r="O3316" t="s">
        <v>2344</v>
      </c>
    </row>
    <row r="3317" spans="1:16" x14ac:dyDescent="0.25">
      <c r="A3317">
        <v>27817657</v>
      </c>
      <c r="B3317" t="s">
        <v>601</v>
      </c>
      <c r="C3317" s="4">
        <v>44771.302621273149</v>
      </c>
      <c r="E3317" t="s">
        <v>72</v>
      </c>
      <c r="F3317" t="s">
        <v>49</v>
      </c>
      <c r="G3317" t="s">
        <v>132</v>
      </c>
      <c r="J3317" t="s">
        <v>722</v>
      </c>
      <c r="K3317" t="s">
        <v>602</v>
      </c>
      <c r="L3317" t="s">
        <v>36</v>
      </c>
      <c r="M3317">
        <v>390228</v>
      </c>
      <c r="N3317" t="s">
        <v>620</v>
      </c>
      <c r="O3317" t="s">
        <v>621</v>
      </c>
    </row>
    <row r="3318" spans="1:16" x14ac:dyDescent="0.25">
      <c r="A3318">
        <v>27817658</v>
      </c>
      <c r="B3318" t="s">
        <v>601</v>
      </c>
      <c r="C3318" s="4">
        <v>44771.302621446761</v>
      </c>
      <c r="E3318" t="s">
        <v>72</v>
      </c>
      <c r="F3318" t="s">
        <v>49</v>
      </c>
      <c r="G3318" t="s">
        <v>132</v>
      </c>
      <c r="J3318" t="s">
        <v>722</v>
      </c>
      <c r="K3318" t="s">
        <v>602</v>
      </c>
      <c r="L3318" t="s">
        <v>36</v>
      </c>
      <c r="M3318">
        <v>390229</v>
      </c>
      <c r="N3318" t="s">
        <v>620</v>
      </c>
      <c r="O3318" t="s">
        <v>621</v>
      </c>
    </row>
    <row r="3319" spans="1:16" x14ac:dyDescent="0.25">
      <c r="A3319">
        <v>27817659</v>
      </c>
      <c r="B3319" t="s">
        <v>601</v>
      </c>
      <c r="C3319" s="4">
        <v>44771.302621689807</v>
      </c>
      <c r="E3319" t="s">
        <v>72</v>
      </c>
      <c r="F3319" t="s">
        <v>49</v>
      </c>
      <c r="G3319" t="s">
        <v>132</v>
      </c>
      <c r="J3319" t="s">
        <v>722</v>
      </c>
      <c r="K3319" t="s">
        <v>602</v>
      </c>
      <c r="L3319" t="s">
        <v>36</v>
      </c>
      <c r="M3319">
        <v>390230</v>
      </c>
      <c r="N3319" t="s">
        <v>620</v>
      </c>
      <c r="O3319" t="s">
        <v>621</v>
      </c>
    </row>
    <row r="3320" spans="1:16" x14ac:dyDescent="0.25">
      <c r="A3320">
        <v>27818137</v>
      </c>
      <c r="B3320" t="s">
        <v>601</v>
      </c>
      <c r="C3320" s="4">
        <v>44771.312641620367</v>
      </c>
      <c r="F3320" t="s">
        <v>49</v>
      </c>
      <c r="G3320" t="s">
        <v>132</v>
      </c>
      <c r="J3320" t="s">
        <v>439</v>
      </c>
      <c r="K3320" t="s">
        <v>602</v>
      </c>
      <c r="L3320" t="s">
        <v>36</v>
      </c>
      <c r="M3320">
        <v>390232</v>
      </c>
      <c r="N3320" t="s">
        <v>620</v>
      </c>
      <c r="O3320" t="s">
        <v>621</v>
      </c>
    </row>
    <row r="3321" spans="1:16" x14ac:dyDescent="0.25">
      <c r="A3321">
        <v>27818113</v>
      </c>
      <c r="B3321" t="s">
        <v>601</v>
      </c>
      <c r="C3321" s="4">
        <v>44771.312026793981</v>
      </c>
      <c r="E3321" t="s">
        <v>38</v>
      </c>
      <c r="F3321" t="s">
        <v>52</v>
      </c>
      <c r="G3321" t="s">
        <v>145</v>
      </c>
      <c r="J3321" t="s">
        <v>1230</v>
      </c>
      <c r="K3321" t="s">
        <v>602</v>
      </c>
      <c r="L3321" t="s">
        <v>21</v>
      </c>
      <c r="M3321">
        <v>390231</v>
      </c>
      <c r="N3321" t="s">
        <v>2345</v>
      </c>
      <c r="O3321" t="s">
        <v>2346</v>
      </c>
      <c r="P3321" t="s">
        <v>21</v>
      </c>
    </row>
    <row r="3322" spans="1:16" x14ac:dyDescent="0.25">
      <c r="A3322">
        <v>27818145</v>
      </c>
      <c r="B3322" t="s">
        <v>601</v>
      </c>
      <c r="C3322" s="4">
        <v>44771.312721944443</v>
      </c>
      <c r="E3322" t="s">
        <v>268</v>
      </c>
      <c r="F3322" t="s">
        <v>49</v>
      </c>
      <c r="G3322" t="s">
        <v>132</v>
      </c>
      <c r="J3322" t="s">
        <v>269</v>
      </c>
      <c r="K3322" t="s">
        <v>602</v>
      </c>
      <c r="L3322" t="s">
        <v>21</v>
      </c>
      <c r="M3322">
        <v>390233</v>
      </c>
      <c r="N3322" t="s">
        <v>607</v>
      </c>
      <c r="O3322" t="s">
        <v>608</v>
      </c>
      <c r="P3322" t="s">
        <v>21</v>
      </c>
    </row>
    <row r="3323" spans="1:16" x14ac:dyDescent="0.25">
      <c r="A3323">
        <v>27818218</v>
      </c>
      <c r="B3323" t="s">
        <v>601</v>
      </c>
      <c r="C3323" s="4">
        <v>44771.313859652779</v>
      </c>
      <c r="F3323" t="s">
        <v>49</v>
      </c>
      <c r="G3323" t="s">
        <v>132</v>
      </c>
      <c r="J3323" t="s">
        <v>439</v>
      </c>
      <c r="K3323" t="s">
        <v>602</v>
      </c>
      <c r="L3323" t="s">
        <v>36</v>
      </c>
      <c r="M3323">
        <v>390234</v>
      </c>
      <c r="N3323" t="s">
        <v>620</v>
      </c>
      <c r="O3323" t="s">
        <v>621</v>
      </c>
    </row>
    <row r="3324" spans="1:16" x14ac:dyDescent="0.25">
      <c r="A3324">
        <v>27818230</v>
      </c>
      <c r="B3324" t="s">
        <v>601</v>
      </c>
      <c r="C3324" s="4">
        <v>44771.314063807869</v>
      </c>
      <c r="F3324" t="s">
        <v>18</v>
      </c>
      <c r="G3324" t="s">
        <v>228</v>
      </c>
      <c r="K3324" t="s">
        <v>602</v>
      </c>
      <c r="L3324" t="s">
        <v>36</v>
      </c>
      <c r="M3324">
        <v>-1</v>
      </c>
      <c r="N3324" t="s">
        <v>603</v>
      </c>
      <c r="O3324" t="s">
        <v>604</v>
      </c>
    </row>
    <row r="3325" spans="1:16" x14ac:dyDescent="0.25">
      <c r="A3325">
        <v>27818561</v>
      </c>
      <c r="B3325" t="s">
        <v>601</v>
      </c>
      <c r="C3325" s="4">
        <v>44771.319498923607</v>
      </c>
      <c r="E3325" t="s">
        <v>379</v>
      </c>
      <c r="F3325" t="s">
        <v>31</v>
      </c>
      <c r="G3325" t="s">
        <v>112</v>
      </c>
      <c r="J3325" t="s">
        <v>1664</v>
      </c>
      <c r="K3325" t="s">
        <v>602</v>
      </c>
      <c r="L3325" t="s">
        <v>21</v>
      </c>
      <c r="M3325">
        <v>390235</v>
      </c>
      <c r="N3325" t="s">
        <v>611</v>
      </c>
      <c r="O3325" t="s">
        <v>612</v>
      </c>
    </row>
    <row r="3326" spans="1:16" x14ac:dyDescent="0.25">
      <c r="A3326">
        <v>27819109</v>
      </c>
      <c r="B3326" t="s">
        <v>601</v>
      </c>
      <c r="C3326" s="4">
        <v>44771.330279872687</v>
      </c>
      <c r="F3326" t="s">
        <v>23</v>
      </c>
      <c r="G3326" t="s">
        <v>149</v>
      </c>
      <c r="J3326" t="s">
        <v>331</v>
      </c>
      <c r="K3326" t="s">
        <v>602</v>
      </c>
      <c r="L3326" t="s">
        <v>21</v>
      </c>
      <c r="M3326">
        <v>390236</v>
      </c>
      <c r="N3326" t="s">
        <v>611</v>
      </c>
      <c r="O3326" t="s">
        <v>612</v>
      </c>
    </row>
    <row r="3327" spans="1:16" x14ac:dyDescent="0.25">
      <c r="A3327">
        <v>27819220</v>
      </c>
      <c r="B3327" t="s">
        <v>601</v>
      </c>
      <c r="C3327" s="4">
        <v>44771.333144456017</v>
      </c>
      <c r="E3327" t="s">
        <v>62</v>
      </c>
      <c r="F3327" t="s">
        <v>18</v>
      </c>
      <c r="G3327" t="s">
        <v>83</v>
      </c>
      <c r="J3327" t="s">
        <v>1261</v>
      </c>
      <c r="K3327" t="s">
        <v>602</v>
      </c>
      <c r="L3327" t="s">
        <v>21</v>
      </c>
      <c r="M3327">
        <v>390237</v>
      </c>
      <c r="N3327" t="s">
        <v>609</v>
      </c>
      <c r="O3327" t="s">
        <v>610</v>
      </c>
      <c r="P3327" t="s">
        <v>21</v>
      </c>
    </row>
    <row r="3328" spans="1:16" x14ac:dyDescent="0.25">
      <c r="A3328">
        <v>27820112</v>
      </c>
      <c r="B3328" t="s">
        <v>601</v>
      </c>
      <c r="C3328" s="4">
        <v>44771.352987881954</v>
      </c>
      <c r="F3328" t="s">
        <v>49</v>
      </c>
      <c r="G3328" t="s">
        <v>213</v>
      </c>
      <c r="J3328" t="s">
        <v>1580</v>
      </c>
      <c r="K3328" t="s">
        <v>602</v>
      </c>
      <c r="L3328" t="s">
        <v>21</v>
      </c>
      <c r="M3328">
        <v>390238</v>
      </c>
      <c r="N3328" t="s">
        <v>611</v>
      </c>
      <c r="O3328" t="s">
        <v>612</v>
      </c>
    </row>
    <row r="3329" spans="1:16" x14ac:dyDescent="0.25">
      <c r="A3329">
        <v>27820205</v>
      </c>
      <c r="B3329" t="s">
        <v>601</v>
      </c>
      <c r="C3329" s="4">
        <v>44771.354633923613</v>
      </c>
      <c r="E3329" t="s">
        <v>38</v>
      </c>
      <c r="F3329" t="s">
        <v>55</v>
      </c>
      <c r="G3329" t="s">
        <v>422</v>
      </c>
      <c r="K3329" t="s">
        <v>602</v>
      </c>
      <c r="L3329" t="s">
        <v>36</v>
      </c>
      <c r="M3329">
        <v>390239</v>
      </c>
      <c r="N3329" t="s">
        <v>603</v>
      </c>
      <c r="O3329" t="s">
        <v>604</v>
      </c>
    </row>
    <row r="3330" spans="1:16" x14ac:dyDescent="0.25">
      <c r="A3330">
        <v>27820487</v>
      </c>
      <c r="B3330" t="s">
        <v>601</v>
      </c>
      <c r="C3330" s="4">
        <v>44771.359068287027</v>
      </c>
      <c r="E3330" t="s">
        <v>38</v>
      </c>
      <c r="F3330" t="s">
        <v>31</v>
      </c>
      <c r="G3330" t="s">
        <v>39</v>
      </c>
      <c r="J3330" t="s">
        <v>1311</v>
      </c>
      <c r="K3330" t="s">
        <v>602</v>
      </c>
      <c r="L3330" t="s">
        <v>21</v>
      </c>
      <c r="M3330">
        <v>390240</v>
      </c>
      <c r="N3330" t="s">
        <v>607</v>
      </c>
      <c r="O3330" t="s">
        <v>608</v>
      </c>
      <c r="P3330" t="s">
        <v>21</v>
      </c>
    </row>
    <row r="3331" spans="1:16" x14ac:dyDescent="0.25">
      <c r="A3331">
        <v>27820662</v>
      </c>
      <c r="B3331" t="s">
        <v>601</v>
      </c>
      <c r="C3331" s="4">
        <v>44771.362109270827</v>
      </c>
      <c r="F3331" t="s">
        <v>23</v>
      </c>
      <c r="G3331" t="s">
        <v>149</v>
      </c>
      <c r="J3331" t="s">
        <v>331</v>
      </c>
      <c r="K3331" t="s">
        <v>602</v>
      </c>
      <c r="L3331" t="s">
        <v>21</v>
      </c>
      <c r="M3331">
        <v>390241</v>
      </c>
      <c r="N3331" t="s">
        <v>611</v>
      </c>
      <c r="O3331" t="s">
        <v>612</v>
      </c>
    </row>
    <row r="3332" spans="1:16" x14ac:dyDescent="0.25">
      <c r="A3332">
        <v>27820683</v>
      </c>
      <c r="B3332" t="s">
        <v>601</v>
      </c>
      <c r="C3332" s="4">
        <v>44771.362618483799</v>
      </c>
      <c r="F3332" t="s">
        <v>55</v>
      </c>
      <c r="G3332" t="s">
        <v>412</v>
      </c>
      <c r="J3332" t="s">
        <v>438</v>
      </c>
      <c r="K3332" t="s">
        <v>602</v>
      </c>
      <c r="L3332" t="s">
        <v>21</v>
      </c>
      <c r="M3332">
        <v>390242</v>
      </c>
      <c r="N3332" t="s">
        <v>611</v>
      </c>
      <c r="O3332" t="s">
        <v>612</v>
      </c>
    </row>
    <row r="3333" spans="1:16" x14ac:dyDescent="0.25">
      <c r="A3333">
        <v>27820829</v>
      </c>
      <c r="B3333" t="s">
        <v>601</v>
      </c>
      <c r="C3333" s="4">
        <v>44771.36582136574</v>
      </c>
      <c r="F3333" t="s">
        <v>18</v>
      </c>
      <c r="G3333" t="s">
        <v>405</v>
      </c>
      <c r="K3333" t="s">
        <v>602</v>
      </c>
      <c r="L3333" t="s">
        <v>36</v>
      </c>
      <c r="M3333">
        <v>390244</v>
      </c>
      <c r="N3333" t="s">
        <v>620</v>
      </c>
      <c r="O3333" t="s">
        <v>637</v>
      </c>
    </row>
    <row r="3334" spans="1:16" x14ac:dyDescent="0.25">
      <c r="A3334">
        <v>27820822</v>
      </c>
      <c r="B3334" t="s">
        <v>601</v>
      </c>
      <c r="C3334" s="4">
        <v>44771.365818171304</v>
      </c>
      <c r="E3334" t="s">
        <v>22</v>
      </c>
      <c r="F3334" t="s">
        <v>18</v>
      </c>
      <c r="G3334" t="s">
        <v>405</v>
      </c>
      <c r="K3334" t="s">
        <v>602</v>
      </c>
      <c r="L3334" t="s">
        <v>36</v>
      </c>
      <c r="M3334">
        <v>390243</v>
      </c>
      <c r="N3334" t="s">
        <v>603</v>
      </c>
      <c r="O3334" t="s">
        <v>604</v>
      </c>
    </row>
    <row r="3335" spans="1:16" x14ac:dyDescent="0.25">
      <c r="A3335">
        <v>27820830</v>
      </c>
      <c r="B3335" t="s">
        <v>601</v>
      </c>
      <c r="C3335" s="4">
        <v>44771.365821504631</v>
      </c>
      <c r="F3335" t="s">
        <v>18</v>
      </c>
      <c r="G3335" t="s">
        <v>405</v>
      </c>
      <c r="K3335" t="s">
        <v>602</v>
      </c>
      <c r="L3335" t="s">
        <v>36</v>
      </c>
      <c r="M3335">
        <v>390245</v>
      </c>
      <c r="N3335" t="s">
        <v>620</v>
      </c>
      <c r="O3335" t="s">
        <v>638</v>
      </c>
    </row>
    <row r="3336" spans="1:16" x14ac:dyDescent="0.25">
      <c r="A3336">
        <v>27820831</v>
      </c>
      <c r="B3336" t="s">
        <v>601</v>
      </c>
      <c r="C3336" s="4">
        <v>44771.365821643521</v>
      </c>
      <c r="F3336" t="s">
        <v>18</v>
      </c>
      <c r="G3336" t="s">
        <v>405</v>
      </c>
      <c r="K3336" t="s">
        <v>602</v>
      </c>
      <c r="L3336" t="s">
        <v>36</v>
      </c>
      <c r="M3336">
        <v>390246</v>
      </c>
      <c r="N3336" t="s">
        <v>620</v>
      </c>
      <c r="O3336" t="s">
        <v>639</v>
      </c>
    </row>
    <row r="3337" spans="1:16" x14ac:dyDescent="0.25">
      <c r="A3337">
        <v>27820832</v>
      </c>
      <c r="B3337" t="s">
        <v>601</v>
      </c>
      <c r="C3337" s="4">
        <v>44771.365821793981</v>
      </c>
      <c r="F3337" t="s">
        <v>18</v>
      </c>
      <c r="G3337" t="s">
        <v>405</v>
      </c>
      <c r="K3337" t="s">
        <v>602</v>
      </c>
      <c r="L3337" t="s">
        <v>36</v>
      </c>
      <c r="M3337">
        <v>390247</v>
      </c>
      <c r="N3337" t="s">
        <v>620</v>
      </c>
      <c r="O3337" t="s">
        <v>640</v>
      </c>
    </row>
    <row r="3338" spans="1:16" x14ac:dyDescent="0.25">
      <c r="A3338">
        <v>27820833</v>
      </c>
      <c r="B3338" t="s">
        <v>601</v>
      </c>
      <c r="C3338" s="4">
        <v>44771.365821944448</v>
      </c>
      <c r="F3338" t="s">
        <v>18</v>
      </c>
      <c r="G3338" t="s">
        <v>405</v>
      </c>
      <c r="K3338" t="s">
        <v>602</v>
      </c>
      <c r="L3338" t="s">
        <v>36</v>
      </c>
      <c r="M3338">
        <v>390248</v>
      </c>
      <c r="N3338" t="s">
        <v>620</v>
      </c>
      <c r="O3338" t="s">
        <v>641</v>
      </c>
    </row>
    <row r="3339" spans="1:16" x14ac:dyDescent="0.25">
      <c r="A3339">
        <v>27820834</v>
      </c>
      <c r="B3339" t="s">
        <v>601</v>
      </c>
      <c r="C3339" s="4">
        <v>44771.365822094907</v>
      </c>
      <c r="F3339" t="s">
        <v>18</v>
      </c>
      <c r="G3339" t="s">
        <v>405</v>
      </c>
      <c r="K3339" t="s">
        <v>602</v>
      </c>
      <c r="L3339" t="s">
        <v>36</v>
      </c>
      <c r="M3339">
        <v>390249</v>
      </c>
      <c r="N3339" t="s">
        <v>620</v>
      </c>
      <c r="O3339" t="s">
        <v>642</v>
      </c>
    </row>
    <row r="3340" spans="1:16" x14ac:dyDescent="0.25">
      <c r="A3340">
        <v>27821425</v>
      </c>
      <c r="B3340" t="s">
        <v>601</v>
      </c>
      <c r="C3340" s="4">
        <v>44771.378104027783</v>
      </c>
      <c r="F3340" t="s">
        <v>55</v>
      </c>
      <c r="G3340" t="s">
        <v>412</v>
      </c>
      <c r="J3340" t="s">
        <v>438</v>
      </c>
      <c r="K3340" t="s">
        <v>602</v>
      </c>
      <c r="L3340" t="s">
        <v>21</v>
      </c>
      <c r="M3340">
        <v>390250</v>
      </c>
      <c r="N3340" t="s">
        <v>611</v>
      </c>
      <c r="O3340" t="s">
        <v>612</v>
      </c>
    </row>
    <row r="3341" spans="1:16" x14ac:dyDescent="0.25">
      <c r="A3341">
        <v>27821511</v>
      </c>
      <c r="B3341" t="s">
        <v>601</v>
      </c>
      <c r="C3341" s="4">
        <v>44771.37996677083</v>
      </c>
      <c r="E3341" t="s">
        <v>387</v>
      </c>
      <c r="F3341" t="s">
        <v>18</v>
      </c>
      <c r="G3341" t="s">
        <v>124</v>
      </c>
      <c r="J3341" t="s">
        <v>1359</v>
      </c>
      <c r="K3341" t="s">
        <v>602</v>
      </c>
      <c r="L3341" t="s">
        <v>21</v>
      </c>
      <c r="M3341">
        <v>390251</v>
      </c>
      <c r="N3341" t="s">
        <v>607</v>
      </c>
      <c r="O3341" t="s">
        <v>608</v>
      </c>
      <c r="P3341" t="s">
        <v>21</v>
      </c>
    </row>
    <row r="3342" spans="1:16" x14ac:dyDescent="0.25">
      <c r="A3342">
        <v>27821567</v>
      </c>
      <c r="B3342" t="s">
        <v>601</v>
      </c>
      <c r="C3342" s="4">
        <v>44771.381143854167</v>
      </c>
      <c r="E3342" t="s">
        <v>387</v>
      </c>
      <c r="F3342" t="s">
        <v>18</v>
      </c>
      <c r="G3342" t="s">
        <v>333</v>
      </c>
      <c r="J3342" t="s">
        <v>1363</v>
      </c>
      <c r="K3342" t="s">
        <v>602</v>
      </c>
      <c r="L3342" t="s">
        <v>21</v>
      </c>
      <c r="M3342">
        <v>390252</v>
      </c>
      <c r="N3342" t="s">
        <v>607</v>
      </c>
      <c r="O3342" t="s">
        <v>608</v>
      </c>
      <c r="P3342" t="s">
        <v>21</v>
      </c>
    </row>
    <row r="3343" spans="1:16" x14ac:dyDescent="0.25">
      <c r="A3343">
        <v>27821581</v>
      </c>
      <c r="B3343" t="s">
        <v>601</v>
      </c>
      <c r="C3343" s="4">
        <v>44771.381411435177</v>
      </c>
      <c r="E3343" t="s">
        <v>387</v>
      </c>
      <c r="F3343" t="s">
        <v>18</v>
      </c>
      <c r="G3343" t="s">
        <v>124</v>
      </c>
      <c r="J3343" t="s">
        <v>1359</v>
      </c>
      <c r="K3343" t="s">
        <v>602</v>
      </c>
      <c r="L3343" t="s">
        <v>21</v>
      </c>
      <c r="M3343">
        <v>390253</v>
      </c>
      <c r="N3343" t="s">
        <v>607</v>
      </c>
      <c r="O3343" t="s">
        <v>608</v>
      </c>
      <c r="P3343" t="s">
        <v>21</v>
      </c>
    </row>
    <row r="3344" spans="1:16" x14ac:dyDescent="0.25">
      <c r="A3344">
        <v>27821609</v>
      </c>
      <c r="B3344" t="s">
        <v>601</v>
      </c>
      <c r="C3344" s="4">
        <v>44771.382121354167</v>
      </c>
      <c r="G3344" t="s">
        <v>402</v>
      </c>
      <c r="K3344" t="s">
        <v>602</v>
      </c>
      <c r="L3344" t="s">
        <v>36</v>
      </c>
      <c r="M3344">
        <v>390254</v>
      </c>
      <c r="N3344" t="s">
        <v>606</v>
      </c>
      <c r="O3344" t="s">
        <v>2347</v>
      </c>
    </row>
    <row r="3345" spans="1:16" x14ac:dyDescent="0.25">
      <c r="A3345">
        <v>27821630</v>
      </c>
      <c r="B3345" t="s">
        <v>601</v>
      </c>
      <c r="C3345" s="4">
        <v>44771.382594097216</v>
      </c>
      <c r="E3345" t="s">
        <v>387</v>
      </c>
      <c r="F3345" t="s">
        <v>18</v>
      </c>
      <c r="G3345" t="s">
        <v>124</v>
      </c>
      <c r="J3345" t="s">
        <v>1359</v>
      </c>
      <c r="K3345" t="s">
        <v>602</v>
      </c>
      <c r="L3345" t="s">
        <v>21</v>
      </c>
      <c r="M3345">
        <v>390255</v>
      </c>
      <c r="N3345" t="s">
        <v>607</v>
      </c>
      <c r="O3345" t="s">
        <v>608</v>
      </c>
      <c r="P3345" t="s">
        <v>21</v>
      </c>
    </row>
    <row r="3346" spans="1:16" x14ac:dyDescent="0.25">
      <c r="A3346">
        <v>27822115</v>
      </c>
      <c r="B3346" t="s">
        <v>601</v>
      </c>
      <c r="C3346" s="4">
        <v>44771.395607129627</v>
      </c>
      <c r="F3346" t="s">
        <v>18</v>
      </c>
      <c r="G3346" t="s">
        <v>228</v>
      </c>
      <c r="K3346" t="s">
        <v>602</v>
      </c>
      <c r="L3346" t="s">
        <v>36</v>
      </c>
      <c r="M3346">
        <v>-1</v>
      </c>
      <c r="N3346" t="s">
        <v>603</v>
      </c>
      <c r="O3346" t="s">
        <v>604</v>
      </c>
    </row>
    <row r="3347" spans="1:16" x14ac:dyDescent="0.25">
      <c r="A3347">
        <v>27822298</v>
      </c>
      <c r="B3347" t="s">
        <v>601</v>
      </c>
      <c r="C3347" s="4">
        <v>44771.399138194443</v>
      </c>
      <c r="F3347" t="s">
        <v>18</v>
      </c>
      <c r="G3347" t="s">
        <v>228</v>
      </c>
      <c r="K3347" t="s">
        <v>602</v>
      </c>
      <c r="L3347" t="s">
        <v>36</v>
      </c>
      <c r="M3347">
        <v>-1</v>
      </c>
      <c r="N3347" t="s">
        <v>603</v>
      </c>
      <c r="O3347" t="s">
        <v>604</v>
      </c>
    </row>
    <row r="3348" spans="1:16" x14ac:dyDescent="0.25">
      <c r="A3348">
        <v>27822474</v>
      </c>
      <c r="B3348" t="s">
        <v>601</v>
      </c>
      <c r="C3348" s="4">
        <v>44771.403816192127</v>
      </c>
      <c r="E3348" t="s">
        <v>27</v>
      </c>
      <c r="F3348" t="s">
        <v>18</v>
      </c>
      <c r="G3348" t="s">
        <v>265</v>
      </c>
      <c r="J3348" t="s">
        <v>298</v>
      </c>
      <c r="K3348" t="s">
        <v>602</v>
      </c>
      <c r="L3348" t="s">
        <v>21</v>
      </c>
      <c r="M3348">
        <v>390256</v>
      </c>
      <c r="N3348" t="s">
        <v>607</v>
      </c>
      <c r="O3348" t="s">
        <v>608</v>
      </c>
      <c r="P3348" t="s">
        <v>21</v>
      </c>
    </row>
    <row r="3349" spans="1:16" x14ac:dyDescent="0.25">
      <c r="A3349">
        <v>27822482</v>
      </c>
      <c r="B3349" t="s">
        <v>601</v>
      </c>
      <c r="C3349" s="4">
        <v>44771.403883287043</v>
      </c>
      <c r="E3349" t="s">
        <v>27</v>
      </c>
      <c r="F3349" t="s">
        <v>18</v>
      </c>
      <c r="G3349" t="s">
        <v>265</v>
      </c>
      <c r="J3349" t="s">
        <v>298</v>
      </c>
      <c r="K3349" t="s">
        <v>602</v>
      </c>
      <c r="L3349" t="s">
        <v>21</v>
      </c>
      <c r="M3349">
        <v>390257</v>
      </c>
      <c r="N3349" t="s">
        <v>607</v>
      </c>
      <c r="O3349" t="s">
        <v>608</v>
      </c>
      <c r="P3349" t="s">
        <v>21</v>
      </c>
    </row>
    <row r="3350" spans="1:16" x14ac:dyDescent="0.25">
      <c r="A3350">
        <v>27823089</v>
      </c>
      <c r="B3350" t="s">
        <v>601</v>
      </c>
      <c r="C3350" s="4">
        <v>44771.419875219908</v>
      </c>
      <c r="E3350" t="s">
        <v>387</v>
      </c>
      <c r="F3350" t="s">
        <v>18</v>
      </c>
      <c r="G3350" t="s">
        <v>262</v>
      </c>
      <c r="J3350" t="s">
        <v>1408</v>
      </c>
      <c r="K3350" t="s">
        <v>602</v>
      </c>
      <c r="L3350" t="s">
        <v>21</v>
      </c>
      <c r="M3350">
        <v>390258</v>
      </c>
      <c r="N3350" t="s">
        <v>607</v>
      </c>
      <c r="O3350" t="s">
        <v>608</v>
      </c>
      <c r="P3350" t="s">
        <v>21</v>
      </c>
    </row>
    <row r="3351" spans="1:16" x14ac:dyDescent="0.25">
      <c r="A3351">
        <v>27823099</v>
      </c>
      <c r="B3351" t="s">
        <v>601</v>
      </c>
      <c r="C3351" s="4">
        <v>44771.420044282408</v>
      </c>
      <c r="E3351" t="s">
        <v>387</v>
      </c>
      <c r="F3351" t="s">
        <v>18</v>
      </c>
      <c r="G3351" t="s">
        <v>262</v>
      </c>
      <c r="J3351" t="s">
        <v>1408</v>
      </c>
      <c r="K3351" t="s">
        <v>602</v>
      </c>
      <c r="L3351" t="s">
        <v>21</v>
      </c>
      <c r="M3351">
        <v>390259</v>
      </c>
      <c r="N3351" t="s">
        <v>607</v>
      </c>
      <c r="O3351" t="s">
        <v>608</v>
      </c>
      <c r="P3351" t="s">
        <v>21</v>
      </c>
    </row>
    <row r="3352" spans="1:16" x14ac:dyDescent="0.25">
      <c r="A3352">
        <v>27823108</v>
      </c>
      <c r="B3352" t="s">
        <v>601</v>
      </c>
      <c r="C3352" s="4">
        <v>44771.420143194453</v>
      </c>
      <c r="E3352" t="s">
        <v>387</v>
      </c>
      <c r="F3352" t="s">
        <v>18</v>
      </c>
      <c r="G3352" t="s">
        <v>262</v>
      </c>
      <c r="J3352" t="s">
        <v>1408</v>
      </c>
      <c r="K3352" t="s">
        <v>602</v>
      </c>
      <c r="L3352" t="s">
        <v>21</v>
      </c>
      <c r="M3352">
        <v>390260</v>
      </c>
      <c r="N3352" t="s">
        <v>607</v>
      </c>
      <c r="O3352" t="s">
        <v>608</v>
      </c>
      <c r="P3352" t="s">
        <v>21</v>
      </c>
    </row>
    <row r="3353" spans="1:16" x14ac:dyDescent="0.25">
      <c r="A3353">
        <v>27823128</v>
      </c>
      <c r="B3353" t="s">
        <v>601</v>
      </c>
      <c r="C3353" s="4">
        <v>44771.420493865742</v>
      </c>
      <c r="F3353" t="s">
        <v>18</v>
      </c>
      <c r="G3353" t="s">
        <v>228</v>
      </c>
      <c r="K3353" t="s">
        <v>602</v>
      </c>
      <c r="L3353" t="s">
        <v>36</v>
      </c>
      <c r="M3353">
        <v>-1</v>
      </c>
      <c r="N3353" t="s">
        <v>603</v>
      </c>
      <c r="O3353" t="s">
        <v>604</v>
      </c>
    </row>
    <row r="3354" spans="1:16" x14ac:dyDescent="0.25">
      <c r="A3354">
        <v>27823169</v>
      </c>
      <c r="B3354" t="s">
        <v>601</v>
      </c>
      <c r="C3354" s="4">
        <v>44771.422319606478</v>
      </c>
      <c r="E3354" t="s">
        <v>268</v>
      </c>
      <c r="F3354" t="s">
        <v>49</v>
      </c>
      <c r="G3354" t="s">
        <v>74</v>
      </c>
      <c r="J3354" t="s">
        <v>1410</v>
      </c>
      <c r="K3354" t="s">
        <v>602</v>
      </c>
      <c r="L3354" t="s">
        <v>36</v>
      </c>
      <c r="M3354">
        <v>390261</v>
      </c>
      <c r="N3354" t="s">
        <v>603</v>
      </c>
      <c r="O3354" t="s">
        <v>604</v>
      </c>
    </row>
    <row r="3355" spans="1:16" x14ac:dyDescent="0.25">
      <c r="A3355">
        <v>27823224</v>
      </c>
      <c r="B3355" t="s">
        <v>601</v>
      </c>
      <c r="C3355" s="4">
        <v>44771.423865219913</v>
      </c>
      <c r="F3355" t="s">
        <v>18</v>
      </c>
      <c r="G3355" t="s">
        <v>228</v>
      </c>
      <c r="K3355" t="s">
        <v>602</v>
      </c>
      <c r="L3355" t="s">
        <v>36</v>
      </c>
      <c r="M3355">
        <v>-1</v>
      </c>
      <c r="N3355" t="s">
        <v>603</v>
      </c>
      <c r="O3355" t="s">
        <v>604</v>
      </c>
    </row>
    <row r="3356" spans="1:16" x14ac:dyDescent="0.25">
      <c r="A3356">
        <v>27823437</v>
      </c>
      <c r="B3356" t="s">
        <v>601</v>
      </c>
      <c r="C3356" s="4">
        <v>44771.429936909721</v>
      </c>
      <c r="F3356" t="s">
        <v>18</v>
      </c>
      <c r="G3356" t="s">
        <v>228</v>
      </c>
      <c r="K3356" t="s">
        <v>602</v>
      </c>
      <c r="L3356" t="s">
        <v>36</v>
      </c>
      <c r="M3356">
        <v>-1</v>
      </c>
      <c r="N3356" t="s">
        <v>603</v>
      </c>
      <c r="O3356" t="s">
        <v>604</v>
      </c>
    </row>
    <row r="3357" spans="1:16" x14ac:dyDescent="0.25">
      <c r="A3357">
        <v>27823556</v>
      </c>
      <c r="B3357" t="s">
        <v>601</v>
      </c>
      <c r="C3357" s="4">
        <v>44771.43306797454</v>
      </c>
      <c r="F3357" t="s">
        <v>18</v>
      </c>
      <c r="G3357" t="s">
        <v>228</v>
      </c>
      <c r="K3357" t="s">
        <v>602</v>
      </c>
      <c r="L3357" t="s">
        <v>36</v>
      </c>
      <c r="M3357">
        <v>-1</v>
      </c>
      <c r="N3357" t="s">
        <v>603</v>
      </c>
      <c r="O3357" t="s">
        <v>604</v>
      </c>
    </row>
    <row r="3358" spans="1:16" x14ac:dyDescent="0.25">
      <c r="A3358">
        <v>27823568</v>
      </c>
      <c r="B3358" t="s">
        <v>601</v>
      </c>
      <c r="C3358" s="4">
        <v>44771.433197314807</v>
      </c>
      <c r="F3358" t="s">
        <v>18</v>
      </c>
      <c r="G3358" t="s">
        <v>418</v>
      </c>
      <c r="J3358" t="s">
        <v>547</v>
      </c>
      <c r="K3358" t="s">
        <v>602</v>
      </c>
      <c r="L3358" t="s">
        <v>36</v>
      </c>
      <c r="M3358">
        <v>390262</v>
      </c>
      <c r="N3358" t="s">
        <v>618</v>
      </c>
      <c r="O3358" t="s">
        <v>619</v>
      </c>
    </row>
    <row r="3359" spans="1:16" x14ac:dyDescent="0.25">
      <c r="A3359">
        <v>27823575</v>
      </c>
      <c r="B3359" t="s">
        <v>601</v>
      </c>
      <c r="C3359" s="4">
        <v>44771.433357592592</v>
      </c>
      <c r="F3359" t="s">
        <v>18</v>
      </c>
      <c r="G3359" t="s">
        <v>228</v>
      </c>
      <c r="K3359" t="s">
        <v>602</v>
      </c>
      <c r="L3359" t="s">
        <v>36</v>
      </c>
      <c r="M3359">
        <v>-1</v>
      </c>
      <c r="N3359" t="s">
        <v>603</v>
      </c>
      <c r="O3359" t="s">
        <v>604</v>
      </c>
    </row>
    <row r="3360" spans="1:16" x14ac:dyDescent="0.25">
      <c r="A3360">
        <v>27823574</v>
      </c>
      <c r="B3360" t="s">
        <v>601</v>
      </c>
      <c r="C3360" s="4">
        <v>44771.433303692131</v>
      </c>
      <c r="F3360" t="s">
        <v>49</v>
      </c>
      <c r="G3360" t="s">
        <v>132</v>
      </c>
      <c r="J3360" t="s">
        <v>439</v>
      </c>
      <c r="K3360" t="s">
        <v>602</v>
      </c>
      <c r="L3360" t="s">
        <v>36</v>
      </c>
      <c r="M3360">
        <v>390263</v>
      </c>
      <c r="N3360" t="s">
        <v>620</v>
      </c>
      <c r="O3360" t="s">
        <v>621</v>
      </c>
    </row>
    <row r="3361" spans="1:16" x14ac:dyDescent="0.25">
      <c r="A3361">
        <v>27823745</v>
      </c>
      <c r="B3361" t="s">
        <v>601</v>
      </c>
      <c r="C3361" s="4">
        <v>44771.438243634257</v>
      </c>
      <c r="F3361" t="s">
        <v>18</v>
      </c>
      <c r="G3361" t="s">
        <v>228</v>
      </c>
      <c r="K3361" t="s">
        <v>602</v>
      </c>
      <c r="L3361" t="s">
        <v>36</v>
      </c>
      <c r="M3361">
        <v>-1</v>
      </c>
      <c r="N3361" t="s">
        <v>603</v>
      </c>
      <c r="O3361" t="s">
        <v>604</v>
      </c>
    </row>
    <row r="3362" spans="1:16" x14ac:dyDescent="0.25">
      <c r="A3362">
        <v>27823793</v>
      </c>
      <c r="B3362" t="s">
        <v>601</v>
      </c>
      <c r="C3362" s="4">
        <v>44771.438739351863</v>
      </c>
      <c r="F3362" t="s">
        <v>18</v>
      </c>
      <c r="G3362" t="s">
        <v>228</v>
      </c>
      <c r="K3362" t="s">
        <v>602</v>
      </c>
      <c r="L3362" t="s">
        <v>36</v>
      </c>
      <c r="M3362">
        <v>-1</v>
      </c>
      <c r="N3362" t="s">
        <v>603</v>
      </c>
      <c r="O3362" t="s">
        <v>604</v>
      </c>
    </row>
    <row r="3363" spans="1:16" x14ac:dyDescent="0.25">
      <c r="A3363">
        <v>27823939</v>
      </c>
      <c r="B3363" t="s">
        <v>601</v>
      </c>
      <c r="C3363" s="4">
        <v>44771.440996736113</v>
      </c>
      <c r="F3363" t="s">
        <v>49</v>
      </c>
      <c r="G3363" t="s">
        <v>218</v>
      </c>
      <c r="J3363" t="s">
        <v>1836</v>
      </c>
      <c r="K3363" t="s">
        <v>602</v>
      </c>
      <c r="L3363" t="s">
        <v>21</v>
      </c>
      <c r="M3363">
        <v>390264</v>
      </c>
      <c r="N3363" t="s">
        <v>611</v>
      </c>
      <c r="O3363" t="s">
        <v>612</v>
      </c>
    </row>
    <row r="3364" spans="1:16" x14ac:dyDescent="0.25">
      <c r="A3364">
        <v>27824037</v>
      </c>
      <c r="B3364" t="s">
        <v>601</v>
      </c>
      <c r="C3364" s="4">
        <v>44771.443584039349</v>
      </c>
      <c r="F3364" t="s">
        <v>18</v>
      </c>
      <c r="G3364" t="s">
        <v>228</v>
      </c>
      <c r="K3364" t="s">
        <v>602</v>
      </c>
      <c r="L3364" t="s">
        <v>36</v>
      </c>
      <c r="M3364">
        <v>-1</v>
      </c>
      <c r="N3364" t="s">
        <v>603</v>
      </c>
      <c r="O3364" t="s">
        <v>604</v>
      </c>
    </row>
    <row r="3365" spans="1:16" x14ac:dyDescent="0.25">
      <c r="A3365">
        <v>27824082</v>
      </c>
      <c r="B3365" t="s">
        <v>601</v>
      </c>
      <c r="C3365" s="4">
        <v>44771.444529722219</v>
      </c>
      <c r="E3365" t="s">
        <v>379</v>
      </c>
      <c r="F3365" t="s">
        <v>18</v>
      </c>
      <c r="G3365" t="s">
        <v>418</v>
      </c>
      <c r="J3365" t="s">
        <v>547</v>
      </c>
      <c r="K3365" t="s">
        <v>602</v>
      </c>
      <c r="L3365" t="s">
        <v>21</v>
      </c>
      <c r="M3365">
        <v>390265</v>
      </c>
      <c r="N3365" t="s">
        <v>607</v>
      </c>
      <c r="O3365" t="s">
        <v>608</v>
      </c>
      <c r="P3365" t="s">
        <v>21</v>
      </c>
    </row>
    <row r="3366" spans="1:16" x14ac:dyDescent="0.25">
      <c r="A3366">
        <v>27824190</v>
      </c>
      <c r="B3366" t="s">
        <v>601</v>
      </c>
      <c r="C3366" s="4">
        <v>44771.446267222222</v>
      </c>
      <c r="F3366" t="s">
        <v>18</v>
      </c>
      <c r="G3366" t="s">
        <v>228</v>
      </c>
      <c r="K3366" t="s">
        <v>602</v>
      </c>
      <c r="L3366" t="s">
        <v>36</v>
      </c>
      <c r="M3366">
        <v>-1</v>
      </c>
      <c r="N3366" t="s">
        <v>603</v>
      </c>
      <c r="O3366" t="s">
        <v>604</v>
      </c>
    </row>
    <row r="3367" spans="1:16" x14ac:dyDescent="0.25">
      <c r="A3367">
        <v>27824371</v>
      </c>
      <c r="B3367" t="s">
        <v>601</v>
      </c>
      <c r="C3367" s="4">
        <v>44771.451418622688</v>
      </c>
      <c r="F3367" t="s">
        <v>18</v>
      </c>
      <c r="G3367" t="s">
        <v>228</v>
      </c>
      <c r="K3367" t="s">
        <v>602</v>
      </c>
      <c r="L3367" t="s">
        <v>36</v>
      </c>
      <c r="M3367">
        <v>-1</v>
      </c>
      <c r="N3367" t="s">
        <v>603</v>
      </c>
      <c r="O3367" t="s">
        <v>604</v>
      </c>
    </row>
    <row r="3368" spans="1:16" x14ac:dyDescent="0.25">
      <c r="A3368">
        <v>27824359</v>
      </c>
      <c r="B3368" t="s">
        <v>601</v>
      </c>
      <c r="C3368" s="4">
        <v>44771.451061284723</v>
      </c>
      <c r="G3368" t="s">
        <v>2348</v>
      </c>
      <c r="K3368" t="s">
        <v>602</v>
      </c>
      <c r="L3368" t="s">
        <v>36</v>
      </c>
      <c r="M3368">
        <v>390266</v>
      </c>
      <c r="N3368" t="s">
        <v>606</v>
      </c>
      <c r="O3368" t="s">
        <v>2349</v>
      </c>
    </row>
    <row r="3369" spans="1:16" x14ac:dyDescent="0.25">
      <c r="A3369">
        <v>27824376</v>
      </c>
      <c r="B3369" t="s">
        <v>601</v>
      </c>
      <c r="C3369" s="4">
        <v>44771.451479629628</v>
      </c>
      <c r="G3369" t="s">
        <v>2348</v>
      </c>
      <c r="K3369" t="s">
        <v>602</v>
      </c>
      <c r="L3369" t="s">
        <v>36</v>
      </c>
      <c r="M3369">
        <v>390267</v>
      </c>
      <c r="N3369" t="s">
        <v>606</v>
      </c>
      <c r="O3369" t="s">
        <v>2349</v>
      </c>
    </row>
    <row r="3370" spans="1:16" x14ac:dyDescent="0.25">
      <c r="A3370">
        <v>27824484</v>
      </c>
      <c r="B3370" t="s">
        <v>601</v>
      </c>
      <c r="C3370" s="4">
        <v>44771.454023715283</v>
      </c>
      <c r="F3370" t="s">
        <v>18</v>
      </c>
      <c r="G3370" t="s">
        <v>228</v>
      </c>
      <c r="K3370" t="s">
        <v>602</v>
      </c>
      <c r="L3370" t="s">
        <v>36</v>
      </c>
      <c r="M3370">
        <v>-1</v>
      </c>
      <c r="N3370" t="s">
        <v>603</v>
      </c>
      <c r="O3370" t="s">
        <v>604</v>
      </c>
    </row>
    <row r="3371" spans="1:16" x14ac:dyDescent="0.25">
      <c r="A3371">
        <v>27824516</v>
      </c>
      <c r="B3371" t="s">
        <v>601</v>
      </c>
      <c r="C3371" s="4">
        <v>44771.454777141204</v>
      </c>
      <c r="F3371" t="s">
        <v>18</v>
      </c>
      <c r="G3371" t="s">
        <v>228</v>
      </c>
      <c r="K3371" t="s">
        <v>602</v>
      </c>
      <c r="L3371" t="s">
        <v>36</v>
      </c>
      <c r="M3371">
        <v>-1</v>
      </c>
      <c r="N3371" t="s">
        <v>603</v>
      </c>
      <c r="O3371" t="s">
        <v>604</v>
      </c>
    </row>
    <row r="3372" spans="1:16" x14ac:dyDescent="0.25">
      <c r="A3372">
        <v>27824584</v>
      </c>
      <c r="B3372" t="s">
        <v>601</v>
      </c>
      <c r="C3372" s="4">
        <v>44771.45653033565</v>
      </c>
      <c r="F3372" t="s">
        <v>18</v>
      </c>
      <c r="G3372" t="s">
        <v>228</v>
      </c>
      <c r="K3372" t="s">
        <v>602</v>
      </c>
      <c r="L3372" t="s">
        <v>36</v>
      </c>
      <c r="M3372">
        <v>-1</v>
      </c>
      <c r="N3372" t="s">
        <v>603</v>
      </c>
      <c r="O3372" t="s">
        <v>604</v>
      </c>
    </row>
    <row r="3373" spans="1:16" x14ac:dyDescent="0.25">
      <c r="A3373">
        <v>27824762</v>
      </c>
      <c r="B3373" t="s">
        <v>601</v>
      </c>
      <c r="C3373" s="4">
        <v>44771.459790069443</v>
      </c>
      <c r="E3373" t="s">
        <v>310</v>
      </c>
      <c r="F3373" t="s">
        <v>18</v>
      </c>
      <c r="G3373" t="s">
        <v>429</v>
      </c>
      <c r="J3373" t="s">
        <v>1460</v>
      </c>
      <c r="K3373" t="s">
        <v>602</v>
      </c>
      <c r="L3373" t="s">
        <v>21</v>
      </c>
      <c r="M3373">
        <v>390268</v>
      </c>
      <c r="N3373" t="s">
        <v>607</v>
      </c>
      <c r="O3373" t="s">
        <v>608</v>
      </c>
      <c r="P3373" t="s">
        <v>21</v>
      </c>
    </row>
    <row r="3374" spans="1:16" x14ac:dyDescent="0.25">
      <c r="A3374">
        <v>27824809</v>
      </c>
      <c r="B3374" t="s">
        <v>601</v>
      </c>
      <c r="C3374" s="4">
        <v>44771.460469872683</v>
      </c>
      <c r="E3374" t="s">
        <v>310</v>
      </c>
      <c r="F3374" t="s">
        <v>18</v>
      </c>
      <c r="G3374" t="s">
        <v>429</v>
      </c>
      <c r="J3374" t="s">
        <v>1460</v>
      </c>
      <c r="K3374" t="s">
        <v>602</v>
      </c>
      <c r="L3374" t="s">
        <v>21</v>
      </c>
      <c r="M3374">
        <v>390269</v>
      </c>
      <c r="N3374" t="s">
        <v>607</v>
      </c>
      <c r="O3374" t="s">
        <v>608</v>
      </c>
      <c r="P3374" t="s">
        <v>21</v>
      </c>
    </row>
    <row r="3375" spans="1:16" x14ac:dyDescent="0.25">
      <c r="A3375">
        <v>27824814</v>
      </c>
      <c r="B3375" t="s">
        <v>601</v>
      </c>
      <c r="C3375" s="4">
        <v>44771.46079892361</v>
      </c>
      <c r="F3375" t="s">
        <v>18</v>
      </c>
      <c r="G3375" t="s">
        <v>228</v>
      </c>
      <c r="K3375" t="s">
        <v>602</v>
      </c>
      <c r="L3375" t="s">
        <v>36</v>
      </c>
      <c r="M3375">
        <v>-1</v>
      </c>
      <c r="N3375" t="s">
        <v>603</v>
      </c>
      <c r="O3375" t="s">
        <v>604</v>
      </c>
    </row>
    <row r="3376" spans="1:16" x14ac:dyDescent="0.25">
      <c r="A3376">
        <v>27824861</v>
      </c>
      <c r="B3376" t="s">
        <v>601</v>
      </c>
      <c r="C3376" s="4">
        <v>44771.46151134259</v>
      </c>
      <c r="E3376" t="s">
        <v>310</v>
      </c>
      <c r="F3376" t="s">
        <v>18</v>
      </c>
      <c r="G3376" t="s">
        <v>429</v>
      </c>
      <c r="J3376" t="s">
        <v>1460</v>
      </c>
      <c r="K3376" t="s">
        <v>602</v>
      </c>
      <c r="L3376" t="s">
        <v>21</v>
      </c>
      <c r="M3376">
        <v>390270</v>
      </c>
      <c r="N3376" t="s">
        <v>607</v>
      </c>
      <c r="O3376" t="s">
        <v>608</v>
      </c>
      <c r="P3376" t="s">
        <v>21</v>
      </c>
    </row>
    <row r="3377" spans="1:16" x14ac:dyDescent="0.25">
      <c r="A3377">
        <v>27824938</v>
      </c>
      <c r="B3377" t="s">
        <v>601</v>
      </c>
      <c r="C3377" s="4">
        <v>44771.462538171298</v>
      </c>
      <c r="F3377" t="s">
        <v>18</v>
      </c>
      <c r="G3377" t="s">
        <v>228</v>
      </c>
      <c r="K3377" t="s">
        <v>602</v>
      </c>
      <c r="L3377" t="s">
        <v>36</v>
      </c>
      <c r="M3377">
        <v>-1</v>
      </c>
      <c r="N3377" t="s">
        <v>603</v>
      </c>
      <c r="O3377" t="s">
        <v>604</v>
      </c>
    </row>
    <row r="3378" spans="1:16" x14ac:dyDescent="0.25">
      <c r="A3378">
        <v>27824961</v>
      </c>
      <c r="B3378" t="s">
        <v>601</v>
      </c>
      <c r="C3378" s="4">
        <v>44771.463045196761</v>
      </c>
      <c r="F3378" t="s">
        <v>18</v>
      </c>
      <c r="G3378" t="s">
        <v>228</v>
      </c>
      <c r="K3378" t="s">
        <v>602</v>
      </c>
      <c r="L3378" t="s">
        <v>36</v>
      </c>
      <c r="M3378">
        <v>-1</v>
      </c>
      <c r="N3378" t="s">
        <v>603</v>
      </c>
      <c r="O3378" t="s">
        <v>604</v>
      </c>
    </row>
    <row r="3379" spans="1:16" x14ac:dyDescent="0.25">
      <c r="A3379">
        <v>27825130</v>
      </c>
      <c r="B3379" t="s">
        <v>601</v>
      </c>
      <c r="C3379" s="4">
        <v>44771.46733929398</v>
      </c>
      <c r="F3379" t="s">
        <v>18</v>
      </c>
      <c r="G3379" t="s">
        <v>228</v>
      </c>
      <c r="K3379" t="s">
        <v>602</v>
      </c>
      <c r="L3379" t="s">
        <v>36</v>
      </c>
      <c r="M3379">
        <v>-1</v>
      </c>
      <c r="N3379" t="s">
        <v>603</v>
      </c>
      <c r="O3379" t="s">
        <v>604</v>
      </c>
    </row>
    <row r="3380" spans="1:16" x14ac:dyDescent="0.25">
      <c r="A3380">
        <v>27825157</v>
      </c>
      <c r="B3380" t="s">
        <v>601</v>
      </c>
      <c r="C3380" s="4">
        <v>44771.468096631943</v>
      </c>
      <c r="F3380" t="s">
        <v>18</v>
      </c>
      <c r="G3380" t="s">
        <v>228</v>
      </c>
      <c r="K3380" t="s">
        <v>602</v>
      </c>
      <c r="L3380" t="s">
        <v>36</v>
      </c>
      <c r="M3380">
        <v>-1</v>
      </c>
      <c r="N3380" t="s">
        <v>603</v>
      </c>
      <c r="O3380" t="s">
        <v>604</v>
      </c>
    </row>
    <row r="3381" spans="1:16" x14ac:dyDescent="0.25">
      <c r="A3381">
        <v>27825200</v>
      </c>
      <c r="B3381" t="s">
        <v>601</v>
      </c>
      <c r="C3381" s="4">
        <v>44771.468545937503</v>
      </c>
      <c r="E3381" t="s">
        <v>27</v>
      </c>
      <c r="F3381" t="s">
        <v>18</v>
      </c>
      <c r="G3381" t="s">
        <v>285</v>
      </c>
      <c r="J3381" t="s">
        <v>332</v>
      </c>
      <c r="K3381" t="s">
        <v>602</v>
      </c>
      <c r="L3381" t="s">
        <v>21</v>
      </c>
      <c r="M3381">
        <v>390271</v>
      </c>
      <c r="N3381" t="s">
        <v>607</v>
      </c>
      <c r="O3381" t="s">
        <v>608</v>
      </c>
      <c r="P3381" t="s">
        <v>21</v>
      </c>
    </row>
    <row r="3382" spans="1:16" x14ac:dyDescent="0.25">
      <c r="A3382">
        <v>27825330</v>
      </c>
      <c r="B3382" t="s">
        <v>601</v>
      </c>
      <c r="C3382" s="4">
        <v>44771.471612465277</v>
      </c>
      <c r="F3382" t="s">
        <v>52</v>
      </c>
      <c r="G3382" t="s">
        <v>145</v>
      </c>
      <c r="K3382" t="s">
        <v>602</v>
      </c>
      <c r="L3382" t="s">
        <v>21</v>
      </c>
      <c r="M3382">
        <v>390272</v>
      </c>
      <c r="N3382" t="s">
        <v>611</v>
      </c>
      <c r="O3382" t="s">
        <v>612</v>
      </c>
    </row>
    <row r="3383" spans="1:16" x14ac:dyDescent="0.25">
      <c r="A3383">
        <v>27825344</v>
      </c>
      <c r="B3383" t="s">
        <v>601</v>
      </c>
      <c r="C3383" s="4">
        <v>44771.4720953125</v>
      </c>
      <c r="F3383" t="s">
        <v>18</v>
      </c>
      <c r="G3383" t="s">
        <v>228</v>
      </c>
      <c r="K3383" t="s">
        <v>602</v>
      </c>
      <c r="L3383" t="s">
        <v>36</v>
      </c>
      <c r="M3383">
        <v>-1</v>
      </c>
      <c r="N3383" t="s">
        <v>603</v>
      </c>
      <c r="O3383" t="s">
        <v>604</v>
      </c>
    </row>
    <row r="3384" spans="1:16" x14ac:dyDescent="0.25">
      <c r="A3384">
        <v>27825519</v>
      </c>
      <c r="B3384" t="s">
        <v>601</v>
      </c>
      <c r="C3384" s="4">
        <v>44771.47514440972</v>
      </c>
      <c r="F3384" t="s">
        <v>18</v>
      </c>
      <c r="G3384" t="s">
        <v>228</v>
      </c>
      <c r="K3384" t="s">
        <v>602</v>
      </c>
      <c r="L3384" t="s">
        <v>36</v>
      </c>
      <c r="M3384">
        <v>-1</v>
      </c>
      <c r="N3384" t="s">
        <v>603</v>
      </c>
      <c r="O3384" t="s">
        <v>604</v>
      </c>
    </row>
    <row r="3385" spans="1:16" x14ac:dyDescent="0.25">
      <c r="A3385">
        <v>27825660</v>
      </c>
      <c r="B3385" t="s">
        <v>601</v>
      </c>
      <c r="C3385" s="4">
        <v>44771.47862721065</v>
      </c>
      <c r="F3385" t="s">
        <v>49</v>
      </c>
      <c r="G3385" t="s">
        <v>201</v>
      </c>
      <c r="J3385" t="s">
        <v>1509</v>
      </c>
      <c r="K3385" t="s">
        <v>602</v>
      </c>
      <c r="L3385" t="s">
        <v>21</v>
      </c>
      <c r="M3385">
        <v>390273</v>
      </c>
      <c r="N3385" t="s">
        <v>611</v>
      </c>
      <c r="O3385" t="s">
        <v>612</v>
      </c>
    </row>
    <row r="3386" spans="1:16" x14ac:dyDescent="0.25">
      <c r="A3386">
        <v>27825679</v>
      </c>
      <c r="B3386" t="s">
        <v>601</v>
      </c>
      <c r="C3386" s="4">
        <v>44771.479200775473</v>
      </c>
      <c r="F3386" t="s">
        <v>18</v>
      </c>
      <c r="G3386" t="s">
        <v>228</v>
      </c>
      <c r="K3386" t="s">
        <v>602</v>
      </c>
      <c r="L3386" t="s">
        <v>36</v>
      </c>
      <c r="M3386">
        <v>-1</v>
      </c>
      <c r="N3386" t="s">
        <v>603</v>
      </c>
      <c r="O3386" t="s">
        <v>604</v>
      </c>
    </row>
    <row r="3387" spans="1:16" x14ac:dyDescent="0.25">
      <c r="A3387">
        <v>27825749</v>
      </c>
      <c r="B3387" t="s">
        <v>601</v>
      </c>
      <c r="C3387" s="4">
        <v>44771.480439606479</v>
      </c>
      <c r="F3387" t="s">
        <v>18</v>
      </c>
      <c r="G3387" t="s">
        <v>228</v>
      </c>
      <c r="K3387" t="s">
        <v>602</v>
      </c>
      <c r="L3387" t="s">
        <v>36</v>
      </c>
      <c r="M3387">
        <v>-1</v>
      </c>
      <c r="N3387" t="s">
        <v>603</v>
      </c>
      <c r="O3387" t="s">
        <v>604</v>
      </c>
    </row>
    <row r="3388" spans="1:16" x14ac:dyDescent="0.25">
      <c r="A3388">
        <v>27825789</v>
      </c>
      <c r="B3388" t="s">
        <v>601</v>
      </c>
      <c r="C3388" s="4">
        <v>44771.481541527777</v>
      </c>
      <c r="E3388" t="s">
        <v>38</v>
      </c>
      <c r="F3388" t="s">
        <v>49</v>
      </c>
      <c r="G3388" t="s">
        <v>192</v>
      </c>
      <c r="J3388" t="s">
        <v>567</v>
      </c>
      <c r="K3388" t="s">
        <v>602</v>
      </c>
      <c r="L3388" t="s">
        <v>36</v>
      </c>
      <c r="M3388">
        <v>390274</v>
      </c>
      <c r="N3388" t="s">
        <v>603</v>
      </c>
      <c r="O3388" t="s">
        <v>604</v>
      </c>
    </row>
    <row r="3389" spans="1:16" x14ac:dyDescent="0.25">
      <c r="A3389">
        <v>27825828</v>
      </c>
      <c r="B3389" t="s">
        <v>601</v>
      </c>
      <c r="C3389" s="4">
        <v>44771.48211877315</v>
      </c>
      <c r="F3389" t="s">
        <v>18</v>
      </c>
      <c r="G3389" t="s">
        <v>228</v>
      </c>
      <c r="K3389" t="s">
        <v>602</v>
      </c>
      <c r="L3389" t="s">
        <v>36</v>
      </c>
      <c r="M3389">
        <v>-1</v>
      </c>
      <c r="N3389" t="s">
        <v>603</v>
      </c>
      <c r="O3389" t="s">
        <v>604</v>
      </c>
    </row>
    <row r="3390" spans="1:16" x14ac:dyDescent="0.25">
      <c r="A3390">
        <v>27826099</v>
      </c>
      <c r="B3390" t="s">
        <v>601</v>
      </c>
      <c r="C3390" s="4">
        <v>44771.487532025472</v>
      </c>
      <c r="F3390" t="s">
        <v>18</v>
      </c>
      <c r="G3390" t="s">
        <v>228</v>
      </c>
      <c r="K3390" t="s">
        <v>602</v>
      </c>
      <c r="L3390" t="s">
        <v>36</v>
      </c>
      <c r="M3390">
        <v>-1</v>
      </c>
      <c r="N3390" t="s">
        <v>603</v>
      </c>
      <c r="O3390" t="s">
        <v>604</v>
      </c>
    </row>
    <row r="3391" spans="1:16" x14ac:dyDescent="0.25">
      <c r="A3391">
        <v>27826128</v>
      </c>
      <c r="B3391" t="s">
        <v>601</v>
      </c>
      <c r="C3391" s="4">
        <v>44771.488516736114</v>
      </c>
      <c r="F3391" t="s">
        <v>18</v>
      </c>
      <c r="G3391" t="s">
        <v>228</v>
      </c>
      <c r="K3391" t="s">
        <v>602</v>
      </c>
      <c r="L3391" t="s">
        <v>36</v>
      </c>
      <c r="M3391">
        <v>-1</v>
      </c>
      <c r="N3391" t="s">
        <v>603</v>
      </c>
      <c r="O3391" t="s">
        <v>604</v>
      </c>
    </row>
    <row r="3392" spans="1:16" x14ac:dyDescent="0.25">
      <c r="A3392">
        <v>27826212</v>
      </c>
      <c r="B3392" t="s">
        <v>601</v>
      </c>
      <c r="C3392" s="4">
        <v>44771.490013263887</v>
      </c>
      <c r="F3392" t="s">
        <v>18</v>
      </c>
      <c r="G3392" t="s">
        <v>228</v>
      </c>
      <c r="K3392" t="s">
        <v>602</v>
      </c>
      <c r="L3392" t="s">
        <v>36</v>
      </c>
      <c r="M3392">
        <v>-1</v>
      </c>
      <c r="N3392" t="s">
        <v>603</v>
      </c>
      <c r="O3392" t="s">
        <v>604</v>
      </c>
    </row>
    <row r="3393" spans="1:16" x14ac:dyDescent="0.25">
      <c r="A3393">
        <v>27826262</v>
      </c>
      <c r="B3393" t="s">
        <v>601</v>
      </c>
      <c r="C3393" s="4">
        <v>44771.490832777781</v>
      </c>
      <c r="E3393" t="s">
        <v>38</v>
      </c>
      <c r="F3393" t="s">
        <v>49</v>
      </c>
      <c r="G3393" t="s">
        <v>250</v>
      </c>
      <c r="J3393" t="s">
        <v>350</v>
      </c>
      <c r="K3393" t="s">
        <v>602</v>
      </c>
      <c r="L3393" t="s">
        <v>21</v>
      </c>
      <c r="M3393">
        <v>390275</v>
      </c>
      <c r="N3393" t="s">
        <v>611</v>
      </c>
      <c r="O3393" t="s">
        <v>612</v>
      </c>
    </row>
    <row r="3394" spans="1:16" x14ac:dyDescent="0.25">
      <c r="A3394">
        <v>27826315</v>
      </c>
      <c r="B3394" t="s">
        <v>601</v>
      </c>
      <c r="C3394" s="4">
        <v>44771.491748460649</v>
      </c>
      <c r="F3394" t="s">
        <v>18</v>
      </c>
      <c r="G3394" t="s">
        <v>228</v>
      </c>
      <c r="K3394" t="s">
        <v>602</v>
      </c>
      <c r="L3394" t="s">
        <v>36</v>
      </c>
      <c r="M3394">
        <v>-1</v>
      </c>
      <c r="N3394" t="s">
        <v>603</v>
      </c>
      <c r="O3394" t="s">
        <v>604</v>
      </c>
    </row>
    <row r="3395" spans="1:16" x14ac:dyDescent="0.25">
      <c r="A3395">
        <v>27826351</v>
      </c>
      <c r="B3395" t="s">
        <v>601</v>
      </c>
      <c r="C3395" s="4">
        <v>44771.492186412041</v>
      </c>
      <c r="F3395" t="s">
        <v>49</v>
      </c>
      <c r="G3395" t="s">
        <v>201</v>
      </c>
      <c r="J3395" t="s">
        <v>1509</v>
      </c>
      <c r="K3395" t="s">
        <v>602</v>
      </c>
      <c r="L3395" t="s">
        <v>36</v>
      </c>
      <c r="M3395">
        <v>390276</v>
      </c>
      <c r="N3395" t="s">
        <v>603</v>
      </c>
      <c r="O3395" t="s">
        <v>604</v>
      </c>
    </row>
    <row r="3396" spans="1:16" x14ac:dyDescent="0.25">
      <c r="A3396">
        <v>27826410</v>
      </c>
      <c r="B3396" t="s">
        <v>601</v>
      </c>
      <c r="C3396" s="4">
        <v>44771.493434074073</v>
      </c>
      <c r="F3396" t="s">
        <v>49</v>
      </c>
      <c r="G3396" t="s">
        <v>201</v>
      </c>
      <c r="J3396" t="s">
        <v>1509</v>
      </c>
      <c r="K3396" t="s">
        <v>602</v>
      </c>
      <c r="L3396" t="s">
        <v>21</v>
      </c>
      <c r="M3396">
        <v>390277</v>
      </c>
      <c r="N3396" t="s">
        <v>611</v>
      </c>
      <c r="O3396" t="s">
        <v>612</v>
      </c>
    </row>
    <row r="3397" spans="1:16" x14ac:dyDescent="0.25">
      <c r="A3397">
        <v>27826494</v>
      </c>
      <c r="B3397" t="s">
        <v>601</v>
      </c>
      <c r="C3397" s="4">
        <v>44771.495811967587</v>
      </c>
      <c r="F3397" t="s">
        <v>18</v>
      </c>
      <c r="G3397" t="s">
        <v>228</v>
      </c>
      <c r="K3397" t="s">
        <v>602</v>
      </c>
      <c r="L3397" t="s">
        <v>36</v>
      </c>
      <c r="M3397">
        <v>-1</v>
      </c>
      <c r="N3397" t="s">
        <v>603</v>
      </c>
      <c r="O3397" t="s">
        <v>604</v>
      </c>
    </row>
    <row r="3398" spans="1:16" x14ac:dyDescent="0.25">
      <c r="A3398">
        <v>27826514</v>
      </c>
      <c r="B3398" t="s">
        <v>601</v>
      </c>
      <c r="C3398" s="4">
        <v>44771.496178159723</v>
      </c>
      <c r="F3398" t="s">
        <v>18</v>
      </c>
      <c r="G3398" t="s">
        <v>228</v>
      </c>
      <c r="K3398" t="s">
        <v>602</v>
      </c>
      <c r="L3398" t="s">
        <v>36</v>
      </c>
      <c r="M3398">
        <v>-1</v>
      </c>
      <c r="N3398" t="s">
        <v>603</v>
      </c>
      <c r="O3398" t="s">
        <v>604</v>
      </c>
    </row>
    <row r="3399" spans="1:16" x14ac:dyDescent="0.25">
      <c r="A3399">
        <v>27826543</v>
      </c>
      <c r="B3399" t="s">
        <v>601</v>
      </c>
      <c r="C3399" s="4">
        <v>44771.496697962961</v>
      </c>
      <c r="E3399" t="s">
        <v>38</v>
      </c>
      <c r="F3399" t="s">
        <v>52</v>
      </c>
      <c r="G3399" t="s">
        <v>408</v>
      </c>
      <c r="J3399" t="s">
        <v>629</v>
      </c>
      <c r="K3399" t="s">
        <v>602</v>
      </c>
      <c r="L3399" t="s">
        <v>21</v>
      </c>
      <c r="M3399">
        <v>390278</v>
      </c>
      <c r="N3399" t="s">
        <v>631</v>
      </c>
      <c r="O3399" t="s">
        <v>632</v>
      </c>
      <c r="P3399" t="s">
        <v>21</v>
      </c>
    </row>
    <row r="3400" spans="1:16" x14ac:dyDescent="0.25">
      <c r="A3400">
        <v>27826546</v>
      </c>
      <c r="B3400" t="s">
        <v>601</v>
      </c>
      <c r="C3400" s="4">
        <v>44771.496726134261</v>
      </c>
      <c r="F3400" t="s">
        <v>18</v>
      </c>
      <c r="G3400" t="s">
        <v>228</v>
      </c>
      <c r="K3400" t="s">
        <v>602</v>
      </c>
      <c r="L3400" t="s">
        <v>36</v>
      </c>
      <c r="M3400">
        <v>-1</v>
      </c>
      <c r="N3400" t="s">
        <v>603</v>
      </c>
      <c r="O3400" t="s">
        <v>604</v>
      </c>
    </row>
    <row r="3401" spans="1:16" x14ac:dyDescent="0.25">
      <c r="A3401">
        <v>27826571</v>
      </c>
      <c r="B3401" t="s">
        <v>601</v>
      </c>
      <c r="C3401" s="4">
        <v>44771.496958530093</v>
      </c>
      <c r="F3401" t="s">
        <v>49</v>
      </c>
      <c r="G3401" t="s">
        <v>250</v>
      </c>
      <c r="J3401" t="s">
        <v>350</v>
      </c>
      <c r="K3401" t="s">
        <v>602</v>
      </c>
      <c r="L3401" t="s">
        <v>21</v>
      </c>
      <c r="M3401">
        <v>390279</v>
      </c>
      <c r="N3401" t="s">
        <v>611</v>
      </c>
      <c r="O3401" t="s">
        <v>612</v>
      </c>
    </row>
    <row r="3402" spans="1:16" x14ac:dyDescent="0.25">
      <c r="A3402">
        <v>27826640</v>
      </c>
      <c r="B3402" t="s">
        <v>601</v>
      </c>
      <c r="C3402" s="4">
        <v>44771.49796601852</v>
      </c>
      <c r="F3402" t="s">
        <v>49</v>
      </c>
      <c r="G3402" t="s">
        <v>250</v>
      </c>
      <c r="J3402" t="s">
        <v>350</v>
      </c>
      <c r="K3402" t="s">
        <v>602</v>
      </c>
      <c r="L3402" t="s">
        <v>21</v>
      </c>
      <c r="M3402">
        <v>390280</v>
      </c>
      <c r="N3402" t="s">
        <v>611</v>
      </c>
      <c r="O3402" t="s">
        <v>612</v>
      </c>
    </row>
    <row r="3403" spans="1:16" x14ac:dyDescent="0.25">
      <c r="A3403">
        <v>27826666</v>
      </c>
      <c r="B3403" t="s">
        <v>601</v>
      </c>
      <c r="C3403" s="4">
        <v>44771.498442488417</v>
      </c>
      <c r="E3403" t="s">
        <v>105</v>
      </c>
      <c r="F3403" t="s">
        <v>49</v>
      </c>
      <c r="G3403" t="s">
        <v>250</v>
      </c>
      <c r="J3403" t="s">
        <v>350</v>
      </c>
      <c r="K3403" t="s">
        <v>602</v>
      </c>
      <c r="L3403" t="s">
        <v>21</v>
      </c>
      <c r="M3403">
        <v>390281</v>
      </c>
      <c r="N3403" t="s">
        <v>611</v>
      </c>
      <c r="O3403" t="s">
        <v>612</v>
      </c>
    </row>
    <row r="3404" spans="1:16" x14ac:dyDescent="0.25">
      <c r="A3404">
        <v>27826700</v>
      </c>
      <c r="B3404" t="s">
        <v>601</v>
      </c>
      <c r="C3404" s="4">
        <v>44771.499099814813</v>
      </c>
      <c r="F3404" t="s">
        <v>18</v>
      </c>
      <c r="G3404" t="s">
        <v>228</v>
      </c>
      <c r="K3404" t="s">
        <v>602</v>
      </c>
      <c r="L3404" t="s">
        <v>36</v>
      </c>
      <c r="M3404">
        <v>-1</v>
      </c>
      <c r="N3404" t="s">
        <v>603</v>
      </c>
      <c r="O3404" t="s">
        <v>604</v>
      </c>
    </row>
    <row r="3405" spans="1:16" x14ac:dyDescent="0.25">
      <c r="A3405">
        <v>27826846</v>
      </c>
      <c r="B3405" t="s">
        <v>601</v>
      </c>
      <c r="C3405" s="4">
        <v>44771.502322824083</v>
      </c>
      <c r="F3405" t="s">
        <v>52</v>
      </c>
      <c r="G3405" t="s">
        <v>408</v>
      </c>
      <c r="J3405" t="s">
        <v>629</v>
      </c>
      <c r="K3405" t="s">
        <v>602</v>
      </c>
      <c r="L3405" t="s">
        <v>21</v>
      </c>
      <c r="M3405">
        <v>390282</v>
      </c>
      <c r="N3405" t="s">
        <v>611</v>
      </c>
      <c r="O3405" t="s">
        <v>612</v>
      </c>
    </row>
    <row r="3406" spans="1:16" x14ac:dyDescent="0.25">
      <c r="A3406">
        <v>27826888</v>
      </c>
      <c r="B3406" t="s">
        <v>601</v>
      </c>
      <c r="C3406" s="4">
        <v>44771.503540185193</v>
      </c>
      <c r="F3406" t="s">
        <v>18</v>
      </c>
      <c r="G3406" t="s">
        <v>228</v>
      </c>
      <c r="K3406" t="s">
        <v>602</v>
      </c>
      <c r="L3406" t="s">
        <v>36</v>
      </c>
      <c r="M3406">
        <v>-1</v>
      </c>
      <c r="N3406" t="s">
        <v>603</v>
      </c>
      <c r="O3406" t="s">
        <v>604</v>
      </c>
    </row>
    <row r="3407" spans="1:16" x14ac:dyDescent="0.25">
      <c r="A3407">
        <v>27826919</v>
      </c>
      <c r="B3407" t="s">
        <v>601</v>
      </c>
      <c r="C3407" s="4">
        <v>44771.504047106479</v>
      </c>
      <c r="F3407" t="s">
        <v>18</v>
      </c>
      <c r="G3407" t="s">
        <v>228</v>
      </c>
      <c r="K3407" t="s">
        <v>602</v>
      </c>
      <c r="L3407" t="s">
        <v>36</v>
      </c>
      <c r="M3407">
        <v>-1</v>
      </c>
      <c r="N3407" t="s">
        <v>603</v>
      </c>
      <c r="O3407" t="s">
        <v>604</v>
      </c>
    </row>
    <row r="3408" spans="1:16" x14ac:dyDescent="0.25">
      <c r="A3408">
        <v>27827027</v>
      </c>
      <c r="B3408" t="s">
        <v>601</v>
      </c>
      <c r="C3408" s="4">
        <v>44771.507115196757</v>
      </c>
      <c r="F3408" t="s">
        <v>18</v>
      </c>
      <c r="G3408" t="s">
        <v>228</v>
      </c>
      <c r="K3408" t="s">
        <v>602</v>
      </c>
      <c r="L3408" t="s">
        <v>36</v>
      </c>
      <c r="M3408">
        <v>-1</v>
      </c>
      <c r="N3408" t="s">
        <v>603</v>
      </c>
      <c r="O3408" t="s">
        <v>604</v>
      </c>
    </row>
    <row r="3409" spans="1:16" x14ac:dyDescent="0.25">
      <c r="A3409">
        <v>27827106</v>
      </c>
      <c r="B3409" t="s">
        <v>601</v>
      </c>
      <c r="C3409" s="4">
        <v>44771.507922233803</v>
      </c>
      <c r="E3409" t="s">
        <v>27</v>
      </c>
      <c r="F3409" t="s">
        <v>18</v>
      </c>
      <c r="G3409" t="s">
        <v>375</v>
      </c>
      <c r="J3409" t="s">
        <v>367</v>
      </c>
      <c r="K3409" t="s">
        <v>602</v>
      </c>
      <c r="L3409" t="s">
        <v>21</v>
      </c>
      <c r="M3409">
        <v>390283</v>
      </c>
      <c r="N3409" t="s">
        <v>607</v>
      </c>
      <c r="O3409" t="s">
        <v>608</v>
      </c>
      <c r="P3409" t="s">
        <v>21</v>
      </c>
    </row>
    <row r="3410" spans="1:16" x14ac:dyDescent="0.25">
      <c r="A3410">
        <v>27827120</v>
      </c>
      <c r="B3410" t="s">
        <v>601</v>
      </c>
      <c r="C3410" s="4">
        <v>44771.508184872677</v>
      </c>
      <c r="F3410" t="s">
        <v>18</v>
      </c>
      <c r="G3410" t="s">
        <v>228</v>
      </c>
      <c r="K3410" t="s">
        <v>602</v>
      </c>
      <c r="L3410" t="s">
        <v>36</v>
      </c>
      <c r="M3410">
        <v>-1</v>
      </c>
      <c r="N3410" t="s">
        <v>603</v>
      </c>
      <c r="O3410" t="s">
        <v>604</v>
      </c>
    </row>
    <row r="3411" spans="1:16" x14ac:dyDescent="0.25">
      <c r="A3411">
        <v>27827152</v>
      </c>
      <c r="B3411" t="s">
        <v>601</v>
      </c>
      <c r="C3411" s="4">
        <v>44771.509457881948</v>
      </c>
      <c r="F3411" t="s">
        <v>18</v>
      </c>
      <c r="G3411" t="s">
        <v>228</v>
      </c>
      <c r="K3411" t="s">
        <v>602</v>
      </c>
      <c r="L3411" t="s">
        <v>36</v>
      </c>
      <c r="M3411">
        <v>-1</v>
      </c>
      <c r="N3411" t="s">
        <v>603</v>
      </c>
      <c r="O3411" t="s">
        <v>604</v>
      </c>
    </row>
    <row r="3412" spans="1:16" x14ac:dyDescent="0.25">
      <c r="A3412">
        <v>27827181</v>
      </c>
      <c r="B3412" t="s">
        <v>601</v>
      </c>
      <c r="C3412" s="4">
        <v>44771.510459016201</v>
      </c>
      <c r="F3412" t="s">
        <v>18</v>
      </c>
      <c r="G3412" t="s">
        <v>228</v>
      </c>
      <c r="K3412" t="s">
        <v>602</v>
      </c>
      <c r="L3412" t="s">
        <v>36</v>
      </c>
      <c r="M3412">
        <v>-1</v>
      </c>
      <c r="N3412" t="s">
        <v>603</v>
      </c>
      <c r="O3412" t="s">
        <v>604</v>
      </c>
    </row>
    <row r="3413" spans="1:16" x14ac:dyDescent="0.25">
      <c r="A3413">
        <v>27827204</v>
      </c>
      <c r="B3413" t="s">
        <v>601</v>
      </c>
      <c r="C3413" s="4">
        <v>44771.510749097222</v>
      </c>
      <c r="F3413" t="s">
        <v>18</v>
      </c>
      <c r="G3413" t="s">
        <v>228</v>
      </c>
      <c r="K3413" t="s">
        <v>602</v>
      </c>
      <c r="L3413" t="s">
        <v>36</v>
      </c>
      <c r="M3413">
        <v>-1</v>
      </c>
      <c r="N3413" t="s">
        <v>603</v>
      </c>
      <c r="O3413" t="s">
        <v>604</v>
      </c>
    </row>
    <row r="3414" spans="1:16" x14ac:dyDescent="0.25">
      <c r="A3414">
        <v>27827357</v>
      </c>
      <c r="B3414" t="s">
        <v>601</v>
      </c>
      <c r="C3414" s="4">
        <v>44771.51451158565</v>
      </c>
      <c r="F3414" t="s">
        <v>18</v>
      </c>
      <c r="G3414" t="s">
        <v>228</v>
      </c>
      <c r="K3414" t="s">
        <v>602</v>
      </c>
      <c r="L3414" t="s">
        <v>36</v>
      </c>
      <c r="M3414">
        <v>-1</v>
      </c>
      <c r="N3414" t="s">
        <v>603</v>
      </c>
      <c r="O3414" t="s">
        <v>604</v>
      </c>
    </row>
    <row r="3415" spans="1:16" x14ac:dyDescent="0.25">
      <c r="A3415">
        <v>27827452</v>
      </c>
      <c r="B3415" t="s">
        <v>601</v>
      </c>
      <c r="C3415" s="4">
        <v>44771.516885254627</v>
      </c>
      <c r="F3415" t="s">
        <v>18</v>
      </c>
      <c r="G3415" t="s">
        <v>228</v>
      </c>
      <c r="K3415" t="s">
        <v>602</v>
      </c>
      <c r="L3415" t="s">
        <v>36</v>
      </c>
      <c r="M3415">
        <v>-1</v>
      </c>
      <c r="N3415" t="s">
        <v>603</v>
      </c>
      <c r="O3415" t="s">
        <v>604</v>
      </c>
    </row>
    <row r="3416" spans="1:16" x14ac:dyDescent="0.25">
      <c r="A3416">
        <v>27827513</v>
      </c>
      <c r="B3416" t="s">
        <v>601</v>
      </c>
      <c r="C3416" s="4">
        <v>44771.518795995369</v>
      </c>
      <c r="F3416" t="s">
        <v>18</v>
      </c>
      <c r="G3416" t="s">
        <v>228</v>
      </c>
      <c r="K3416" t="s">
        <v>602</v>
      </c>
      <c r="L3416" t="s">
        <v>36</v>
      </c>
      <c r="M3416">
        <v>-1</v>
      </c>
      <c r="N3416" t="s">
        <v>603</v>
      </c>
      <c r="O3416" t="s">
        <v>604</v>
      </c>
    </row>
    <row r="3417" spans="1:16" x14ac:dyDescent="0.25">
      <c r="A3417">
        <v>27827591</v>
      </c>
      <c r="B3417" t="s">
        <v>601</v>
      </c>
      <c r="C3417" s="4">
        <v>44771.521263541668</v>
      </c>
      <c r="F3417" t="s">
        <v>18</v>
      </c>
      <c r="G3417" t="s">
        <v>228</v>
      </c>
      <c r="K3417" t="s">
        <v>602</v>
      </c>
      <c r="L3417" t="s">
        <v>36</v>
      </c>
      <c r="M3417">
        <v>-1</v>
      </c>
      <c r="N3417" t="s">
        <v>603</v>
      </c>
      <c r="O3417" t="s">
        <v>604</v>
      </c>
    </row>
    <row r="3418" spans="1:16" x14ac:dyDescent="0.25">
      <c r="A3418">
        <v>27827621</v>
      </c>
      <c r="B3418" t="s">
        <v>601</v>
      </c>
      <c r="C3418" s="4">
        <v>44771.521785219913</v>
      </c>
      <c r="F3418" t="s">
        <v>18</v>
      </c>
      <c r="G3418" t="s">
        <v>228</v>
      </c>
      <c r="K3418" t="s">
        <v>602</v>
      </c>
      <c r="L3418" t="s">
        <v>36</v>
      </c>
      <c r="M3418">
        <v>-1</v>
      </c>
      <c r="N3418" t="s">
        <v>603</v>
      </c>
      <c r="O3418" t="s">
        <v>604</v>
      </c>
    </row>
    <row r="3419" spans="1:16" x14ac:dyDescent="0.25">
      <c r="A3419">
        <v>27827766</v>
      </c>
      <c r="B3419" t="s">
        <v>601</v>
      </c>
      <c r="C3419" s="4">
        <v>44771.526133032407</v>
      </c>
      <c r="F3419" t="s">
        <v>18</v>
      </c>
      <c r="G3419" t="s">
        <v>228</v>
      </c>
      <c r="K3419" t="s">
        <v>602</v>
      </c>
      <c r="L3419" t="s">
        <v>36</v>
      </c>
      <c r="M3419">
        <v>-1</v>
      </c>
      <c r="N3419" t="s">
        <v>603</v>
      </c>
      <c r="O3419" t="s">
        <v>604</v>
      </c>
    </row>
    <row r="3420" spans="1:16" x14ac:dyDescent="0.25">
      <c r="A3420">
        <v>27827831</v>
      </c>
      <c r="B3420" t="s">
        <v>601</v>
      </c>
      <c r="C3420" s="4">
        <v>44771.528439548609</v>
      </c>
      <c r="F3420" t="s">
        <v>18</v>
      </c>
      <c r="G3420" t="s">
        <v>228</v>
      </c>
      <c r="K3420" t="s">
        <v>602</v>
      </c>
      <c r="L3420" t="s">
        <v>36</v>
      </c>
      <c r="M3420">
        <v>-1</v>
      </c>
      <c r="N3420" t="s">
        <v>603</v>
      </c>
      <c r="O3420" t="s">
        <v>604</v>
      </c>
    </row>
    <row r="3421" spans="1:16" x14ac:dyDescent="0.25">
      <c r="A3421">
        <v>27828027</v>
      </c>
      <c r="B3421" t="s">
        <v>601</v>
      </c>
      <c r="C3421" s="4">
        <v>44771.533421111111</v>
      </c>
      <c r="F3421" t="s">
        <v>18</v>
      </c>
      <c r="G3421" t="s">
        <v>228</v>
      </c>
      <c r="K3421" t="s">
        <v>602</v>
      </c>
      <c r="L3421" t="s">
        <v>36</v>
      </c>
      <c r="M3421">
        <v>-1</v>
      </c>
      <c r="N3421" t="s">
        <v>603</v>
      </c>
      <c r="O3421" t="s">
        <v>604</v>
      </c>
    </row>
    <row r="3422" spans="1:16" x14ac:dyDescent="0.25">
      <c r="A3422">
        <v>27828044</v>
      </c>
      <c r="B3422" t="s">
        <v>601</v>
      </c>
      <c r="C3422" s="4">
        <v>44771.533872916669</v>
      </c>
      <c r="F3422" t="s">
        <v>18</v>
      </c>
      <c r="G3422" t="s">
        <v>228</v>
      </c>
      <c r="K3422" t="s">
        <v>602</v>
      </c>
      <c r="L3422" t="s">
        <v>36</v>
      </c>
      <c r="M3422">
        <v>-1</v>
      </c>
      <c r="N3422" t="s">
        <v>603</v>
      </c>
      <c r="O3422" t="s">
        <v>604</v>
      </c>
    </row>
    <row r="3423" spans="1:16" x14ac:dyDescent="0.25">
      <c r="A3423">
        <v>27828244</v>
      </c>
      <c r="B3423" t="s">
        <v>601</v>
      </c>
      <c r="C3423" s="4">
        <v>44771.538295474536</v>
      </c>
      <c r="F3423" t="s">
        <v>18</v>
      </c>
      <c r="G3423" t="s">
        <v>228</v>
      </c>
      <c r="K3423" t="s">
        <v>602</v>
      </c>
      <c r="L3423" t="s">
        <v>36</v>
      </c>
      <c r="M3423">
        <v>-1</v>
      </c>
      <c r="N3423" t="s">
        <v>603</v>
      </c>
      <c r="O3423" t="s">
        <v>604</v>
      </c>
    </row>
    <row r="3424" spans="1:16" x14ac:dyDescent="0.25">
      <c r="A3424">
        <v>27828380</v>
      </c>
      <c r="B3424" t="s">
        <v>601</v>
      </c>
      <c r="C3424" s="4">
        <v>44771.543071493063</v>
      </c>
      <c r="F3424" t="s">
        <v>18</v>
      </c>
      <c r="G3424" t="s">
        <v>228</v>
      </c>
      <c r="K3424" t="s">
        <v>602</v>
      </c>
      <c r="L3424" t="s">
        <v>36</v>
      </c>
      <c r="M3424">
        <v>-1</v>
      </c>
      <c r="N3424" t="s">
        <v>603</v>
      </c>
      <c r="O3424" t="s">
        <v>604</v>
      </c>
    </row>
    <row r="3425" spans="1:16" x14ac:dyDescent="0.25">
      <c r="A3425">
        <v>27828442</v>
      </c>
      <c r="B3425" t="s">
        <v>601</v>
      </c>
      <c r="C3425" s="4">
        <v>44771.544180555553</v>
      </c>
      <c r="F3425" t="s">
        <v>18</v>
      </c>
      <c r="G3425" t="s">
        <v>228</v>
      </c>
      <c r="K3425" t="s">
        <v>602</v>
      </c>
      <c r="L3425" t="s">
        <v>36</v>
      </c>
      <c r="M3425">
        <v>-1</v>
      </c>
      <c r="N3425" t="s">
        <v>603</v>
      </c>
      <c r="O3425" t="s">
        <v>604</v>
      </c>
    </row>
    <row r="3426" spans="1:16" x14ac:dyDescent="0.25">
      <c r="A3426">
        <v>27828623</v>
      </c>
      <c r="B3426" t="s">
        <v>601</v>
      </c>
      <c r="C3426" s="4">
        <v>44771.549901620368</v>
      </c>
      <c r="F3426" t="s">
        <v>18</v>
      </c>
      <c r="G3426" t="s">
        <v>228</v>
      </c>
      <c r="K3426" t="s">
        <v>602</v>
      </c>
      <c r="L3426" t="s">
        <v>36</v>
      </c>
      <c r="M3426">
        <v>-1</v>
      </c>
      <c r="N3426" t="s">
        <v>603</v>
      </c>
      <c r="O3426" t="s">
        <v>604</v>
      </c>
    </row>
    <row r="3427" spans="1:16" x14ac:dyDescent="0.25">
      <c r="A3427">
        <v>27828638</v>
      </c>
      <c r="B3427" t="s">
        <v>601</v>
      </c>
      <c r="C3427" s="4">
        <v>44771.550199178237</v>
      </c>
      <c r="F3427" t="s">
        <v>18</v>
      </c>
      <c r="G3427" t="s">
        <v>228</v>
      </c>
      <c r="K3427" t="s">
        <v>602</v>
      </c>
      <c r="L3427" t="s">
        <v>36</v>
      </c>
      <c r="M3427">
        <v>-1</v>
      </c>
      <c r="N3427" t="s">
        <v>603</v>
      </c>
      <c r="O3427" t="s">
        <v>604</v>
      </c>
    </row>
    <row r="3428" spans="1:16" x14ac:dyDescent="0.25">
      <c r="A3428">
        <v>27828920</v>
      </c>
      <c r="B3428" t="s">
        <v>601</v>
      </c>
      <c r="C3428" s="4">
        <v>44771.557681168983</v>
      </c>
      <c r="F3428" t="s">
        <v>18</v>
      </c>
      <c r="G3428" t="s">
        <v>228</v>
      </c>
      <c r="K3428" t="s">
        <v>602</v>
      </c>
      <c r="L3428" t="s">
        <v>36</v>
      </c>
      <c r="M3428">
        <v>-1</v>
      </c>
      <c r="N3428" t="s">
        <v>603</v>
      </c>
      <c r="O3428" t="s">
        <v>604</v>
      </c>
    </row>
    <row r="3429" spans="1:16" x14ac:dyDescent="0.25">
      <c r="A3429">
        <v>27829088</v>
      </c>
      <c r="B3429" t="s">
        <v>601</v>
      </c>
      <c r="C3429" s="4">
        <v>44771.561739837962</v>
      </c>
      <c r="F3429" t="s">
        <v>18</v>
      </c>
      <c r="G3429" t="s">
        <v>228</v>
      </c>
      <c r="K3429" t="s">
        <v>602</v>
      </c>
      <c r="L3429" t="s">
        <v>36</v>
      </c>
      <c r="M3429">
        <v>-1</v>
      </c>
      <c r="N3429" t="s">
        <v>603</v>
      </c>
      <c r="O3429" t="s">
        <v>604</v>
      </c>
    </row>
    <row r="3430" spans="1:16" x14ac:dyDescent="0.25">
      <c r="A3430">
        <v>27829217</v>
      </c>
      <c r="B3430" t="s">
        <v>601</v>
      </c>
      <c r="C3430" s="4">
        <v>44771.565652291669</v>
      </c>
      <c r="F3430" t="s">
        <v>18</v>
      </c>
      <c r="G3430" t="s">
        <v>228</v>
      </c>
      <c r="K3430" t="s">
        <v>602</v>
      </c>
      <c r="L3430" t="s">
        <v>36</v>
      </c>
      <c r="M3430">
        <v>-1</v>
      </c>
      <c r="N3430" t="s">
        <v>603</v>
      </c>
      <c r="O3430" t="s">
        <v>604</v>
      </c>
    </row>
    <row r="3431" spans="1:16" x14ac:dyDescent="0.25">
      <c r="A3431">
        <v>27829226</v>
      </c>
      <c r="B3431" t="s">
        <v>601</v>
      </c>
      <c r="C3431" s="4">
        <v>44771.56574928241</v>
      </c>
      <c r="F3431" t="s">
        <v>18</v>
      </c>
      <c r="G3431" t="s">
        <v>429</v>
      </c>
      <c r="J3431" t="s">
        <v>900</v>
      </c>
      <c r="K3431" t="s">
        <v>602</v>
      </c>
      <c r="L3431" t="s">
        <v>36</v>
      </c>
      <c r="M3431">
        <v>390284</v>
      </c>
      <c r="N3431" t="s">
        <v>603</v>
      </c>
      <c r="O3431" t="s">
        <v>604</v>
      </c>
    </row>
    <row r="3432" spans="1:16" x14ac:dyDescent="0.25">
      <c r="A3432">
        <v>27829331</v>
      </c>
      <c r="B3432" t="s">
        <v>601</v>
      </c>
      <c r="C3432" s="4">
        <v>44771.568107222221</v>
      </c>
      <c r="F3432" t="s">
        <v>49</v>
      </c>
      <c r="G3432" t="s">
        <v>132</v>
      </c>
      <c r="J3432" t="s">
        <v>439</v>
      </c>
      <c r="K3432" t="s">
        <v>602</v>
      </c>
      <c r="L3432" t="s">
        <v>36</v>
      </c>
      <c r="M3432">
        <v>390285</v>
      </c>
      <c r="N3432" t="s">
        <v>620</v>
      </c>
      <c r="O3432" t="s">
        <v>621</v>
      </c>
    </row>
    <row r="3433" spans="1:16" x14ac:dyDescent="0.25">
      <c r="A3433">
        <v>27829339</v>
      </c>
      <c r="B3433" t="s">
        <v>601</v>
      </c>
      <c r="C3433" s="4">
        <v>44771.56825744213</v>
      </c>
      <c r="F3433" t="s">
        <v>18</v>
      </c>
      <c r="G3433" t="s">
        <v>228</v>
      </c>
      <c r="K3433" t="s">
        <v>602</v>
      </c>
      <c r="L3433" t="s">
        <v>36</v>
      </c>
      <c r="M3433">
        <v>-1</v>
      </c>
      <c r="N3433" t="s">
        <v>603</v>
      </c>
      <c r="O3433" t="s">
        <v>604</v>
      </c>
    </row>
    <row r="3434" spans="1:16" x14ac:dyDescent="0.25">
      <c r="A3434">
        <v>27829448</v>
      </c>
      <c r="B3434" t="s">
        <v>601</v>
      </c>
      <c r="C3434" s="4">
        <v>44771.570916932869</v>
      </c>
      <c r="F3434" t="s">
        <v>18</v>
      </c>
      <c r="G3434" t="s">
        <v>228</v>
      </c>
      <c r="K3434" t="s">
        <v>602</v>
      </c>
      <c r="L3434" t="s">
        <v>36</v>
      </c>
      <c r="M3434">
        <v>-1</v>
      </c>
      <c r="N3434" t="s">
        <v>603</v>
      </c>
      <c r="O3434" t="s">
        <v>604</v>
      </c>
    </row>
    <row r="3435" spans="1:16" x14ac:dyDescent="0.25">
      <c r="A3435">
        <v>27829844</v>
      </c>
      <c r="B3435" t="s">
        <v>601</v>
      </c>
      <c r="C3435" s="4">
        <v>44771.578583206021</v>
      </c>
      <c r="F3435" t="s">
        <v>18</v>
      </c>
      <c r="G3435" t="s">
        <v>228</v>
      </c>
      <c r="K3435" t="s">
        <v>602</v>
      </c>
      <c r="L3435" t="s">
        <v>36</v>
      </c>
      <c r="M3435">
        <v>-1</v>
      </c>
      <c r="N3435" t="s">
        <v>603</v>
      </c>
      <c r="O3435" t="s">
        <v>604</v>
      </c>
    </row>
    <row r="3436" spans="1:16" x14ac:dyDescent="0.25">
      <c r="A3436">
        <v>27830064</v>
      </c>
      <c r="B3436" t="s">
        <v>601</v>
      </c>
      <c r="C3436" s="4">
        <v>44771.583042418977</v>
      </c>
      <c r="F3436" t="s">
        <v>18</v>
      </c>
      <c r="G3436" t="s">
        <v>228</v>
      </c>
      <c r="K3436" t="s">
        <v>602</v>
      </c>
      <c r="L3436" t="s">
        <v>36</v>
      </c>
      <c r="M3436">
        <v>-1</v>
      </c>
      <c r="N3436" t="s">
        <v>603</v>
      </c>
      <c r="O3436" t="s">
        <v>604</v>
      </c>
    </row>
    <row r="3437" spans="1:16" x14ac:dyDescent="0.25">
      <c r="A3437">
        <v>27830071</v>
      </c>
      <c r="B3437" t="s">
        <v>601</v>
      </c>
      <c r="C3437" s="4">
        <v>44771.583067974527</v>
      </c>
      <c r="E3437" t="s">
        <v>27</v>
      </c>
      <c r="F3437" t="s">
        <v>57</v>
      </c>
      <c r="G3437" t="s">
        <v>182</v>
      </c>
      <c r="J3437" t="s">
        <v>2350</v>
      </c>
      <c r="K3437" t="s">
        <v>602</v>
      </c>
      <c r="L3437" t="s">
        <v>21</v>
      </c>
      <c r="M3437">
        <v>390286</v>
      </c>
      <c r="N3437" t="s">
        <v>609</v>
      </c>
      <c r="O3437" t="s">
        <v>610</v>
      </c>
      <c r="P3437" t="s">
        <v>21</v>
      </c>
    </row>
    <row r="3438" spans="1:16" x14ac:dyDescent="0.25">
      <c r="A3438">
        <v>27830279</v>
      </c>
      <c r="B3438" t="s">
        <v>601</v>
      </c>
      <c r="C3438" s="4">
        <v>44771.586968437499</v>
      </c>
      <c r="F3438" t="s">
        <v>18</v>
      </c>
      <c r="G3438" t="s">
        <v>228</v>
      </c>
      <c r="K3438" t="s">
        <v>602</v>
      </c>
      <c r="L3438" t="s">
        <v>36</v>
      </c>
      <c r="M3438">
        <v>-1</v>
      </c>
      <c r="N3438" t="s">
        <v>603</v>
      </c>
      <c r="O3438" t="s">
        <v>604</v>
      </c>
    </row>
    <row r="3439" spans="1:16" x14ac:dyDescent="0.25">
      <c r="A3439">
        <v>27830538</v>
      </c>
      <c r="B3439" t="s">
        <v>601</v>
      </c>
      <c r="C3439" s="4">
        <v>44771.591610312498</v>
      </c>
      <c r="F3439" t="s">
        <v>18</v>
      </c>
      <c r="G3439" t="s">
        <v>228</v>
      </c>
      <c r="K3439" t="s">
        <v>602</v>
      </c>
      <c r="L3439" t="s">
        <v>36</v>
      </c>
      <c r="M3439">
        <v>-1</v>
      </c>
      <c r="N3439" t="s">
        <v>603</v>
      </c>
      <c r="O3439" t="s">
        <v>604</v>
      </c>
    </row>
    <row r="3440" spans="1:16" x14ac:dyDescent="0.25">
      <c r="A3440">
        <v>27831040</v>
      </c>
      <c r="B3440" t="s">
        <v>601</v>
      </c>
      <c r="C3440" s="4">
        <v>44771.600234247693</v>
      </c>
      <c r="F3440" t="s">
        <v>18</v>
      </c>
      <c r="G3440" t="s">
        <v>228</v>
      </c>
      <c r="K3440" t="s">
        <v>602</v>
      </c>
      <c r="L3440" t="s">
        <v>36</v>
      </c>
      <c r="M3440">
        <v>-1</v>
      </c>
      <c r="N3440" t="s">
        <v>603</v>
      </c>
      <c r="O3440" t="s">
        <v>604</v>
      </c>
    </row>
    <row r="3441" spans="1:16" x14ac:dyDescent="0.25">
      <c r="A3441">
        <v>27831831</v>
      </c>
      <c r="B3441" t="s">
        <v>601</v>
      </c>
      <c r="C3441" s="4">
        <v>44771.61690228009</v>
      </c>
      <c r="E3441" t="s">
        <v>27</v>
      </c>
      <c r="F3441" t="s">
        <v>18</v>
      </c>
      <c r="G3441" t="s">
        <v>285</v>
      </c>
      <c r="J3441" t="s">
        <v>1674</v>
      </c>
      <c r="K3441" t="s">
        <v>602</v>
      </c>
      <c r="L3441" t="s">
        <v>21</v>
      </c>
      <c r="M3441">
        <v>390287</v>
      </c>
      <c r="N3441" t="s">
        <v>607</v>
      </c>
      <c r="O3441" t="s">
        <v>608</v>
      </c>
      <c r="P3441" t="s">
        <v>21</v>
      </c>
    </row>
    <row r="3442" spans="1:16" x14ac:dyDescent="0.25">
      <c r="A3442">
        <v>27832018</v>
      </c>
      <c r="B3442" t="s">
        <v>601</v>
      </c>
      <c r="C3442" s="4">
        <v>44771.620518657408</v>
      </c>
      <c r="F3442" t="s">
        <v>18</v>
      </c>
      <c r="G3442" t="s">
        <v>413</v>
      </c>
      <c r="J3442" t="s">
        <v>385</v>
      </c>
      <c r="K3442" t="s">
        <v>602</v>
      </c>
      <c r="L3442" t="s">
        <v>36</v>
      </c>
      <c r="M3442">
        <v>390288</v>
      </c>
      <c r="N3442" t="s">
        <v>618</v>
      </c>
      <c r="O3442" t="s">
        <v>619</v>
      </c>
    </row>
    <row r="3443" spans="1:16" x14ac:dyDescent="0.25">
      <c r="A3443">
        <v>27832149</v>
      </c>
      <c r="B3443" t="s">
        <v>601</v>
      </c>
      <c r="C3443" s="4">
        <v>44771.622998067127</v>
      </c>
      <c r="E3443" t="s">
        <v>379</v>
      </c>
      <c r="F3443" t="s">
        <v>18</v>
      </c>
      <c r="G3443" t="s">
        <v>413</v>
      </c>
      <c r="J3443" t="s">
        <v>385</v>
      </c>
      <c r="K3443" t="s">
        <v>602</v>
      </c>
      <c r="L3443" t="s">
        <v>21</v>
      </c>
      <c r="M3443">
        <v>390289</v>
      </c>
      <c r="N3443" t="s">
        <v>607</v>
      </c>
      <c r="O3443" t="s">
        <v>608</v>
      </c>
      <c r="P3443" t="s">
        <v>21</v>
      </c>
    </row>
    <row r="3444" spans="1:16" x14ac:dyDescent="0.25">
      <c r="A3444">
        <v>27832573</v>
      </c>
      <c r="B3444" t="s">
        <v>601</v>
      </c>
      <c r="C3444" s="4">
        <v>44771.631284456023</v>
      </c>
      <c r="E3444" t="s">
        <v>38</v>
      </c>
      <c r="F3444" t="s">
        <v>23</v>
      </c>
      <c r="G3444" t="s">
        <v>224</v>
      </c>
      <c r="J3444" t="s">
        <v>406</v>
      </c>
      <c r="K3444" t="s">
        <v>602</v>
      </c>
      <c r="L3444" t="s">
        <v>36</v>
      </c>
      <c r="M3444">
        <v>390290</v>
      </c>
      <c r="N3444" t="s">
        <v>603</v>
      </c>
      <c r="O3444" t="s">
        <v>604</v>
      </c>
    </row>
    <row r="3445" spans="1:16" x14ac:dyDescent="0.25">
      <c r="A3445">
        <v>27833817</v>
      </c>
      <c r="B3445" t="s">
        <v>601</v>
      </c>
      <c r="C3445" s="4">
        <v>44771.656595520843</v>
      </c>
      <c r="E3445" t="s">
        <v>62</v>
      </c>
      <c r="F3445" t="s">
        <v>57</v>
      </c>
      <c r="G3445" t="s">
        <v>401</v>
      </c>
      <c r="J3445" t="s">
        <v>1727</v>
      </c>
      <c r="K3445" t="s">
        <v>602</v>
      </c>
      <c r="L3445" t="s">
        <v>36</v>
      </c>
      <c r="M3445">
        <v>390291</v>
      </c>
      <c r="N3445" t="s">
        <v>2351</v>
      </c>
      <c r="O3445" t="s">
        <v>2352</v>
      </c>
      <c r="P3445" t="s">
        <v>36</v>
      </c>
    </row>
    <row r="3446" spans="1:16" x14ac:dyDescent="0.25">
      <c r="A3446">
        <v>27834307</v>
      </c>
      <c r="B3446" t="s">
        <v>601</v>
      </c>
      <c r="C3446" s="4">
        <v>44771.665380752318</v>
      </c>
      <c r="E3446" t="s">
        <v>38</v>
      </c>
      <c r="F3446" t="s">
        <v>49</v>
      </c>
      <c r="G3446" t="s">
        <v>106</v>
      </c>
      <c r="J3446" t="s">
        <v>1750</v>
      </c>
      <c r="K3446" t="s">
        <v>602</v>
      </c>
      <c r="L3446" t="s">
        <v>21</v>
      </c>
      <c r="M3446">
        <v>390292</v>
      </c>
      <c r="N3446" t="s">
        <v>607</v>
      </c>
      <c r="O3446" t="s">
        <v>608</v>
      </c>
      <c r="P3446" t="s">
        <v>21</v>
      </c>
    </row>
    <row r="3447" spans="1:16" x14ac:dyDescent="0.25">
      <c r="A3447">
        <v>27834432</v>
      </c>
      <c r="B3447" t="s">
        <v>601</v>
      </c>
      <c r="C3447" s="4">
        <v>44771.668057673611</v>
      </c>
      <c r="F3447" t="s">
        <v>49</v>
      </c>
      <c r="G3447" t="s">
        <v>250</v>
      </c>
      <c r="J3447" t="s">
        <v>630</v>
      </c>
      <c r="K3447" t="s">
        <v>602</v>
      </c>
      <c r="L3447" t="s">
        <v>21</v>
      </c>
      <c r="M3447">
        <v>390293</v>
      </c>
      <c r="N3447" t="s">
        <v>611</v>
      </c>
      <c r="O3447" t="s">
        <v>612</v>
      </c>
    </row>
    <row r="3448" spans="1:16" x14ac:dyDescent="0.25">
      <c r="A3448">
        <v>27834593</v>
      </c>
      <c r="B3448" t="s">
        <v>601</v>
      </c>
      <c r="C3448" s="4">
        <v>44771.671410891213</v>
      </c>
      <c r="E3448" t="s">
        <v>430</v>
      </c>
      <c r="F3448" t="s">
        <v>18</v>
      </c>
      <c r="G3448" t="s">
        <v>154</v>
      </c>
      <c r="J3448" t="s">
        <v>1775</v>
      </c>
      <c r="K3448" t="s">
        <v>602</v>
      </c>
      <c r="L3448" t="s">
        <v>21</v>
      </c>
      <c r="M3448">
        <v>390294</v>
      </c>
      <c r="N3448" t="s">
        <v>607</v>
      </c>
      <c r="O3448" t="s">
        <v>608</v>
      </c>
      <c r="P3448" t="s">
        <v>21</v>
      </c>
    </row>
    <row r="3449" spans="1:16" x14ac:dyDescent="0.25">
      <c r="A3449">
        <v>27834696</v>
      </c>
      <c r="B3449" t="s">
        <v>601</v>
      </c>
      <c r="C3449" s="4">
        <v>44771.672976458343</v>
      </c>
      <c r="F3449" t="s">
        <v>33</v>
      </c>
      <c r="G3449" t="s">
        <v>425</v>
      </c>
      <c r="J3449" t="s">
        <v>353</v>
      </c>
      <c r="K3449" t="s">
        <v>602</v>
      </c>
      <c r="L3449" t="s">
        <v>36</v>
      </c>
      <c r="M3449">
        <v>390295</v>
      </c>
      <c r="N3449" t="s">
        <v>603</v>
      </c>
      <c r="O3449" t="s">
        <v>604</v>
      </c>
    </row>
    <row r="3450" spans="1:16" x14ac:dyDescent="0.25">
      <c r="A3450">
        <v>27834974</v>
      </c>
      <c r="B3450" t="s">
        <v>601</v>
      </c>
      <c r="C3450" s="4">
        <v>44771.678887314818</v>
      </c>
      <c r="F3450" t="s">
        <v>33</v>
      </c>
      <c r="G3450" t="s">
        <v>425</v>
      </c>
      <c r="J3450" t="s">
        <v>353</v>
      </c>
      <c r="K3450" t="s">
        <v>602</v>
      </c>
      <c r="L3450" t="s">
        <v>36</v>
      </c>
      <c r="M3450">
        <v>390296</v>
      </c>
      <c r="N3450" t="s">
        <v>603</v>
      </c>
      <c r="O3450" t="s">
        <v>604</v>
      </c>
    </row>
    <row r="3451" spans="1:16" x14ac:dyDescent="0.25">
      <c r="A3451">
        <v>27835049</v>
      </c>
      <c r="B3451" t="s">
        <v>601</v>
      </c>
      <c r="C3451" s="4">
        <v>44771.680255023151</v>
      </c>
      <c r="F3451" t="s">
        <v>33</v>
      </c>
      <c r="G3451" t="s">
        <v>425</v>
      </c>
      <c r="J3451" t="s">
        <v>353</v>
      </c>
      <c r="K3451" t="s">
        <v>602</v>
      </c>
      <c r="L3451" t="s">
        <v>36</v>
      </c>
      <c r="M3451">
        <v>390297</v>
      </c>
      <c r="N3451" t="s">
        <v>2340</v>
      </c>
      <c r="O3451" t="s">
        <v>2341</v>
      </c>
      <c r="P3451" t="s">
        <v>36</v>
      </c>
    </row>
    <row r="3452" spans="1:16" x14ac:dyDescent="0.25">
      <c r="A3452">
        <v>27835690</v>
      </c>
      <c r="B3452" t="s">
        <v>601</v>
      </c>
      <c r="C3452" s="4">
        <v>44771.695712129629</v>
      </c>
      <c r="F3452" t="s">
        <v>23</v>
      </c>
      <c r="G3452" t="s">
        <v>224</v>
      </c>
      <c r="J3452" t="s">
        <v>406</v>
      </c>
      <c r="K3452" t="s">
        <v>602</v>
      </c>
      <c r="L3452" t="s">
        <v>36</v>
      </c>
      <c r="M3452">
        <v>390298</v>
      </c>
      <c r="N3452" t="s">
        <v>618</v>
      </c>
      <c r="O3452" t="s">
        <v>619</v>
      </c>
    </row>
    <row r="3453" spans="1:16" x14ac:dyDescent="0.25">
      <c r="A3453">
        <v>27835997</v>
      </c>
      <c r="B3453" t="s">
        <v>601</v>
      </c>
      <c r="C3453" s="4">
        <v>44771.701173298607</v>
      </c>
      <c r="F3453" t="s">
        <v>18</v>
      </c>
      <c r="G3453" t="s">
        <v>226</v>
      </c>
      <c r="J3453" t="s">
        <v>1834</v>
      </c>
      <c r="K3453" t="s">
        <v>602</v>
      </c>
      <c r="L3453" t="s">
        <v>36</v>
      </c>
      <c r="M3453">
        <v>390299</v>
      </c>
      <c r="N3453" t="s">
        <v>603</v>
      </c>
      <c r="O3453" t="s">
        <v>604</v>
      </c>
    </row>
    <row r="3454" spans="1:16" x14ac:dyDescent="0.25">
      <c r="A3454">
        <v>27836484</v>
      </c>
      <c r="B3454" t="s">
        <v>601</v>
      </c>
      <c r="C3454" s="4">
        <v>44771.711187361107</v>
      </c>
      <c r="E3454" t="s">
        <v>1272</v>
      </c>
      <c r="F3454" t="s">
        <v>18</v>
      </c>
      <c r="G3454" t="s">
        <v>226</v>
      </c>
      <c r="J3454" t="s">
        <v>1834</v>
      </c>
      <c r="K3454" t="s">
        <v>602</v>
      </c>
      <c r="L3454" t="s">
        <v>21</v>
      </c>
      <c r="M3454">
        <v>390300</v>
      </c>
      <c r="N3454" t="s">
        <v>607</v>
      </c>
      <c r="O3454" t="s">
        <v>608</v>
      </c>
      <c r="P3454" t="s">
        <v>21</v>
      </c>
    </row>
    <row r="3455" spans="1:16" x14ac:dyDescent="0.25">
      <c r="A3455">
        <v>27836687</v>
      </c>
      <c r="B3455" t="s">
        <v>601</v>
      </c>
      <c r="C3455" s="4">
        <v>44771.715422372683</v>
      </c>
      <c r="F3455" t="s">
        <v>18</v>
      </c>
      <c r="G3455" t="s">
        <v>278</v>
      </c>
      <c r="K3455" t="s">
        <v>602</v>
      </c>
      <c r="L3455" t="s">
        <v>21</v>
      </c>
      <c r="M3455">
        <v>390301</v>
      </c>
      <c r="N3455" t="s">
        <v>611</v>
      </c>
      <c r="O3455" t="s">
        <v>612</v>
      </c>
    </row>
    <row r="3456" spans="1:16" x14ac:dyDescent="0.25">
      <c r="A3456">
        <v>27836825</v>
      </c>
      <c r="B3456" t="s">
        <v>601</v>
      </c>
      <c r="C3456" s="4">
        <v>44771.718647650458</v>
      </c>
      <c r="F3456" t="s">
        <v>18</v>
      </c>
      <c r="G3456" t="s">
        <v>278</v>
      </c>
      <c r="K3456" t="s">
        <v>602</v>
      </c>
      <c r="L3456" t="s">
        <v>36</v>
      </c>
      <c r="M3456">
        <v>390302</v>
      </c>
      <c r="N3456" t="s">
        <v>603</v>
      </c>
      <c r="O3456" t="s">
        <v>604</v>
      </c>
    </row>
    <row r="3457" spans="1:16" x14ac:dyDescent="0.25">
      <c r="A3457">
        <v>27836883</v>
      </c>
      <c r="B3457" t="s">
        <v>601</v>
      </c>
      <c r="C3457" s="4">
        <v>44771.719130775462</v>
      </c>
      <c r="E3457" t="s">
        <v>62</v>
      </c>
      <c r="F3457" t="s">
        <v>18</v>
      </c>
      <c r="G3457" t="s">
        <v>61</v>
      </c>
      <c r="J3457" t="s">
        <v>1866</v>
      </c>
      <c r="K3457" t="s">
        <v>602</v>
      </c>
      <c r="L3457" t="s">
        <v>21</v>
      </c>
      <c r="M3457">
        <v>390303</v>
      </c>
      <c r="N3457" t="s">
        <v>607</v>
      </c>
      <c r="O3457" t="s">
        <v>608</v>
      </c>
      <c r="P3457" t="s">
        <v>21</v>
      </c>
    </row>
    <row r="3458" spans="1:16" x14ac:dyDescent="0.25">
      <c r="A3458">
        <v>27836915</v>
      </c>
      <c r="B3458" t="s">
        <v>601</v>
      </c>
      <c r="C3458" s="4">
        <v>44771.71957173611</v>
      </c>
      <c r="E3458" t="s">
        <v>62</v>
      </c>
      <c r="F3458" t="s">
        <v>18</v>
      </c>
      <c r="G3458" t="s">
        <v>61</v>
      </c>
      <c r="J3458" t="s">
        <v>1866</v>
      </c>
      <c r="K3458" t="s">
        <v>602</v>
      </c>
      <c r="L3458" t="s">
        <v>21</v>
      </c>
      <c r="M3458">
        <v>390304</v>
      </c>
      <c r="N3458" t="s">
        <v>607</v>
      </c>
      <c r="O3458" t="s">
        <v>608</v>
      </c>
      <c r="P3458" t="s">
        <v>21</v>
      </c>
    </row>
    <row r="3459" spans="1:16" x14ac:dyDescent="0.25">
      <c r="A3459">
        <v>27837215</v>
      </c>
      <c r="B3459" t="s">
        <v>601</v>
      </c>
      <c r="C3459" s="4">
        <v>44771.725580555547</v>
      </c>
      <c r="F3459" t="s">
        <v>18</v>
      </c>
      <c r="G3459" t="s">
        <v>278</v>
      </c>
      <c r="K3459" t="s">
        <v>602</v>
      </c>
      <c r="L3459" t="s">
        <v>21</v>
      </c>
      <c r="M3459">
        <v>390305</v>
      </c>
      <c r="N3459" t="s">
        <v>611</v>
      </c>
      <c r="O3459" t="s">
        <v>612</v>
      </c>
    </row>
    <row r="3460" spans="1:16" x14ac:dyDescent="0.25">
      <c r="A3460">
        <v>27837277</v>
      </c>
      <c r="B3460" t="s">
        <v>601</v>
      </c>
      <c r="C3460" s="4">
        <v>44771.726643611109</v>
      </c>
      <c r="F3460" t="s">
        <v>18</v>
      </c>
      <c r="G3460" t="s">
        <v>278</v>
      </c>
      <c r="K3460" t="s">
        <v>602</v>
      </c>
      <c r="L3460" t="s">
        <v>21</v>
      </c>
      <c r="M3460">
        <v>390306</v>
      </c>
      <c r="N3460" t="s">
        <v>611</v>
      </c>
      <c r="O3460" t="s">
        <v>612</v>
      </c>
    </row>
    <row r="3461" spans="1:16" x14ac:dyDescent="0.25">
      <c r="A3461">
        <v>27837334</v>
      </c>
      <c r="B3461" t="s">
        <v>601</v>
      </c>
      <c r="C3461" s="4">
        <v>44771.727543368062</v>
      </c>
      <c r="E3461" t="s">
        <v>44</v>
      </c>
      <c r="F3461" t="s">
        <v>33</v>
      </c>
      <c r="G3461" t="s">
        <v>399</v>
      </c>
      <c r="K3461" t="s">
        <v>602</v>
      </c>
      <c r="L3461" t="s">
        <v>36</v>
      </c>
      <c r="M3461">
        <v>390307</v>
      </c>
      <c r="N3461" t="s">
        <v>614</v>
      </c>
      <c r="O3461" t="s">
        <v>615</v>
      </c>
      <c r="P3461" t="s">
        <v>36</v>
      </c>
    </row>
    <row r="3462" spans="1:16" x14ac:dyDescent="0.25">
      <c r="A3462">
        <v>27837421</v>
      </c>
      <c r="B3462" t="s">
        <v>601</v>
      </c>
      <c r="C3462" s="4">
        <v>44771.729445937497</v>
      </c>
      <c r="E3462" t="s">
        <v>129</v>
      </c>
      <c r="F3462" t="s">
        <v>49</v>
      </c>
      <c r="G3462" t="s">
        <v>132</v>
      </c>
      <c r="J3462" t="s">
        <v>439</v>
      </c>
      <c r="K3462" t="s">
        <v>602</v>
      </c>
      <c r="L3462" t="s">
        <v>36</v>
      </c>
      <c r="M3462">
        <v>390308</v>
      </c>
      <c r="N3462" t="s">
        <v>620</v>
      </c>
      <c r="O3462" t="s">
        <v>621</v>
      </c>
    </row>
    <row r="3463" spans="1:16" x14ac:dyDescent="0.25">
      <c r="A3463">
        <v>27837492</v>
      </c>
      <c r="B3463" t="s">
        <v>601</v>
      </c>
      <c r="C3463" s="4">
        <v>44771.730475069453</v>
      </c>
      <c r="E3463" t="s">
        <v>44</v>
      </c>
      <c r="F3463" t="s">
        <v>33</v>
      </c>
      <c r="G3463" t="s">
        <v>399</v>
      </c>
      <c r="K3463" t="s">
        <v>602</v>
      </c>
      <c r="L3463" t="s">
        <v>36</v>
      </c>
      <c r="M3463">
        <v>390309</v>
      </c>
      <c r="N3463" t="s">
        <v>614</v>
      </c>
      <c r="O3463" t="s">
        <v>615</v>
      </c>
      <c r="P3463" t="s">
        <v>36</v>
      </c>
    </row>
    <row r="3464" spans="1:16" x14ac:dyDescent="0.25">
      <c r="A3464">
        <v>27837503</v>
      </c>
      <c r="B3464" t="s">
        <v>601</v>
      </c>
      <c r="C3464" s="4">
        <v>44771.730592430547</v>
      </c>
      <c r="E3464" t="s">
        <v>129</v>
      </c>
      <c r="F3464" t="s">
        <v>49</v>
      </c>
      <c r="G3464" t="s">
        <v>132</v>
      </c>
      <c r="J3464" t="s">
        <v>439</v>
      </c>
      <c r="K3464" t="s">
        <v>602</v>
      </c>
      <c r="L3464" t="s">
        <v>36</v>
      </c>
      <c r="M3464">
        <v>390310</v>
      </c>
      <c r="N3464" t="s">
        <v>620</v>
      </c>
      <c r="O3464" t="s">
        <v>621</v>
      </c>
    </row>
    <row r="3465" spans="1:16" x14ac:dyDescent="0.25">
      <c r="A3465">
        <v>27837636</v>
      </c>
      <c r="B3465" t="s">
        <v>601</v>
      </c>
      <c r="C3465" s="4">
        <v>44771.733279907407</v>
      </c>
      <c r="F3465" t="s">
        <v>49</v>
      </c>
      <c r="G3465" t="s">
        <v>132</v>
      </c>
      <c r="J3465" t="s">
        <v>439</v>
      </c>
      <c r="K3465" t="s">
        <v>602</v>
      </c>
      <c r="L3465" t="s">
        <v>36</v>
      </c>
      <c r="M3465">
        <v>390311</v>
      </c>
      <c r="N3465" t="s">
        <v>620</v>
      </c>
      <c r="O3465" t="s">
        <v>621</v>
      </c>
    </row>
    <row r="3466" spans="1:16" x14ac:dyDescent="0.25">
      <c r="A3466">
        <v>27838383</v>
      </c>
      <c r="B3466" t="s">
        <v>601</v>
      </c>
      <c r="C3466" s="4">
        <v>44771.74965730324</v>
      </c>
      <c r="E3466" t="s">
        <v>129</v>
      </c>
      <c r="F3466" t="s">
        <v>49</v>
      </c>
      <c r="G3466" t="s">
        <v>73</v>
      </c>
      <c r="J3466" t="s">
        <v>540</v>
      </c>
      <c r="K3466" t="s">
        <v>602</v>
      </c>
      <c r="L3466" t="s">
        <v>21</v>
      </c>
      <c r="M3466">
        <v>390312</v>
      </c>
      <c r="N3466" t="s">
        <v>607</v>
      </c>
      <c r="O3466" t="s">
        <v>608</v>
      </c>
      <c r="P3466" t="s">
        <v>21</v>
      </c>
    </row>
    <row r="3467" spans="1:16" x14ac:dyDescent="0.25">
      <c r="A3467">
        <v>27838550</v>
      </c>
      <c r="B3467" t="s">
        <v>601</v>
      </c>
      <c r="C3467" s="4">
        <v>44771.7525646875</v>
      </c>
      <c r="E3467" t="s">
        <v>129</v>
      </c>
      <c r="F3467" t="s">
        <v>18</v>
      </c>
      <c r="G3467" t="s">
        <v>186</v>
      </c>
      <c r="J3467" t="s">
        <v>538</v>
      </c>
      <c r="K3467" t="s">
        <v>602</v>
      </c>
      <c r="L3467" t="s">
        <v>21</v>
      </c>
      <c r="M3467">
        <v>390313</v>
      </c>
      <c r="N3467" t="s">
        <v>607</v>
      </c>
      <c r="O3467" t="s">
        <v>608</v>
      </c>
      <c r="P3467" t="s">
        <v>21</v>
      </c>
    </row>
    <row r="3468" spans="1:16" x14ac:dyDescent="0.25">
      <c r="A3468">
        <v>27839907</v>
      </c>
      <c r="B3468" t="s">
        <v>601</v>
      </c>
      <c r="C3468" s="4">
        <v>44771.784094502313</v>
      </c>
      <c r="E3468" t="s">
        <v>38</v>
      </c>
      <c r="F3468" t="s">
        <v>23</v>
      </c>
      <c r="G3468" t="s">
        <v>224</v>
      </c>
      <c r="J3468" t="s">
        <v>449</v>
      </c>
      <c r="K3468" t="s">
        <v>602</v>
      </c>
      <c r="L3468" t="s">
        <v>21</v>
      </c>
      <c r="M3468">
        <v>390314</v>
      </c>
      <c r="N3468" t="s">
        <v>607</v>
      </c>
      <c r="O3468" t="s">
        <v>608</v>
      </c>
      <c r="P3468" t="s">
        <v>21</v>
      </c>
    </row>
    <row r="3469" spans="1:16" x14ac:dyDescent="0.25">
      <c r="A3469">
        <v>27840019</v>
      </c>
      <c r="B3469" t="s">
        <v>601</v>
      </c>
      <c r="C3469" s="4">
        <v>44771.785759143517</v>
      </c>
      <c r="F3469" t="s">
        <v>49</v>
      </c>
      <c r="G3469" t="s">
        <v>74</v>
      </c>
      <c r="J3469" t="s">
        <v>989</v>
      </c>
      <c r="K3469" t="s">
        <v>602</v>
      </c>
      <c r="L3469" t="s">
        <v>36</v>
      </c>
      <c r="M3469">
        <v>390315</v>
      </c>
      <c r="N3469" t="s">
        <v>620</v>
      </c>
      <c r="O3469" t="s">
        <v>2353</v>
      </c>
    </row>
    <row r="3470" spans="1:16" x14ac:dyDescent="0.25">
      <c r="A3470">
        <v>27840020</v>
      </c>
      <c r="B3470" t="s">
        <v>601</v>
      </c>
      <c r="C3470" s="4">
        <v>44771.785759282408</v>
      </c>
      <c r="F3470" t="s">
        <v>49</v>
      </c>
      <c r="G3470" t="s">
        <v>74</v>
      </c>
      <c r="J3470" t="s">
        <v>925</v>
      </c>
      <c r="K3470" t="s">
        <v>602</v>
      </c>
      <c r="L3470" t="s">
        <v>36</v>
      </c>
      <c r="M3470">
        <v>390316</v>
      </c>
      <c r="N3470" t="s">
        <v>620</v>
      </c>
      <c r="O3470" t="s">
        <v>2354</v>
      </c>
    </row>
    <row r="3471" spans="1:16" x14ac:dyDescent="0.25">
      <c r="A3471">
        <v>27840301</v>
      </c>
      <c r="B3471" t="s">
        <v>601</v>
      </c>
      <c r="C3471" s="4">
        <v>44771.792642511573</v>
      </c>
      <c r="E3471" t="s">
        <v>30</v>
      </c>
      <c r="F3471" t="s">
        <v>23</v>
      </c>
      <c r="G3471" t="s">
        <v>355</v>
      </c>
      <c r="K3471" t="s">
        <v>602</v>
      </c>
      <c r="L3471" t="s">
        <v>36</v>
      </c>
      <c r="M3471">
        <v>390317</v>
      </c>
      <c r="N3471" t="s">
        <v>2355</v>
      </c>
      <c r="O3471" t="s">
        <v>2356</v>
      </c>
      <c r="P3471" t="s">
        <v>36</v>
      </c>
    </row>
    <row r="3472" spans="1:16" x14ac:dyDescent="0.25">
      <c r="A3472">
        <v>27840983</v>
      </c>
      <c r="B3472" t="s">
        <v>601</v>
      </c>
      <c r="C3472" s="4">
        <v>44771.809124317129</v>
      </c>
      <c r="G3472" t="s">
        <v>228</v>
      </c>
      <c r="K3472" t="s">
        <v>602</v>
      </c>
      <c r="L3472" t="s">
        <v>36</v>
      </c>
      <c r="M3472">
        <v>390318</v>
      </c>
      <c r="N3472" t="s">
        <v>606</v>
      </c>
      <c r="O3472" t="s">
        <v>2357</v>
      </c>
    </row>
    <row r="3473" spans="1:16" x14ac:dyDescent="0.25">
      <c r="A3473">
        <v>27841546</v>
      </c>
      <c r="B3473" t="s">
        <v>601</v>
      </c>
      <c r="C3473" s="4">
        <v>44771.823054803237</v>
      </c>
      <c r="G3473" t="s">
        <v>2343</v>
      </c>
      <c r="K3473" t="s">
        <v>602</v>
      </c>
      <c r="L3473" t="s">
        <v>36</v>
      </c>
      <c r="M3473">
        <v>390319</v>
      </c>
      <c r="N3473" t="s">
        <v>606</v>
      </c>
      <c r="O3473" t="s">
        <v>2358</v>
      </c>
    </row>
    <row r="3474" spans="1:16" x14ac:dyDescent="0.25">
      <c r="A3474">
        <v>27841642</v>
      </c>
      <c r="B3474" t="s">
        <v>601</v>
      </c>
      <c r="C3474" s="4">
        <v>44771.825635034722</v>
      </c>
      <c r="F3474" t="s">
        <v>49</v>
      </c>
      <c r="G3474" t="s">
        <v>132</v>
      </c>
      <c r="J3474" t="s">
        <v>480</v>
      </c>
      <c r="K3474" t="s">
        <v>602</v>
      </c>
      <c r="L3474" t="s">
        <v>36</v>
      </c>
      <c r="M3474">
        <v>390320</v>
      </c>
      <c r="N3474" t="s">
        <v>620</v>
      </c>
      <c r="O3474" t="s">
        <v>621</v>
      </c>
    </row>
    <row r="3475" spans="1:16" x14ac:dyDescent="0.25">
      <c r="A3475">
        <v>27842286</v>
      </c>
      <c r="B3475" t="s">
        <v>601</v>
      </c>
      <c r="C3475" s="4">
        <v>44771.841765138888</v>
      </c>
      <c r="G3475" t="s">
        <v>2343</v>
      </c>
      <c r="K3475" t="s">
        <v>602</v>
      </c>
      <c r="L3475" t="s">
        <v>36</v>
      </c>
      <c r="M3475">
        <v>390321</v>
      </c>
      <c r="N3475" t="s">
        <v>606</v>
      </c>
      <c r="O3475" t="s">
        <v>2358</v>
      </c>
    </row>
    <row r="3476" spans="1:16" x14ac:dyDescent="0.25">
      <c r="A3476">
        <v>27843306</v>
      </c>
      <c r="B3476" t="s">
        <v>601</v>
      </c>
      <c r="C3476" s="4">
        <v>44771.868200578712</v>
      </c>
      <c r="G3476" t="s">
        <v>402</v>
      </c>
      <c r="K3476" t="s">
        <v>602</v>
      </c>
      <c r="L3476" t="s">
        <v>36</v>
      </c>
      <c r="M3476">
        <v>390322</v>
      </c>
      <c r="N3476" t="s">
        <v>606</v>
      </c>
      <c r="O3476" t="s">
        <v>2359</v>
      </c>
    </row>
    <row r="3477" spans="1:16" x14ac:dyDescent="0.25">
      <c r="A3477">
        <v>27843459</v>
      </c>
      <c r="B3477" t="s">
        <v>601</v>
      </c>
      <c r="C3477" s="4">
        <v>44771.872047280092</v>
      </c>
      <c r="E3477" t="s">
        <v>27</v>
      </c>
      <c r="F3477" t="s">
        <v>18</v>
      </c>
      <c r="G3477" t="s">
        <v>226</v>
      </c>
      <c r="J3477" t="s">
        <v>2145</v>
      </c>
      <c r="K3477" t="s">
        <v>602</v>
      </c>
      <c r="L3477" t="s">
        <v>21</v>
      </c>
      <c r="M3477">
        <v>390323</v>
      </c>
      <c r="N3477" t="s">
        <v>607</v>
      </c>
      <c r="O3477" t="s">
        <v>608</v>
      </c>
      <c r="P3477" t="s">
        <v>21</v>
      </c>
    </row>
    <row r="3478" spans="1:16" x14ac:dyDescent="0.25">
      <c r="A3478">
        <v>27844073</v>
      </c>
      <c r="B3478" t="s">
        <v>601</v>
      </c>
      <c r="C3478" s="4">
        <v>44771.888823425928</v>
      </c>
      <c r="F3478" t="s">
        <v>23</v>
      </c>
      <c r="G3478" t="s">
        <v>178</v>
      </c>
      <c r="J3478" t="s">
        <v>624</v>
      </c>
      <c r="K3478" t="s">
        <v>602</v>
      </c>
      <c r="L3478" t="s">
        <v>21</v>
      </c>
      <c r="M3478">
        <v>390324</v>
      </c>
      <c r="N3478" t="s">
        <v>611</v>
      </c>
      <c r="O3478" t="s">
        <v>612</v>
      </c>
    </row>
    <row r="3479" spans="1:16" x14ac:dyDescent="0.25">
      <c r="A3479">
        <v>27844279</v>
      </c>
      <c r="B3479" t="s">
        <v>601</v>
      </c>
      <c r="C3479" s="4">
        <v>44771.895952037034</v>
      </c>
      <c r="G3479" t="s">
        <v>2343</v>
      </c>
      <c r="K3479" t="s">
        <v>602</v>
      </c>
      <c r="L3479" t="s">
        <v>36</v>
      </c>
      <c r="M3479">
        <v>390325</v>
      </c>
      <c r="N3479" t="s">
        <v>606</v>
      </c>
      <c r="O3479" t="s">
        <v>2358</v>
      </c>
    </row>
    <row r="3480" spans="1:16" x14ac:dyDescent="0.25">
      <c r="A3480">
        <v>27844360</v>
      </c>
      <c r="B3480" t="s">
        <v>601</v>
      </c>
      <c r="C3480" s="4">
        <v>44771.898542685187</v>
      </c>
      <c r="E3480" t="s">
        <v>22</v>
      </c>
      <c r="F3480" t="s">
        <v>49</v>
      </c>
      <c r="G3480" t="s">
        <v>132</v>
      </c>
      <c r="J3480" t="s">
        <v>480</v>
      </c>
      <c r="K3480" t="s">
        <v>602</v>
      </c>
      <c r="L3480" t="s">
        <v>21</v>
      </c>
      <c r="M3480">
        <v>390326</v>
      </c>
      <c r="N3480" t="s">
        <v>625</v>
      </c>
      <c r="O3480" t="s">
        <v>626</v>
      </c>
      <c r="P3480" t="s">
        <v>21</v>
      </c>
    </row>
    <row r="3481" spans="1:16" x14ac:dyDescent="0.25">
      <c r="A3481">
        <v>27844604</v>
      </c>
      <c r="B3481" t="s">
        <v>601</v>
      </c>
      <c r="C3481" s="4">
        <v>44771.908029409722</v>
      </c>
      <c r="E3481" t="s">
        <v>38</v>
      </c>
      <c r="F3481" t="s">
        <v>23</v>
      </c>
      <c r="G3481" t="s">
        <v>140</v>
      </c>
      <c r="J3481" t="s">
        <v>565</v>
      </c>
      <c r="K3481" t="s">
        <v>602</v>
      </c>
      <c r="L3481" t="s">
        <v>21</v>
      </c>
      <c r="M3481">
        <v>390327</v>
      </c>
      <c r="N3481" t="s">
        <v>611</v>
      </c>
      <c r="O3481" t="s">
        <v>612</v>
      </c>
    </row>
    <row r="3482" spans="1:16" x14ac:dyDescent="0.25">
      <c r="A3482">
        <v>27844814</v>
      </c>
      <c r="B3482" t="s">
        <v>601</v>
      </c>
      <c r="C3482" s="4">
        <v>44771.918631828703</v>
      </c>
      <c r="E3482" t="s">
        <v>191</v>
      </c>
      <c r="F3482" t="s">
        <v>49</v>
      </c>
      <c r="G3482" t="s">
        <v>146</v>
      </c>
      <c r="J3482" t="s">
        <v>571</v>
      </c>
      <c r="K3482" t="s">
        <v>602</v>
      </c>
      <c r="L3482" t="s">
        <v>21</v>
      </c>
      <c r="M3482">
        <v>390328</v>
      </c>
      <c r="N3482" t="s">
        <v>609</v>
      </c>
      <c r="O3482" t="s">
        <v>610</v>
      </c>
      <c r="P3482" t="s">
        <v>21</v>
      </c>
    </row>
    <row r="3483" spans="1:16" x14ac:dyDescent="0.25">
      <c r="A3483">
        <v>27847444</v>
      </c>
      <c r="B3483" t="s">
        <v>601</v>
      </c>
      <c r="C3483" s="4">
        <v>44771.998559930558</v>
      </c>
      <c r="G3483" t="s">
        <v>228</v>
      </c>
      <c r="K3483" t="s">
        <v>602</v>
      </c>
      <c r="L3483" t="s">
        <v>36</v>
      </c>
      <c r="M3483">
        <v>390329</v>
      </c>
      <c r="N3483" t="s">
        <v>606</v>
      </c>
      <c r="O3483" t="s">
        <v>2360</v>
      </c>
    </row>
    <row r="3484" spans="1:16" x14ac:dyDescent="0.25">
      <c r="C3484" s="4"/>
    </row>
    <row r="3485" spans="1:16" x14ac:dyDescent="0.25">
      <c r="C3485" s="4"/>
    </row>
    <row r="3486" spans="1:16" x14ac:dyDescent="0.25">
      <c r="C3486" s="4"/>
    </row>
    <row r="3487" spans="1:16" x14ac:dyDescent="0.25">
      <c r="C3487" s="4"/>
    </row>
    <row r="3488" spans="1:16" x14ac:dyDescent="0.25">
      <c r="C3488" s="4"/>
    </row>
    <row r="3489" spans="3:3" x14ac:dyDescent="0.25">
      <c r="C3489" s="4"/>
    </row>
    <row r="3490" spans="3:3" x14ac:dyDescent="0.25">
      <c r="C3490" s="4"/>
    </row>
    <row r="3491" spans="3:3" x14ac:dyDescent="0.25">
      <c r="C3491" s="4"/>
    </row>
    <row r="3492" spans="3:3" x14ac:dyDescent="0.25">
      <c r="C3492" s="4"/>
    </row>
    <row r="3493" spans="3:3" x14ac:dyDescent="0.25">
      <c r="C3493" s="4"/>
    </row>
    <row r="3494" spans="3:3" x14ac:dyDescent="0.25">
      <c r="C3494" s="4"/>
    </row>
    <row r="3495" spans="3:3" x14ac:dyDescent="0.25">
      <c r="C3495" s="4"/>
    </row>
    <row r="3496" spans="3:3" x14ac:dyDescent="0.25">
      <c r="C3496" s="4"/>
    </row>
    <row r="3497" spans="3:3" x14ac:dyDescent="0.25">
      <c r="C3497" s="4"/>
    </row>
    <row r="3498" spans="3:3" x14ac:dyDescent="0.25">
      <c r="C3498" s="4"/>
    </row>
    <row r="3499" spans="3:3" x14ac:dyDescent="0.25">
      <c r="C3499" s="4"/>
    </row>
    <row r="3500" spans="3:3" x14ac:dyDescent="0.25">
      <c r="C3500" s="4"/>
    </row>
    <row r="3501" spans="3:3" x14ac:dyDescent="0.25">
      <c r="C3501" s="4"/>
    </row>
    <row r="3502" spans="3:3" x14ac:dyDescent="0.25">
      <c r="C3502" s="4"/>
    </row>
    <row r="3503" spans="3:3" x14ac:dyDescent="0.25">
      <c r="C3503" s="4"/>
    </row>
    <row r="3504" spans="3:3" x14ac:dyDescent="0.25">
      <c r="C3504" s="4"/>
    </row>
    <row r="3505" spans="3:3" x14ac:dyDescent="0.25">
      <c r="C3505" s="4"/>
    </row>
    <row r="3506" spans="3:3" x14ac:dyDescent="0.25">
      <c r="C3506" s="4"/>
    </row>
    <row r="3507" spans="3:3" x14ac:dyDescent="0.25">
      <c r="C3507" s="4"/>
    </row>
    <row r="3508" spans="3:3" x14ac:dyDescent="0.25">
      <c r="C3508" s="4"/>
    </row>
    <row r="3509" spans="3:3" x14ac:dyDescent="0.25">
      <c r="C3509" s="4"/>
    </row>
    <row r="3510" spans="3:3" x14ac:dyDescent="0.25">
      <c r="C3510" s="4"/>
    </row>
    <row r="3511" spans="3:3" x14ac:dyDescent="0.25">
      <c r="C3511" s="4"/>
    </row>
    <row r="3512" spans="3:3" x14ac:dyDescent="0.25">
      <c r="C3512" s="4"/>
    </row>
    <row r="3513" spans="3:3" x14ac:dyDescent="0.25">
      <c r="C3513" s="4"/>
    </row>
    <row r="3514" spans="3:3" x14ac:dyDescent="0.25">
      <c r="C3514" s="4"/>
    </row>
    <row r="3515" spans="3:3" x14ac:dyDescent="0.25">
      <c r="C3515" s="4"/>
    </row>
    <row r="3516" spans="3:3" x14ac:dyDescent="0.25">
      <c r="C3516" s="4"/>
    </row>
    <row r="3517" spans="3:3" x14ac:dyDescent="0.25">
      <c r="C3517" s="4"/>
    </row>
    <row r="3518" spans="3:3" x14ac:dyDescent="0.25">
      <c r="C3518" s="4"/>
    </row>
    <row r="3519" spans="3:3" x14ac:dyDescent="0.25">
      <c r="C3519" s="4"/>
    </row>
    <row r="3520" spans="3:3" x14ac:dyDescent="0.25">
      <c r="C3520" s="4"/>
    </row>
    <row r="3521" spans="3:3" x14ac:dyDescent="0.25">
      <c r="C3521" s="4"/>
    </row>
    <row r="3522" spans="3:3" x14ac:dyDescent="0.25">
      <c r="C3522" s="4"/>
    </row>
    <row r="3523" spans="3:3" x14ac:dyDescent="0.25">
      <c r="C3523" s="4"/>
    </row>
    <row r="3524" spans="3:3" x14ac:dyDescent="0.25">
      <c r="C3524" s="4"/>
    </row>
    <row r="3525" spans="3:3" x14ac:dyDescent="0.25">
      <c r="C3525" s="4"/>
    </row>
    <row r="3526" spans="3:3" x14ac:dyDescent="0.25">
      <c r="C3526" s="4"/>
    </row>
    <row r="3527" spans="3:3" x14ac:dyDescent="0.25">
      <c r="C3527" s="4"/>
    </row>
    <row r="3528" spans="3:3" x14ac:dyDescent="0.25">
      <c r="C3528" s="4"/>
    </row>
    <row r="3529" spans="3:3" x14ac:dyDescent="0.25">
      <c r="C3529" s="4"/>
    </row>
    <row r="3530" spans="3:3" x14ac:dyDescent="0.25">
      <c r="C3530" s="4"/>
    </row>
    <row r="3531" spans="3:3" x14ac:dyDescent="0.25">
      <c r="C3531" s="4"/>
    </row>
    <row r="3532" spans="3:3" x14ac:dyDescent="0.25">
      <c r="C3532" s="4"/>
    </row>
    <row r="3533" spans="3:3" x14ac:dyDescent="0.25">
      <c r="C3533" s="4"/>
    </row>
    <row r="3534" spans="3:3" x14ac:dyDescent="0.25">
      <c r="C3534" s="4"/>
    </row>
    <row r="3535" spans="3:3" x14ac:dyDescent="0.25">
      <c r="C3535" s="4"/>
    </row>
    <row r="3536" spans="3:3" x14ac:dyDescent="0.25">
      <c r="C3536" s="4"/>
    </row>
    <row r="3537" spans="3:3" x14ac:dyDescent="0.25">
      <c r="C3537" s="4"/>
    </row>
    <row r="3538" spans="3:3" x14ac:dyDescent="0.25">
      <c r="C3538" s="4"/>
    </row>
    <row r="3539" spans="3:3" x14ac:dyDescent="0.25">
      <c r="C3539" s="4"/>
    </row>
    <row r="3540" spans="3:3" x14ac:dyDescent="0.25">
      <c r="C3540" s="4"/>
    </row>
    <row r="3541" spans="3:3" x14ac:dyDescent="0.25">
      <c r="C3541" s="4"/>
    </row>
    <row r="3542" spans="3:3" x14ac:dyDescent="0.25">
      <c r="C3542" s="4"/>
    </row>
    <row r="3543" spans="3:3" x14ac:dyDescent="0.25">
      <c r="C3543" s="4"/>
    </row>
    <row r="3544" spans="3:3" x14ac:dyDescent="0.25">
      <c r="C3544" s="4"/>
    </row>
    <row r="3545" spans="3:3" x14ac:dyDescent="0.25">
      <c r="C3545" s="4"/>
    </row>
    <row r="3546" spans="3:3" x14ac:dyDescent="0.25">
      <c r="C3546" s="4"/>
    </row>
    <row r="3547" spans="3:3" x14ac:dyDescent="0.25">
      <c r="C3547" s="4"/>
    </row>
    <row r="3548" spans="3:3" x14ac:dyDescent="0.25">
      <c r="C3548" s="4"/>
    </row>
    <row r="3549" spans="3:3" x14ac:dyDescent="0.25">
      <c r="C3549" s="4"/>
    </row>
    <row r="3550" spans="3:3" x14ac:dyDescent="0.25">
      <c r="C3550" s="4"/>
    </row>
    <row r="3551" spans="3:3" x14ac:dyDescent="0.25">
      <c r="C3551" s="4"/>
    </row>
    <row r="3552" spans="3:3" x14ac:dyDescent="0.25">
      <c r="C3552" s="4"/>
    </row>
    <row r="3553" spans="3:3" x14ac:dyDescent="0.25">
      <c r="C3553" s="4"/>
    </row>
    <row r="3554" spans="3:3" x14ac:dyDescent="0.25">
      <c r="C3554" s="4"/>
    </row>
    <row r="3555" spans="3:3" x14ac:dyDescent="0.25">
      <c r="C3555" s="4"/>
    </row>
    <row r="3556" spans="3:3" x14ac:dyDescent="0.25">
      <c r="C3556" s="4"/>
    </row>
    <row r="3557" spans="3:3" x14ac:dyDescent="0.25">
      <c r="C3557" s="4"/>
    </row>
    <row r="3558" spans="3:3" x14ac:dyDescent="0.25">
      <c r="C3558" s="4"/>
    </row>
    <row r="3559" spans="3:3" x14ac:dyDescent="0.25">
      <c r="C3559" s="4"/>
    </row>
    <row r="3560" spans="3:3" x14ac:dyDescent="0.25">
      <c r="C3560" s="4"/>
    </row>
    <row r="3561" spans="3:3" x14ac:dyDescent="0.25">
      <c r="C3561" s="4"/>
    </row>
    <row r="3562" spans="3:3" x14ac:dyDescent="0.25">
      <c r="C3562" s="4"/>
    </row>
    <row r="3563" spans="3:3" x14ac:dyDescent="0.25">
      <c r="C3563" s="4"/>
    </row>
    <row r="3564" spans="3:3" x14ac:dyDescent="0.25">
      <c r="C3564" s="4"/>
    </row>
    <row r="3565" spans="3:3" x14ac:dyDescent="0.25">
      <c r="C3565" s="4"/>
    </row>
    <row r="3566" spans="3:3" x14ac:dyDescent="0.25">
      <c r="C3566" s="4"/>
    </row>
    <row r="3567" spans="3:3" x14ac:dyDescent="0.25">
      <c r="C3567" s="4"/>
    </row>
    <row r="3568" spans="3:3" x14ac:dyDescent="0.25">
      <c r="C3568" s="4"/>
    </row>
    <row r="3569" spans="3:3" x14ac:dyDescent="0.25">
      <c r="C3569" s="4"/>
    </row>
    <row r="3570" spans="3:3" x14ac:dyDescent="0.25">
      <c r="C3570" s="4"/>
    </row>
    <row r="3571" spans="3:3" x14ac:dyDescent="0.25">
      <c r="C3571" s="4"/>
    </row>
    <row r="3572" spans="3:3" x14ac:dyDescent="0.25">
      <c r="C3572" s="4"/>
    </row>
    <row r="3573" spans="3:3" x14ac:dyDescent="0.25">
      <c r="C3573" s="4"/>
    </row>
    <row r="3574" spans="3:3" x14ac:dyDescent="0.25">
      <c r="C3574" s="4"/>
    </row>
    <row r="3575" spans="3:3" x14ac:dyDescent="0.25">
      <c r="C3575" s="4"/>
    </row>
    <row r="3576" spans="3:3" x14ac:dyDescent="0.25">
      <c r="C3576" s="4"/>
    </row>
    <row r="3577" spans="3:3" x14ac:dyDescent="0.25">
      <c r="C3577" s="4"/>
    </row>
    <row r="3578" spans="3:3" x14ac:dyDescent="0.25">
      <c r="C3578" s="4"/>
    </row>
    <row r="3579" spans="3:3" x14ac:dyDescent="0.25">
      <c r="C3579" s="4"/>
    </row>
    <row r="3580" spans="3:3" x14ac:dyDescent="0.25">
      <c r="C3580" s="4"/>
    </row>
    <row r="3581" spans="3:3" x14ac:dyDescent="0.25">
      <c r="C3581" s="4"/>
    </row>
    <row r="3582" spans="3:3" x14ac:dyDescent="0.25">
      <c r="C3582" s="4"/>
    </row>
    <row r="3583" spans="3:3" x14ac:dyDescent="0.25">
      <c r="C3583" s="4"/>
    </row>
    <row r="3584" spans="3:3" x14ac:dyDescent="0.25">
      <c r="C3584" s="4"/>
    </row>
    <row r="3585" spans="3:3" x14ac:dyDescent="0.25">
      <c r="C3585" s="4"/>
    </row>
    <row r="3586" spans="3:3" x14ac:dyDescent="0.25">
      <c r="C3586" s="4"/>
    </row>
    <row r="3587" spans="3:3" x14ac:dyDescent="0.25">
      <c r="C3587" s="4"/>
    </row>
    <row r="3588" spans="3:3" x14ac:dyDescent="0.25">
      <c r="C3588" s="4"/>
    </row>
    <row r="3589" spans="3:3" x14ac:dyDescent="0.25">
      <c r="C3589" s="4"/>
    </row>
    <row r="3590" spans="3:3" x14ac:dyDescent="0.25">
      <c r="C3590" s="4"/>
    </row>
    <row r="3591" spans="3:3" x14ac:dyDescent="0.25">
      <c r="C3591" s="4"/>
    </row>
    <row r="3592" spans="3:3" x14ac:dyDescent="0.25">
      <c r="C3592" s="4"/>
    </row>
    <row r="3593" spans="3:3" x14ac:dyDescent="0.25">
      <c r="C3593" s="4"/>
    </row>
    <row r="3594" spans="3:3" x14ac:dyDescent="0.25">
      <c r="C3594" s="4"/>
    </row>
    <row r="3595" spans="3:3" x14ac:dyDescent="0.25">
      <c r="C3595" s="4"/>
    </row>
    <row r="3596" spans="3:3" x14ac:dyDescent="0.25">
      <c r="C3596" s="4"/>
    </row>
    <row r="3597" spans="3:3" x14ac:dyDescent="0.25">
      <c r="C3597" s="4"/>
    </row>
    <row r="3598" spans="3:3" x14ac:dyDescent="0.25">
      <c r="C3598" s="4"/>
    </row>
    <row r="3599" spans="3:3" x14ac:dyDescent="0.25">
      <c r="C3599" s="4"/>
    </row>
    <row r="3600" spans="3:3" x14ac:dyDescent="0.25">
      <c r="C3600" s="4"/>
    </row>
    <row r="3601" spans="3:3" x14ac:dyDescent="0.25">
      <c r="C3601" s="4"/>
    </row>
    <row r="3602" spans="3:3" x14ac:dyDescent="0.25">
      <c r="C3602" s="4"/>
    </row>
    <row r="3603" spans="3:3" x14ac:dyDescent="0.25">
      <c r="C3603" s="4"/>
    </row>
    <row r="3604" spans="3:3" x14ac:dyDescent="0.25">
      <c r="C3604" s="4"/>
    </row>
    <row r="3605" spans="3:3" x14ac:dyDescent="0.25">
      <c r="C3605" s="4"/>
    </row>
    <row r="3606" spans="3:3" x14ac:dyDescent="0.25">
      <c r="C3606" s="4"/>
    </row>
    <row r="3607" spans="3:3" x14ac:dyDescent="0.25">
      <c r="C3607" s="4"/>
    </row>
    <row r="3608" spans="3:3" x14ac:dyDescent="0.25">
      <c r="C3608" s="4"/>
    </row>
    <row r="3609" spans="3:3" x14ac:dyDescent="0.25">
      <c r="C3609" s="4"/>
    </row>
    <row r="3610" spans="3:3" x14ac:dyDescent="0.25">
      <c r="C3610" s="4"/>
    </row>
    <row r="3611" spans="3:3" x14ac:dyDescent="0.25">
      <c r="C3611" s="4"/>
    </row>
    <row r="3612" spans="3:3" x14ac:dyDescent="0.25">
      <c r="C3612" s="4"/>
    </row>
    <row r="3613" spans="3:3" x14ac:dyDescent="0.25">
      <c r="C3613" s="4"/>
    </row>
    <row r="3614" spans="3:3" x14ac:dyDescent="0.25">
      <c r="C3614" s="4"/>
    </row>
    <row r="3615" spans="3:3" x14ac:dyDescent="0.25">
      <c r="C3615" s="4"/>
    </row>
    <row r="3616" spans="3:3" x14ac:dyDescent="0.25">
      <c r="C3616" s="4"/>
    </row>
    <row r="3617" spans="3:3" x14ac:dyDescent="0.25">
      <c r="C3617" s="4"/>
    </row>
    <row r="3618" spans="3:3" x14ac:dyDescent="0.25">
      <c r="C3618" s="4"/>
    </row>
    <row r="3619" spans="3:3" x14ac:dyDescent="0.25">
      <c r="C3619" s="4"/>
    </row>
    <row r="3620" spans="3:3" x14ac:dyDescent="0.25">
      <c r="C3620" s="4"/>
    </row>
    <row r="3621" spans="3:3" x14ac:dyDescent="0.25">
      <c r="C3621" s="4"/>
    </row>
    <row r="3622" spans="3:3" x14ac:dyDescent="0.25">
      <c r="C3622" s="4"/>
    </row>
    <row r="3623" spans="3:3" x14ac:dyDescent="0.25">
      <c r="C3623" s="4"/>
    </row>
    <row r="3624" spans="3:3" x14ac:dyDescent="0.25">
      <c r="C3624" s="4"/>
    </row>
    <row r="3625" spans="3:3" x14ac:dyDescent="0.25">
      <c r="C3625" s="4"/>
    </row>
    <row r="3626" spans="3:3" x14ac:dyDescent="0.25">
      <c r="C3626" s="4"/>
    </row>
    <row r="3627" spans="3:3" x14ac:dyDescent="0.25">
      <c r="C3627" s="4"/>
    </row>
    <row r="3628" spans="3:3" x14ac:dyDescent="0.25">
      <c r="C3628" s="4"/>
    </row>
    <row r="3629" spans="3:3" x14ac:dyDescent="0.25">
      <c r="C3629" s="4"/>
    </row>
    <row r="3630" spans="3:3" x14ac:dyDescent="0.25">
      <c r="C3630" s="4"/>
    </row>
    <row r="3631" spans="3:3" x14ac:dyDescent="0.25">
      <c r="C3631" s="4"/>
    </row>
    <row r="3632" spans="3:3" x14ac:dyDescent="0.25">
      <c r="C3632" s="4"/>
    </row>
    <row r="3633" spans="3:3" x14ac:dyDescent="0.25">
      <c r="C3633" s="4"/>
    </row>
    <row r="3634" spans="3:3" x14ac:dyDescent="0.25">
      <c r="C3634" s="4"/>
    </row>
    <row r="3635" spans="3:3" x14ac:dyDescent="0.25">
      <c r="C3635" s="4"/>
    </row>
    <row r="3636" spans="3:3" x14ac:dyDescent="0.25">
      <c r="C3636" s="4"/>
    </row>
    <row r="3637" spans="3:3" x14ac:dyDescent="0.25">
      <c r="C3637" s="4"/>
    </row>
    <row r="3638" spans="3:3" x14ac:dyDescent="0.25">
      <c r="C3638" s="4"/>
    </row>
    <row r="3639" spans="3:3" x14ac:dyDescent="0.25">
      <c r="C3639" s="4"/>
    </row>
    <row r="3640" spans="3:3" x14ac:dyDescent="0.25">
      <c r="C3640" s="4"/>
    </row>
    <row r="3641" spans="3:3" x14ac:dyDescent="0.25">
      <c r="C3641" s="4"/>
    </row>
    <row r="3642" spans="3:3" x14ac:dyDescent="0.25">
      <c r="C3642" s="4"/>
    </row>
    <row r="3643" spans="3:3" x14ac:dyDescent="0.25">
      <c r="C3643" s="4"/>
    </row>
    <row r="3644" spans="3:3" x14ac:dyDescent="0.25">
      <c r="C3644" s="4"/>
    </row>
    <row r="3645" spans="3:3" x14ac:dyDescent="0.25">
      <c r="C3645" s="4"/>
    </row>
    <row r="3646" spans="3:3" x14ac:dyDescent="0.25">
      <c r="C3646" s="4"/>
    </row>
    <row r="3647" spans="3:3" x14ac:dyDescent="0.25">
      <c r="C3647" s="4"/>
    </row>
    <row r="3648" spans="3:3" x14ac:dyDescent="0.25">
      <c r="C3648" s="4"/>
    </row>
    <row r="3649" spans="3:3" x14ac:dyDescent="0.25">
      <c r="C3649" s="4"/>
    </row>
    <row r="3650" spans="3:3" x14ac:dyDescent="0.25">
      <c r="C3650" s="4"/>
    </row>
    <row r="3651" spans="3:3" x14ac:dyDescent="0.25">
      <c r="C3651" s="4"/>
    </row>
    <row r="3652" spans="3:3" x14ac:dyDescent="0.25">
      <c r="C3652" s="4"/>
    </row>
    <row r="3653" spans="3:3" x14ac:dyDescent="0.25">
      <c r="C3653" s="4"/>
    </row>
    <row r="3654" spans="3:3" x14ac:dyDescent="0.25">
      <c r="C3654" s="4"/>
    </row>
    <row r="3655" spans="3:3" x14ac:dyDescent="0.25">
      <c r="C3655" s="4"/>
    </row>
    <row r="3656" spans="3:3" x14ac:dyDescent="0.25">
      <c r="C3656" s="4"/>
    </row>
    <row r="3657" spans="3:3" x14ac:dyDescent="0.25">
      <c r="C3657" s="4"/>
    </row>
    <row r="3658" spans="3:3" x14ac:dyDescent="0.25">
      <c r="C3658" s="4"/>
    </row>
    <row r="3659" spans="3:3" x14ac:dyDescent="0.25">
      <c r="C3659" s="4"/>
    </row>
    <row r="3660" spans="3:3" x14ac:dyDescent="0.25">
      <c r="C3660" s="4"/>
    </row>
    <row r="3661" spans="3:3" x14ac:dyDescent="0.25">
      <c r="C3661" s="4"/>
    </row>
    <row r="3662" spans="3:3" x14ac:dyDescent="0.25">
      <c r="C3662" s="4"/>
    </row>
    <row r="3663" spans="3:3" x14ac:dyDescent="0.25">
      <c r="C3663" s="4"/>
    </row>
    <row r="3664" spans="3:3" x14ac:dyDescent="0.25">
      <c r="C3664" s="4"/>
    </row>
    <row r="3665" spans="3:3" x14ac:dyDescent="0.25">
      <c r="C3665" s="4"/>
    </row>
    <row r="3666" spans="3:3" x14ac:dyDescent="0.25">
      <c r="C3666" s="4"/>
    </row>
    <row r="3667" spans="3:3" x14ac:dyDescent="0.25">
      <c r="C3667" s="4"/>
    </row>
    <row r="3668" spans="3:3" x14ac:dyDescent="0.25">
      <c r="C3668" s="4"/>
    </row>
    <row r="3669" spans="3:3" x14ac:dyDescent="0.25">
      <c r="C3669" s="4"/>
    </row>
    <row r="3670" spans="3:3" x14ac:dyDescent="0.25">
      <c r="C3670" s="4"/>
    </row>
    <row r="3671" spans="3:3" x14ac:dyDescent="0.25">
      <c r="C3671" s="4"/>
    </row>
    <row r="3672" spans="3:3" x14ac:dyDescent="0.25">
      <c r="C3672" s="4"/>
    </row>
    <row r="3673" spans="3:3" x14ac:dyDescent="0.25">
      <c r="C3673" s="4"/>
    </row>
    <row r="3674" spans="3:3" x14ac:dyDescent="0.25">
      <c r="C3674" s="4"/>
    </row>
    <row r="3675" spans="3:3" x14ac:dyDescent="0.25">
      <c r="C3675" s="4"/>
    </row>
    <row r="3676" spans="3:3" x14ac:dyDescent="0.25">
      <c r="C3676" s="4"/>
    </row>
    <row r="3677" spans="3:3" x14ac:dyDescent="0.25">
      <c r="C3677" s="4"/>
    </row>
    <row r="3678" spans="3:3" x14ac:dyDescent="0.25">
      <c r="C3678" s="4"/>
    </row>
    <row r="3679" spans="3:3" x14ac:dyDescent="0.25">
      <c r="C3679" s="4"/>
    </row>
    <row r="3680" spans="3:3" x14ac:dyDescent="0.25">
      <c r="C3680" s="4"/>
    </row>
    <row r="3681" spans="3:3" x14ac:dyDescent="0.25">
      <c r="C3681" s="4"/>
    </row>
    <row r="3682" spans="3:3" x14ac:dyDescent="0.25">
      <c r="C3682" s="4"/>
    </row>
    <row r="3683" spans="3:3" x14ac:dyDescent="0.25">
      <c r="C3683" s="4"/>
    </row>
    <row r="3684" spans="3:3" x14ac:dyDescent="0.25">
      <c r="C3684" s="4"/>
    </row>
    <row r="3685" spans="3:3" x14ac:dyDescent="0.25">
      <c r="C3685" s="4"/>
    </row>
    <row r="3686" spans="3:3" x14ac:dyDescent="0.25">
      <c r="C3686" s="4"/>
    </row>
    <row r="3687" spans="3:3" x14ac:dyDescent="0.25">
      <c r="C3687" s="4"/>
    </row>
    <row r="3688" spans="3:3" x14ac:dyDescent="0.25">
      <c r="C3688" s="4"/>
    </row>
    <row r="3689" spans="3:3" x14ac:dyDescent="0.25">
      <c r="C3689" s="4"/>
    </row>
    <row r="3690" spans="3:3" x14ac:dyDescent="0.25">
      <c r="C3690" s="4"/>
    </row>
    <row r="3691" spans="3:3" x14ac:dyDescent="0.25">
      <c r="C3691" s="4"/>
    </row>
    <row r="3692" spans="3:3" x14ac:dyDescent="0.25">
      <c r="C3692" s="4"/>
    </row>
    <row r="3693" spans="3:3" x14ac:dyDescent="0.25">
      <c r="C3693" s="4"/>
    </row>
    <row r="3694" spans="3:3" x14ac:dyDescent="0.25">
      <c r="C3694" s="4"/>
    </row>
    <row r="3695" spans="3:3" x14ac:dyDescent="0.25">
      <c r="C3695" s="4"/>
    </row>
    <row r="3696" spans="3:3" x14ac:dyDescent="0.25">
      <c r="C3696" s="4"/>
    </row>
    <row r="3697" spans="3:3" x14ac:dyDescent="0.25">
      <c r="C3697" s="4"/>
    </row>
    <row r="3698" spans="3:3" x14ac:dyDescent="0.25">
      <c r="C3698" s="4"/>
    </row>
    <row r="3699" spans="3:3" x14ac:dyDescent="0.25">
      <c r="C3699" s="4"/>
    </row>
    <row r="3700" spans="3:3" x14ac:dyDescent="0.25">
      <c r="C3700" s="4"/>
    </row>
    <row r="3701" spans="3:3" x14ac:dyDescent="0.25">
      <c r="C3701" s="4"/>
    </row>
    <row r="3702" spans="3:3" x14ac:dyDescent="0.25">
      <c r="C3702" s="4"/>
    </row>
    <row r="3703" spans="3:3" x14ac:dyDescent="0.25">
      <c r="C3703" s="4"/>
    </row>
    <row r="3704" spans="3:3" x14ac:dyDescent="0.25">
      <c r="C3704" s="4"/>
    </row>
    <row r="3705" spans="3:3" x14ac:dyDescent="0.25">
      <c r="C3705" s="4"/>
    </row>
    <row r="3706" spans="3:3" x14ac:dyDescent="0.25">
      <c r="C3706" s="4"/>
    </row>
    <row r="3707" spans="3:3" x14ac:dyDescent="0.25">
      <c r="C3707" s="4"/>
    </row>
    <row r="3708" spans="3:3" x14ac:dyDescent="0.25">
      <c r="C3708" s="4"/>
    </row>
    <row r="3709" spans="3:3" x14ac:dyDescent="0.25">
      <c r="C3709" s="4"/>
    </row>
    <row r="3710" spans="3:3" x14ac:dyDescent="0.25">
      <c r="C3710" s="4"/>
    </row>
    <row r="3711" spans="3:3" x14ac:dyDescent="0.25">
      <c r="C3711" s="4"/>
    </row>
    <row r="3712" spans="3:3" x14ac:dyDescent="0.25">
      <c r="C3712" s="4"/>
    </row>
    <row r="3713" spans="3:3" x14ac:dyDescent="0.25">
      <c r="C3713" s="4"/>
    </row>
    <row r="3714" spans="3:3" x14ac:dyDescent="0.25">
      <c r="C3714" s="4"/>
    </row>
    <row r="3715" spans="3:3" x14ac:dyDescent="0.25">
      <c r="C3715" s="4"/>
    </row>
    <row r="3716" spans="3:3" x14ac:dyDescent="0.25">
      <c r="C3716" s="4"/>
    </row>
    <row r="3717" spans="3:3" x14ac:dyDescent="0.25">
      <c r="C3717" s="4"/>
    </row>
    <row r="3718" spans="3:3" x14ac:dyDescent="0.25">
      <c r="C3718" s="4"/>
    </row>
    <row r="3719" spans="3:3" x14ac:dyDescent="0.25">
      <c r="C3719" s="4"/>
    </row>
    <row r="3720" spans="3:3" x14ac:dyDescent="0.25">
      <c r="C3720" s="4"/>
    </row>
    <row r="3721" spans="3:3" x14ac:dyDescent="0.25">
      <c r="C3721" s="4"/>
    </row>
    <row r="3722" spans="3:3" x14ac:dyDescent="0.25">
      <c r="C3722" s="4"/>
    </row>
    <row r="3723" spans="3:3" x14ac:dyDescent="0.25">
      <c r="C3723" s="4"/>
    </row>
    <row r="3724" spans="3:3" x14ac:dyDescent="0.25">
      <c r="C3724" s="4"/>
    </row>
    <row r="3725" spans="3:3" x14ac:dyDescent="0.25">
      <c r="C3725" s="4"/>
    </row>
    <row r="3726" spans="3:3" x14ac:dyDescent="0.25">
      <c r="C3726" s="4"/>
    </row>
    <row r="3727" spans="3:3" x14ac:dyDescent="0.25">
      <c r="C3727" s="4"/>
    </row>
    <row r="3728" spans="3:3" x14ac:dyDescent="0.25">
      <c r="C3728" s="4"/>
    </row>
    <row r="3729" spans="3:3" x14ac:dyDescent="0.25">
      <c r="C3729" s="4"/>
    </row>
    <row r="3730" spans="3:3" x14ac:dyDescent="0.25">
      <c r="C3730" s="4"/>
    </row>
    <row r="3731" spans="3:3" x14ac:dyDescent="0.25">
      <c r="C3731" s="4"/>
    </row>
    <row r="3732" spans="3:3" x14ac:dyDescent="0.25">
      <c r="C3732" s="4"/>
    </row>
    <row r="3733" spans="3:3" x14ac:dyDescent="0.25">
      <c r="C3733" s="4"/>
    </row>
    <row r="3734" spans="3:3" x14ac:dyDescent="0.25">
      <c r="C3734" s="4"/>
    </row>
    <row r="3735" spans="3:3" x14ac:dyDescent="0.25">
      <c r="C3735" s="4"/>
    </row>
    <row r="3736" spans="3:3" x14ac:dyDescent="0.25">
      <c r="C3736" s="4"/>
    </row>
    <row r="3737" spans="3:3" x14ac:dyDescent="0.25">
      <c r="C3737" s="4"/>
    </row>
    <row r="3738" spans="3:3" x14ac:dyDescent="0.25">
      <c r="C3738" s="4"/>
    </row>
    <row r="3739" spans="3:3" x14ac:dyDescent="0.25">
      <c r="C3739" s="4"/>
    </row>
    <row r="3740" spans="3:3" x14ac:dyDescent="0.25">
      <c r="C3740" s="4"/>
    </row>
    <row r="3741" spans="3:3" x14ac:dyDescent="0.25">
      <c r="C3741" s="4"/>
    </row>
    <row r="3742" spans="3:3" x14ac:dyDescent="0.25">
      <c r="C3742" s="4"/>
    </row>
    <row r="3743" spans="3:3" x14ac:dyDescent="0.25">
      <c r="C3743" s="4"/>
    </row>
    <row r="3744" spans="3:3" x14ac:dyDescent="0.25">
      <c r="C3744" s="4"/>
    </row>
    <row r="3745" spans="3:3" x14ac:dyDescent="0.25">
      <c r="C3745" s="4"/>
    </row>
    <row r="3746" spans="3:3" x14ac:dyDescent="0.25">
      <c r="C3746" s="4"/>
    </row>
    <row r="3747" spans="3:3" x14ac:dyDescent="0.25">
      <c r="C3747" s="4"/>
    </row>
    <row r="3748" spans="3:3" x14ac:dyDescent="0.25">
      <c r="C3748" s="4"/>
    </row>
    <row r="3749" spans="3:3" x14ac:dyDescent="0.25">
      <c r="C3749" s="4"/>
    </row>
    <row r="3750" spans="3:3" x14ac:dyDescent="0.25">
      <c r="C3750" s="4"/>
    </row>
    <row r="3751" spans="3:3" x14ac:dyDescent="0.25">
      <c r="C3751" s="4"/>
    </row>
    <row r="3752" spans="3:3" x14ac:dyDescent="0.25">
      <c r="C3752" s="4"/>
    </row>
    <row r="3753" spans="3:3" x14ac:dyDescent="0.25">
      <c r="C3753" s="4"/>
    </row>
    <row r="3754" spans="3:3" x14ac:dyDescent="0.25">
      <c r="C3754" s="4"/>
    </row>
    <row r="3755" spans="3:3" x14ac:dyDescent="0.25">
      <c r="C3755" s="4"/>
    </row>
    <row r="3756" spans="3:3" x14ac:dyDescent="0.25">
      <c r="C3756" s="4"/>
    </row>
    <row r="3757" spans="3:3" x14ac:dyDescent="0.25">
      <c r="C3757" s="4"/>
    </row>
    <row r="3758" spans="3:3" x14ac:dyDescent="0.25">
      <c r="C3758" s="4"/>
    </row>
    <row r="3759" spans="3:3" x14ac:dyDescent="0.25">
      <c r="C3759" s="4"/>
    </row>
    <row r="3760" spans="3:3" x14ac:dyDescent="0.25">
      <c r="C3760" s="4"/>
    </row>
    <row r="3761" spans="3:3" x14ac:dyDescent="0.25">
      <c r="C3761" s="4"/>
    </row>
    <row r="3762" spans="3:3" x14ac:dyDescent="0.25">
      <c r="C3762" s="4"/>
    </row>
    <row r="3763" spans="3:3" x14ac:dyDescent="0.25">
      <c r="C3763" s="4"/>
    </row>
    <row r="3764" spans="3:3" x14ac:dyDescent="0.25">
      <c r="C3764" s="4"/>
    </row>
    <row r="3765" spans="3:3" x14ac:dyDescent="0.25">
      <c r="C3765" s="4"/>
    </row>
    <row r="3766" spans="3:3" x14ac:dyDescent="0.25">
      <c r="C3766" s="4"/>
    </row>
    <row r="3767" spans="3:3" x14ac:dyDescent="0.25">
      <c r="C3767" s="4"/>
    </row>
    <row r="3768" spans="3:3" x14ac:dyDescent="0.25">
      <c r="C3768" s="4"/>
    </row>
    <row r="3769" spans="3:3" x14ac:dyDescent="0.25">
      <c r="C3769" s="4"/>
    </row>
    <row r="3770" spans="3:3" x14ac:dyDescent="0.25">
      <c r="C3770" s="4"/>
    </row>
    <row r="3771" spans="3:3" x14ac:dyDescent="0.25">
      <c r="C3771" s="4"/>
    </row>
    <row r="3772" spans="3:3" x14ac:dyDescent="0.25">
      <c r="C3772" s="4"/>
    </row>
    <row r="3773" spans="3:3" x14ac:dyDescent="0.25">
      <c r="C3773" s="4"/>
    </row>
    <row r="3774" spans="3:3" x14ac:dyDescent="0.25">
      <c r="C3774" s="4"/>
    </row>
    <row r="3775" spans="3:3" x14ac:dyDescent="0.25">
      <c r="C3775" s="4"/>
    </row>
    <row r="3776" spans="3:3" x14ac:dyDescent="0.25">
      <c r="C3776" s="4"/>
    </row>
    <row r="3777" spans="3:3" x14ac:dyDescent="0.25">
      <c r="C3777" s="4"/>
    </row>
    <row r="3778" spans="3:3" x14ac:dyDescent="0.25">
      <c r="C3778" s="4"/>
    </row>
    <row r="3779" spans="3:3" x14ac:dyDescent="0.25">
      <c r="C3779" s="4"/>
    </row>
    <row r="3780" spans="3:3" x14ac:dyDescent="0.25">
      <c r="C3780" s="4"/>
    </row>
    <row r="3781" spans="3:3" x14ac:dyDescent="0.25">
      <c r="C3781" s="4"/>
    </row>
    <row r="3782" spans="3:3" x14ac:dyDescent="0.25">
      <c r="C3782" s="4"/>
    </row>
    <row r="3783" spans="3:3" x14ac:dyDescent="0.25">
      <c r="C3783" s="4"/>
    </row>
    <row r="3784" spans="3:3" x14ac:dyDescent="0.25">
      <c r="C3784" s="4"/>
    </row>
    <row r="3785" spans="3:3" x14ac:dyDescent="0.25">
      <c r="C3785" s="4"/>
    </row>
    <row r="3786" spans="3:3" x14ac:dyDescent="0.25">
      <c r="C3786" s="4"/>
    </row>
    <row r="3787" spans="3:3" x14ac:dyDescent="0.25">
      <c r="C3787" s="4"/>
    </row>
    <row r="3788" spans="3:3" x14ac:dyDescent="0.25">
      <c r="C3788" s="4"/>
    </row>
    <row r="3789" spans="3:3" x14ac:dyDescent="0.25">
      <c r="C3789" s="4"/>
    </row>
    <row r="3790" spans="3:3" x14ac:dyDescent="0.25">
      <c r="C3790" s="4"/>
    </row>
    <row r="3791" spans="3:3" x14ac:dyDescent="0.25">
      <c r="C3791" s="4"/>
    </row>
    <row r="3792" spans="3:3" x14ac:dyDescent="0.25">
      <c r="C3792" s="4"/>
    </row>
    <row r="3793" spans="3:3" x14ac:dyDescent="0.25">
      <c r="C3793" s="4"/>
    </row>
    <row r="3794" spans="3:3" x14ac:dyDescent="0.25">
      <c r="C3794" s="4"/>
    </row>
    <row r="3795" spans="3:3" x14ac:dyDescent="0.25">
      <c r="C3795" s="4"/>
    </row>
    <row r="3796" spans="3:3" x14ac:dyDescent="0.25">
      <c r="C3796" s="4"/>
    </row>
    <row r="3797" spans="3:3" x14ac:dyDescent="0.25">
      <c r="C3797" s="4"/>
    </row>
    <row r="3798" spans="3:3" x14ac:dyDescent="0.25">
      <c r="C3798" s="4"/>
    </row>
    <row r="3799" spans="3:3" x14ac:dyDescent="0.25">
      <c r="C3799" s="4"/>
    </row>
    <row r="3800" spans="3:3" x14ac:dyDescent="0.25">
      <c r="C3800" s="4"/>
    </row>
    <row r="3801" spans="3:3" x14ac:dyDescent="0.25">
      <c r="C3801" s="4"/>
    </row>
    <row r="3802" spans="3:3" x14ac:dyDescent="0.25">
      <c r="C3802" s="4"/>
    </row>
    <row r="3803" spans="3:3" x14ac:dyDescent="0.25">
      <c r="C3803" s="4"/>
    </row>
    <row r="3804" spans="3:3" x14ac:dyDescent="0.25">
      <c r="C3804" s="4"/>
    </row>
    <row r="3805" spans="3:3" x14ac:dyDescent="0.25">
      <c r="C3805" s="4"/>
    </row>
    <row r="3806" spans="3:3" x14ac:dyDescent="0.25">
      <c r="C3806" s="4"/>
    </row>
    <row r="3807" spans="3:3" x14ac:dyDescent="0.25">
      <c r="C3807" s="4"/>
    </row>
    <row r="3808" spans="3:3" x14ac:dyDescent="0.25">
      <c r="C3808" s="4"/>
    </row>
    <row r="3809" spans="3:3" x14ac:dyDescent="0.25">
      <c r="C3809" s="4"/>
    </row>
    <row r="3810" spans="3:3" x14ac:dyDescent="0.25">
      <c r="C3810" s="4"/>
    </row>
    <row r="3811" spans="3:3" x14ac:dyDescent="0.25">
      <c r="C3811" s="4"/>
    </row>
    <row r="3812" spans="3:3" x14ac:dyDescent="0.25">
      <c r="C3812" s="4"/>
    </row>
    <row r="3813" spans="3:3" x14ac:dyDescent="0.25">
      <c r="C3813" s="4"/>
    </row>
    <row r="3814" spans="3:3" x14ac:dyDescent="0.25">
      <c r="C3814" s="4"/>
    </row>
    <row r="3815" spans="3:3" x14ac:dyDescent="0.25">
      <c r="C3815" s="4"/>
    </row>
    <row r="3816" spans="3:3" x14ac:dyDescent="0.25">
      <c r="C3816" s="4"/>
    </row>
    <row r="3817" spans="3:3" x14ac:dyDescent="0.25">
      <c r="C3817" s="4"/>
    </row>
    <row r="3818" spans="3:3" x14ac:dyDescent="0.25">
      <c r="C3818" s="4"/>
    </row>
    <row r="3819" spans="3:3" x14ac:dyDescent="0.25">
      <c r="C3819" s="4"/>
    </row>
    <row r="3820" spans="3:3" x14ac:dyDescent="0.25">
      <c r="C3820" s="4"/>
    </row>
    <row r="3821" spans="3:3" x14ac:dyDescent="0.25">
      <c r="C3821" s="4"/>
    </row>
    <row r="3822" spans="3:3" x14ac:dyDescent="0.25">
      <c r="C3822" s="4"/>
    </row>
    <row r="3823" spans="3:3" x14ac:dyDescent="0.25">
      <c r="C3823" s="4"/>
    </row>
    <row r="3824" spans="3:3" x14ac:dyDescent="0.25">
      <c r="C3824" s="4"/>
    </row>
    <row r="3825" spans="3:3" x14ac:dyDescent="0.25">
      <c r="C3825" s="4"/>
    </row>
    <row r="3826" spans="3:3" x14ac:dyDescent="0.25">
      <c r="C3826" s="4"/>
    </row>
    <row r="3827" spans="3:3" x14ac:dyDescent="0.25">
      <c r="C3827" s="4"/>
    </row>
    <row r="3828" spans="3:3" x14ac:dyDescent="0.25">
      <c r="C3828" s="4"/>
    </row>
    <row r="3829" spans="3:3" x14ac:dyDescent="0.25">
      <c r="C3829" s="4"/>
    </row>
    <row r="3830" spans="3:3" x14ac:dyDescent="0.25">
      <c r="C3830" s="4"/>
    </row>
    <row r="3831" spans="3:3" x14ac:dyDescent="0.25">
      <c r="C3831" s="4"/>
    </row>
    <row r="3832" spans="3:3" x14ac:dyDescent="0.25">
      <c r="C3832" s="4"/>
    </row>
    <row r="3833" spans="3:3" x14ac:dyDescent="0.25">
      <c r="C3833" s="4"/>
    </row>
    <row r="3834" spans="3:3" x14ac:dyDescent="0.25">
      <c r="C3834" s="4"/>
    </row>
    <row r="3835" spans="3:3" x14ac:dyDescent="0.25">
      <c r="C3835" s="4"/>
    </row>
    <row r="3836" spans="3:3" x14ac:dyDescent="0.25">
      <c r="C3836" s="4"/>
    </row>
    <row r="3837" spans="3:3" x14ac:dyDescent="0.25">
      <c r="C3837" s="4"/>
    </row>
    <row r="3838" spans="3:3" x14ac:dyDescent="0.25">
      <c r="C3838" s="4"/>
    </row>
    <row r="3839" spans="3:3" x14ac:dyDescent="0.25">
      <c r="C3839" s="4"/>
    </row>
    <row r="3840" spans="3:3" x14ac:dyDescent="0.25">
      <c r="C3840" s="4"/>
    </row>
    <row r="3841" spans="3:3" x14ac:dyDescent="0.25">
      <c r="C3841" s="4"/>
    </row>
    <row r="3842" spans="3:3" x14ac:dyDescent="0.25">
      <c r="C3842" s="4"/>
    </row>
    <row r="3843" spans="3:3" x14ac:dyDescent="0.25">
      <c r="C3843" s="4"/>
    </row>
    <row r="3844" spans="3:3" x14ac:dyDescent="0.25">
      <c r="C3844" s="4"/>
    </row>
    <row r="3845" spans="3:3" x14ac:dyDescent="0.25">
      <c r="C3845" s="4"/>
    </row>
    <row r="3846" spans="3:3" x14ac:dyDescent="0.25">
      <c r="C3846" s="4"/>
    </row>
    <row r="3847" spans="3:3" x14ac:dyDescent="0.25">
      <c r="C3847" s="4"/>
    </row>
    <row r="3848" spans="3:3" x14ac:dyDescent="0.25">
      <c r="C3848" s="4"/>
    </row>
    <row r="3849" spans="3:3" x14ac:dyDescent="0.25">
      <c r="C3849" s="4"/>
    </row>
    <row r="3850" spans="3:3" x14ac:dyDescent="0.25">
      <c r="C3850" s="4"/>
    </row>
    <row r="3851" spans="3:3" x14ac:dyDescent="0.25">
      <c r="C3851" s="4"/>
    </row>
    <row r="3852" spans="3:3" x14ac:dyDescent="0.25">
      <c r="C3852" s="4"/>
    </row>
    <row r="3853" spans="3:3" x14ac:dyDescent="0.25">
      <c r="C3853" s="4"/>
    </row>
    <row r="3854" spans="3:3" x14ac:dyDescent="0.25">
      <c r="C3854" s="4"/>
    </row>
    <row r="3855" spans="3:3" x14ac:dyDescent="0.25">
      <c r="C3855" s="4"/>
    </row>
    <row r="3856" spans="3:3" x14ac:dyDescent="0.25">
      <c r="C3856" s="4"/>
    </row>
    <row r="3857" spans="3:3" x14ac:dyDescent="0.25">
      <c r="C3857" s="4"/>
    </row>
    <row r="3858" spans="3:3" x14ac:dyDescent="0.25">
      <c r="C3858" s="4"/>
    </row>
    <row r="3859" spans="3:3" x14ac:dyDescent="0.25">
      <c r="C3859" s="4"/>
    </row>
    <row r="3860" spans="3:3" x14ac:dyDescent="0.25">
      <c r="C3860" s="4"/>
    </row>
    <row r="3861" spans="3:3" x14ac:dyDescent="0.25">
      <c r="C3861" s="4"/>
    </row>
    <row r="3862" spans="3:3" x14ac:dyDescent="0.25">
      <c r="C3862" s="4"/>
    </row>
    <row r="3863" spans="3:3" x14ac:dyDescent="0.25">
      <c r="C3863" s="4"/>
    </row>
    <row r="3864" spans="3:3" x14ac:dyDescent="0.25">
      <c r="C3864" s="4"/>
    </row>
    <row r="3865" spans="3:3" x14ac:dyDescent="0.25">
      <c r="C3865" s="4"/>
    </row>
    <row r="3866" spans="3:3" x14ac:dyDescent="0.25">
      <c r="C3866" s="4"/>
    </row>
    <row r="3867" spans="3:3" x14ac:dyDescent="0.25">
      <c r="C3867" s="4"/>
    </row>
    <row r="3868" spans="3:3" x14ac:dyDescent="0.25">
      <c r="C3868" s="4"/>
    </row>
    <row r="3869" spans="3:3" x14ac:dyDescent="0.25">
      <c r="C3869" s="4"/>
    </row>
    <row r="3870" spans="3:3" x14ac:dyDescent="0.25">
      <c r="C3870" s="4"/>
    </row>
    <row r="3871" spans="3:3" x14ac:dyDescent="0.25">
      <c r="C3871" s="4"/>
    </row>
    <row r="3872" spans="3:3" x14ac:dyDescent="0.25">
      <c r="C3872" s="4"/>
    </row>
    <row r="3873" spans="3:3" x14ac:dyDescent="0.25">
      <c r="C3873" s="4"/>
    </row>
    <row r="3874" spans="3:3" x14ac:dyDescent="0.25">
      <c r="C3874" s="4"/>
    </row>
    <row r="3875" spans="3:3" x14ac:dyDescent="0.25">
      <c r="C3875" s="4"/>
    </row>
    <row r="3876" spans="3:3" x14ac:dyDescent="0.25">
      <c r="C3876" s="4"/>
    </row>
    <row r="3877" spans="3:3" x14ac:dyDescent="0.25">
      <c r="C3877" s="4"/>
    </row>
    <row r="3878" spans="3:3" x14ac:dyDescent="0.25">
      <c r="C3878" s="4"/>
    </row>
    <row r="3879" spans="3:3" x14ac:dyDescent="0.25">
      <c r="C3879" s="4"/>
    </row>
    <row r="3880" spans="3:3" x14ac:dyDescent="0.25">
      <c r="C3880" s="4"/>
    </row>
    <row r="3881" spans="3:3" x14ac:dyDescent="0.25">
      <c r="C3881" s="4"/>
    </row>
    <row r="3882" spans="3:3" x14ac:dyDescent="0.25">
      <c r="C3882" s="4"/>
    </row>
    <row r="3883" spans="3:3" x14ac:dyDescent="0.25">
      <c r="C3883" s="4"/>
    </row>
    <row r="3884" spans="3:3" x14ac:dyDescent="0.25">
      <c r="C3884" s="4"/>
    </row>
    <row r="3885" spans="3:3" x14ac:dyDescent="0.25">
      <c r="C3885" s="4"/>
    </row>
    <row r="3886" spans="3:3" x14ac:dyDescent="0.25">
      <c r="C3886" s="4"/>
    </row>
    <row r="3887" spans="3:3" x14ac:dyDescent="0.25">
      <c r="C3887" s="4"/>
    </row>
    <row r="3888" spans="3:3" x14ac:dyDescent="0.25">
      <c r="C3888" s="4"/>
    </row>
    <row r="3889" spans="3:3" x14ac:dyDescent="0.25">
      <c r="C3889" s="4"/>
    </row>
    <row r="3890" spans="3:3" x14ac:dyDescent="0.25">
      <c r="C3890" s="4"/>
    </row>
    <row r="3891" spans="3:3" x14ac:dyDescent="0.25">
      <c r="C3891" s="4"/>
    </row>
    <row r="3892" spans="3:3" x14ac:dyDescent="0.25">
      <c r="C3892" s="4"/>
    </row>
    <row r="3893" spans="3:3" x14ac:dyDescent="0.25">
      <c r="C3893" s="4"/>
    </row>
    <row r="3894" spans="3:3" x14ac:dyDescent="0.25">
      <c r="C3894" s="4"/>
    </row>
    <row r="3895" spans="3:3" x14ac:dyDescent="0.25">
      <c r="C3895" s="4"/>
    </row>
    <row r="3896" spans="3:3" x14ac:dyDescent="0.25">
      <c r="C3896" s="4"/>
    </row>
    <row r="3897" spans="3:3" x14ac:dyDescent="0.25">
      <c r="C3897" s="4"/>
    </row>
    <row r="3898" spans="3:3" x14ac:dyDescent="0.25">
      <c r="C3898" s="4"/>
    </row>
    <row r="3899" spans="3:3" x14ac:dyDescent="0.25">
      <c r="C3899" s="4"/>
    </row>
    <row r="3900" spans="3:3" x14ac:dyDescent="0.25">
      <c r="C3900" s="4"/>
    </row>
    <row r="3901" spans="3:3" x14ac:dyDescent="0.25">
      <c r="C3901" s="4"/>
    </row>
    <row r="3902" spans="3:3" x14ac:dyDescent="0.25">
      <c r="C3902" s="4"/>
    </row>
    <row r="3903" spans="3:3" x14ac:dyDescent="0.25">
      <c r="C3903" s="4"/>
    </row>
    <row r="3904" spans="3:3" x14ac:dyDescent="0.25">
      <c r="C3904" s="4"/>
    </row>
    <row r="3905" spans="3:3" x14ac:dyDescent="0.25">
      <c r="C3905" s="4"/>
    </row>
    <row r="3906" spans="3:3" x14ac:dyDescent="0.25">
      <c r="C3906" s="4"/>
    </row>
    <row r="3907" spans="3:3" x14ac:dyDescent="0.25">
      <c r="C3907" s="4"/>
    </row>
    <row r="3908" spans="3:3" x14ac:dyDescent="0.25">
      <c r="C3908" s="4"/>
    </row>
    <row r="3909" spans="3:3" x14ac:dyDescent="0.25">
      <c r="C3909" s="4"/>
    </row>
    <row r="3910" spans="3:3" x14ac:dyDescent="0.25">
      <c r="C3910" s="4"/>
    </row>
    <row r="3911" spans="3:3" x14ac:dyDescent="0.25">
      <c r="C3911" s="4"/>
    </row>
    <row r="3912" spans="3:3" x14ac:dyDescent="0.25">
      <c r="C3912" s="4"/>
    </row>
    <row r="3913" spans="3:3" x14ac:dyDescent="0.25">
      <c r="C3913" s="4"/>
    </row>
    <row r="3914" spans="3:3" x14ac:dyDescent="0.25">
      <c r="C3914" s="4"/>
    </row>
    <row r="3915" spans="3:3" x14ac:dyDescent="0.25">
      <c r="C3915" s="4"/>
    </row>
    <row r="3916" spans="3:3" x14ac:dyDescent="0.25">
      <c r="C3916" s="4"/>
    </row>
    <row r="3917" spans="3:3" x14ac:dyDescent="0.25">
      <c r="C3917" s="4"/>
    </row>
    <row r="3918" spans="3:3" x14ac:dyDescent="0.25">
      <c r="C3918" s="4"/>
    </row>
    <row r="3919" spans="3:3" x14ac:dyDescent="0.25">
      <c r="C3919" s="4"/>
    </row>
    <row r="3920" spans="3:3" x14ac:dyDescent="0.25">
      <c r="C3920" s="4"/>
    </row>
    <row r="3921" spans="3:3" x14ac:dyDescent="0.25">
      <c r="C3921" s="4"/>
    </row>
    <row r="3922" spans="3:3" x14ac:dyDescent="0.25">
      <c r="C3922" s="4"/>
    </row>
    <row r="3923" spans="3:3" x14ac:dyDescent="0.25">
      <c r="C3923" s="4"/>
    </row>
    <row r="3924" spans="3:3" x14ac:dyDescent="0.25">
      <c r="C3924" s="4"/>
    </row>
    <row r="3925" spans="3:3" x14ac:dyDescent="0.25">
      <c r="C3925" s="4"/>
    </row>
    <row r="3926" spans="3:3" x14ac:dyDescent="0.25">
      <c r="C3926" s="4"/>
    </row>
    <row r="3927" spans="3:3" x14ac:dyDescent="0.25">
      <c r="C3927" s="4"/>
    </row>
    <row r="3928" spans="3:3" x14ac:dyDescent="0.25">
      <c r="C3928" s="4"/>
    </row>
    <row r="3929" spans="3:3" x14ac:dyDescent="0.25">
      <c r="C3929" s="4"/>
    </row>
    <row r="3930" spans="3:3" x14ac:dyDescent="0.25">
      <c r="C3930" s="4"/>
    </row>
    <row r="3931" spans="3:3" x14ac:dyDescent="0.25">
      <c r="C3931" s="4"/>
    </row>
    <row r="3932" spans="3:3" x14ac:dyDescent="0.25">
      <c r="C3932" s="4"/>
    </row>
    <row r="3933" spans="3:3" x14ac:dyDescent="0.25">
      <c r="C3933" s="4"/>
    </row>
    <row r="3934" spans="3:3" x14ac:dyDescent="0.25">
      <c r="C3934" s="4"/>
    </row>
    <row r="3935" spans="3:3" x14ac:dyDescent="0.25">
      <c r="C3935" s="4"/>
    </row>
    <row r="3936" spans="3:3" x14ac:dyDescent="0.25">
      <c r="C3936" s="4"/>
    </row>
    <row r="3937" spans="3:3" x14ac:dyDescent="0.25">
      <c r="C3937" s="4"/>
    </row>
    <row r="3938" spans="3:3" x14ac:dyDescent="0.25">
      <c r="C3938" s="4"/>
    </row>
    <row r="3939" spans="3:3" x14ac:dyDescent="0.25">
      <c r="C3939" s="4"/>
    </row>
    <row r="3940" spans="3:3" x14ac:dyDescent="0.25">
      <c r="C3940" s="4"/>
    </row>
    <row r="3941" spans="3:3" x14ac:dyDescent="0.25">
      <c r="C3941" s="4"/>
    </row>
    <row r="3942" spans="3:3" x14ac:dyDescent="0.25">
      <c r="C3942" s="4"/>
    </row>
    <row r="3943" spans="3:3" x14ac:dyDescent="0.25">
      <c r="C3943" s="4"/>
    </row>
    <row r="3944" spans="3:3" x14ac:dyDescent="0.25">
      <c r="C3944" s="4"/>
    </row>
    <row r="3945" spans="3:3" x14ac:dyDescent="0.25">
      <c r="C3945" s="4"/>
    </row>
    <row r="3946" spans="3:3" x14ac:dyDescent="0.25">
      <c r="C3946" s="4"/>
    </row>
    <row r="3947" spans="3:3" x14ac:dyDescent="0.25">
      <c r="C3947" s="4"/>
    </row>
    <row r="3948" spans="3:3" x14ac:dyDescent="0.25">
      <c r="C3948" s="4"/>
    </row>
    <row r="3949" spans="3:3" x14ac:dyDescent="0.25">
      <c r="C3949" s="4"/>
    </row>
    <row r="3950" spans="3:3" x14ac:dyDescent="0.25">
      <c r="C3950" s="4"/>
    </row>
    <row r="3951" spans="3:3" x14ac:dyDescent="0.25">
      <c r="C3951" s="4"/>
    </row>
    <row r="3952" spans="3:3" x14ac:dyDescent="0.25">
      <c r="C3952" s="4"/>
    </row>
    <row r="3953" spans="3:3" x14ac:dyDescent="0.25">
      <c r="C3953" s="4"/>
    </row>
    <row r="3954" spans="3:3" x14ac:dyDescent="0.25">
      <c r="C3954" s="4"/>
    </row>
    <row r="3955" spans="3:3" x14ac:dyDescent="0.25">
      <c r="C3955" s="4"/>
    </row>
    <row r="3956" spans="3:3" x14ac:dyDescent="0.25">
      <c r="C3956" s="4"/>
    </row>
    <row r="3957" spans="3:3" x14ac:dyDescent="0.25">
      <c r="C3957" s="4"/>
    </row>
    <row r="3958" spans="3:3" x14ac:dyDescent="0.25">
      <c r="C3958" s="4"/>
    </row>
    <row r="3959" spans="3:3" x14ac:dyDescent="0.25">
      <c r="C3959" s="4"/>
    </row>
    <row r="3960" spans="3:3" x14ac:dyDescent="0.25">
      <c r="C3960" s="4"/>
    </row>
    <row r="3961" spans="3:3" x14ac:dyDescent="0.25">
      <c r="C3961" s="4"/>
    </row>
    <row r="3962" spans="3:3" x14ac:dyDescent="0.25">
      <c r="C3962" s="4"/>
    </row>
    <row r="3963" spans="3:3" x14ac:dyDescent="0.25">
      <c r="C3963" s="4"/>
    </row>
    <row r="3964" spans="3:3" x14ac:dyDescent="0.25">
      <c r="C3964" s="4"/>
    </row>
    <row r="3965" spans="3:3" x14ac:dyDescent="0.25">
      <c r="C3965" s="4"/>
    </row>
    <row r="3966" spans="3:3" x14ac:dyDescent="0.25">
      <c r="C3966" s="4"/>
    </row>
    <row r="3967" spans="3:3" x14ac:dyDescent="0.25">
      <c r="C3967" s="4"/>
    </row>
    <row r="3968" spans="3:3" x14ac:dyDescent="0.25">
      <c r="C3968" s="4"/>
    </row>
    <row r="3969" spans="3:3" x14ac:dyDescent="0.25">
      <c r="C3969" s="4"/>
    </row>
    <row r="3970" spans="3:3" x14ac:dyDescent="0.25">
      <c r="C3970" s="4"/>
    </row>
    <row r="3971" spans="3:3" x14ac:dyDescent="0.25">
      <c r="C3971" s="4"/>
    </row>
    <row r="3972" spans="3:3" x14ac:dyDescent="0.25">
      <c r="C3972" s="4"/>
    </row>
    <row r="3973" spans="3:3" x14ac:dyDescent="0.25">
      <c r="C3973" s="4"/>
    </row>
    <row r="3974" spans="3:3" x14ac:dyDescent="0.25">
      <c r="C3974" s="4"/>
    </row>
    <row r="3975" spans="3:3" x14ac:dyDescent="0.25">
      <c r="C3975" s="4"/>
    </row>
    <row r="3976" spans="3:3" x14ac:dyDescent="0.25">
      <c r="C3976" s="4"/>
    </row>
    <row r="3977" spans="3:3" x14ac:dyDescent="0.25">
      <c r="C3977" s="4"/>
    </row>
    <row r="3978" spans="3:3" x14ac:dyDescent="0.25">
      <c r="C3978" s="4"/>
    </row>
    <row r="3979" spans="3:3" x14ac:dyDescent="0.25">
      <c r="C3979" s="4"/>
    </row>
    <row r="3980" spans="3:3" x14ac:dyDescent="0.25">
      <c r="C3980" s="4"/>
    </row>
    <row r="3981" spans="3:3" x14ac:dyDescent="0.25">
      <c r="C3981" s="4"/>
    </row>
    <row r="3982" spans="3:3" x14ac:dyDescent="0.25">
      <c r="C3982" s="4"/>
    </row>
    <row r="3983" spans="3:3" x14ac:dyDescent="0.25">
      <c r="C3983" s="4"/>
    </row>
    <row r="3984" spans="3:3" x14ac:dyDescent="0.25">
      <c r="C3984" s="4"/>
    </row>
    <row r="3985" spans="3:3" x14ac:dyDescent="0.25">
      <c r="C3985" s="4"/>
    </row>
    <row r="3986" spans="3:3" x14ac:dyDescent="0.25">
      <c r="C3986" s="4"/>
    </row>
    <row r="3987" spans="3:3" x14ac:dyDescent="0.25">
      <c r="C3987" s="4"/>
    </row>
    <row r="3988" spans="3:3" x14ac:dyDescent="0.25">
      <c r="C3988" s="4"/>
    </row>
    <row r="3989" spans="3:3" x14ac:dyDescent="0.25">
      <c r="C3989" s="4"/>
    </row>
    <row r="3990" spans="3:3" x14ac:dyDescent="0.25">
      <c r="C3990" s="4"/>
    </row>
    <row r="3991" spans="3:3" x14ac:dyDescent="0.25">
      <c r="C3991" s="4"/>
    </row>
    <row r="3992" spans="3:3" x14ac:dyDescent="0.25">
      <c r="C3992" s="4"/>
    </row>
    <row r="3993" spans="3:3" x14ac:dyDescent="0.25">
      <c r="C3993" s="4"/>
    </row>
    <row r="3994" spans="3:3" x14ac:dyDescent="0.25">
      <c r="C3994" s="4"/>
    </row>
    <row r="3995" spans="3:3" x14ac:dyDescent="0.25">
      <c r="C3995" s="4"/>
    </row>
    <row r="3996" spans="3:3" x14ac:dyDescent="0.25">
      <c r="C3996" s="4"/>
    </row>
    <row r="3997" spans="3:3" x14ac:dyDescent="0.25">
      <c r="C3997" s="4"/>
    </row>
    <row r="3998" spans="3:3" x14ac:dyDescent="0.25">
      <c r="C3998" s="4"/>
    </row>
    <row r="3999" spans="3:3" x14ac:dyDescent="0.25">
      <c r="C3999" s="4"/>
    </row>
    <row r="4000" spans="3:3" x14ac:dyDescent="0.25">
      <c r="C4000" s="4"/>
    </row>
    <row r="4001" spans="3:3" x14ac:dyDescent="0.25">
      <c r="C4001" s="4"/>
    </row>
    <row r="4002" spans="3:3" x14ac:dyDescent="0.25">
      <c r="C4002" s="4"/>
    </row>
    <row r="4003" spans="3:3" x14ac:dyDescent="0.25">
      <c r="C4003" s="4"/>
    </row>
    <row r="4004" spans="3:3" x14ac:dyDescent="0.25">
      <c r="C4004" s="4"/>
    </row>
    <row r="4005" spans="3:3" x14ac:dyDescent="0.25">
      <c r="C4005" s="4"/>
    </row>
    <row r="4006" spans="3:3" x14ac:dyDescent="0.25">
      <c r="C4006" s="4"/>
    </row>
    <row r="4007" spans="3:3" x14ac:dyDescent="0.25">
      <c r="C4007" s="4"/>
    </row>
    <row r="4008" spans="3:3" x14ac:dyDescent="0.25">
      <c r="C4008" s="4"/>
    </row>
    <row r="4009" spans="3:3" x14ac:dyDescent="0.25">
      <c r="C4009" s="4"/>
    </row>
    <row r="4010" spans="3:3" x14ac:dyDescent="0.25">
      <c r="C4010" s="4"/>
    </row>
    <row r="4011" spans="3:3" x14ac:dyDescent="0.25">
      <c r="C4011" s="4"/>
    </row>
    <row r="4012" spans="3:3" x14ac:dyDescent="0.25">
      <c r="C4012" s="4"/>
    </row>
    <row r="4013" spans="3:3" x14ac:dyDescent="0.25">
      <c r="C4013" s="4"/>
    </row>
    <row r="4014" spans="3:3" x14ac:dyDescent="0.25">
      <c r="C4014" s="4"/>
    </row>
    <row r="4015" spans="3:3" x14ac:dyDescent="0.25">
      <c r="C4015" s="4"/>
    </row>
    <row r="4016" spans="3:3" x14ac:dyDescent="0.25">
      <c r="C4016" s="4"/>
    </row>
    <row r="4017" spans="3:3" x14ac:dyDescent="0.25">
      <c r="C4017" s="4"/>
    </row>
    <row r="4018" spans="3:3" x14ac:dyDescent="0.25">
      <c r="C4018" s="4"/>
    </row>
    <row r="4019" spans="3:3" x14ac:dyDescent="0.25">
      <c r="C4019" s="4"/>
    </row>
    <row r="4020" spans="3:3" x14ac:dyDescent="0.25">
      <c r="C4020" s="4"/>
    </row>
    <row r="4021" spans="3:3" x14ac:dyDescent="0.25">
      <c r="C4021" s="4"/>
    </row>
    <row r="4022" spans="3:3" x14ac:dyDescent="0.25">
      <c r="C4022" s="4"/>
    </row>
    <row r="4023" spans="3:3" x14ac:dyDescent="0.25">
      <c r="C4023" s="4"/>
    </row>
    <row r="4024" spans="3:3" x14ac:dyDescent="0.25">
      <c r="C4024" s="4"/>
    </row>
    <row r="4025" spans="3:3" x14ac:dyDescent="0.25">
      <c r="C4025" s="4"/>
    </row>
    <row r="4026" spans="3:3" x14ac:dyDescent="0.25">
      <c r="C4026" s="4"/>
    </row>
    <row r="4027" spans="3:3" x14ac:dyDescent="0.25">
      <c r="C4027" s="4"/>
    </row>
    <row r="4028" spans="3:3" x14ac:dyDescent="0.25">
      <c r="C4028" s="4"/>
    </row>
    <row r="4029" spans="3:3" x14ac:dyDescent="0.25">
      <c r="C4029" s="4"/>
    </row>
    <row r="4030" spans="3:3" x14ac:dyDescent="0.25">
      <c r="C4030" s="4"/>
    </row>
    <row r="4031" spans="3:3" x14ac:dyDescent="0.25">
      <c r="C4031" s="4"/>
    </row>
    <row r="4032" spans="3:3" x14ac:dyDescent="0.25">
      <c r="C4032" s="4"/>
    </row>
    <row r="4033" spans="3:3" x14ac:dyDescent="0.25">
      <c r="C4033" s="4"/>
    </row>
    <row r="4034" spans="3:3" x14ac:dyDescent="0.25">
      <c r="C4034" s="4"/>
    </row>
    <row r="4035" spans="3:3" x14ac:dyDescent="0.25">
      <c r="C4035" s="4"/>
    </row>
    <row r="4036" spans="3:3" x14ac:dyDescent="0.25">
      <c r="C4036" s="4"/>
    </row>
    <row r="4037" spans="3:3" x14ac:dyDescent="0.25">
      <c r="C4037" s="4"/>
    </row>
    <row r="4038" spans="3:3" x14ac:dyDescent="0.25">
      <c r="C4038" s="4"/>
    </row>
    <row r="4039" spans="3:3" x14ac:dyDescent="0.25">
      <c r="C4039" s="4"/>
    </row>
    <row r="4040" spans="3:3" x14ac:dyDescent="0.25">
      <c r="C4040" s="4"/>
    </row>
    <row r="4041" spans="3:3" x14ac:dyDescent="0.25">
      <c r="C4041" s="4"/>
    </row>
    <row r="4042" spans="3:3" x14ac:dyDescent="0.25">
      <c r="C4042" s="4"/>
    </row>
    <row r="4043" spans="3:3" x14ac:dyDescent="0.25">
      <c r="C4043" s="4"/>
    </row>
    <row r="4044" spans="3:3" x14ac:dyDescent="0.25">
      <c r="C4044" s="4"/>
    </row>
    <row r="4045" spans="3:3" x14ac:dyDescent="0.25">
      <c r="C4045" s="4"/>
    </row>
    <row r="4046" spans="3:3" x14ac:dyDescent="0.25">
      <c r="C4046" s="4"/>
    </row>
    <row r="4047" spans="3:3" x14ac:dyDescent="0.25">
      <c r="C4047" s="4"/>
    </row>
    <row r="4048" spans="3:3" x14ac:dyDescent="0.25">
      <c r="C4048" s="4"/>
    </row>
    <row r="4049" spans="3:3" x14ac:dyDescent="0.25">
      <c r="C4049" s="4"/>
    </row>
    <row r="4050" spans="3:3" x14ac:dyDescent="0.25">
      <c r="C4050" s="4"/>
    </row>
    <row r="4051" spans="3:3" x14ac:dyDescent="0.25">
      <c r="C4051" s="4"/>
    </row>
    <row r="4052" spans="3:3" x14ac:dyDescent="0.25">
      <c r="C4052" s="4"/>
    </row>
    <row r="4053" spans="3:3" x14ac:dyDescent="0.25">
      <c r="C4053" s="4"/>
    </row>
    <row r="4054" spans="3:3" x14ac:dyDescent="0.25">
      <c r="C4054" s="4"/>
    </row>
    <row r="4055" spans="3:3" x14ac:dyDescent="0.25">
      <c r="C4055" s="4"/>
    </row>
    <row r="4056" spans="3:3" x14ac:dyDescent="0.25">
      <c r="C4056" s="4"/>
    </row>
    <row r="4057" spans="3:3" x14ac:dyDescent="0.25">
      <c r="C4057" s="4"/>
    </row>
    <row r="4058" spans="3:3" x14ac:dyDescent="0.25">
      <c r="C4058" s="4"/>
    </row>
    <row r="4059" spans="3:3" x14ac:dyDescent="0.25">
      <c r="C4059" s="4"/>
    </row>
    <row r="4060" spans="3:3" x14ac:dyDescent="0.25">
      <c r="C4060" s="4"/>
    </row>
    <row r="4061" spans="3:3" x14ac:dyDescent="0.25">
      <c r="C4061" s="4"/>
    </row>
    <row r="4062" spans="3:3" x14ac:dyDescent="0.25">
      <c r="C4062" s="4"/>
    </row>
    <row r="4063" spans="3:3" x14ac:dyDescent="0.25">
      <c r="C4063" s="4"/>
    </row>
    <row r="4064" spans="3:3" x14ac:dyDescent="0.25">
      <c r="C4064" s="4"/>
    </row>
    <row r="4065" spans="3:3" x14ac:dyDescent="0.25">
      <c r="C4065" s="4"/>
    </row>
    <row r="4066" spans="3:3" x14ac:dyDescent="0.25">
      <c r="C4066" s="4"/>
    </row>
    <row r="4067" spans="3:3" x14ac:dyDescent="0.25">
      <c r="C4067" s="4"/>
    </row>
    <row r="4068" spans="3:3" x14ac:dyDescent="0.25">
      <c r="C4068" s="4"/>
    </row>
    <row r="4069" spans="3:3" x14ac:dyDescent="0.25">
      <c r="C4069" s="4"/>
    </row>
    <row r="4070" spans="3:3" x14ac:dyDescent="0.25">
      <c r="C4070" s="4"/>
    </row>
    <row r="4071" spans="3:3" x14ac:dyDescent="0.25">
      <c r="C4071" s="4"/>
    </row>
    <row r="4072" spans="3:3" x14ac:dyDescent="0.25">
      <c r="C4072" s="4"/>
    </row>
    <row r="4073" spans="3:3" x14ac:dyDescent="0.25">
      <c r="C4073" s="4"/>
    </row>
    <row r="4074" spans="3:3" x14ac:dyDescent="0.25">
      <c r="C4074" s="4"/>
    </row>
    <row r="4075" spans="3:3" x14ac:dyDescent="0.25">
      <c r="C4075" s="4"/>
    </row>
    <row r="4076" spans="3:3" x14ac:dyDescent="0.25">
      <c r="C4076" s="4"/>
    </row>
    <row r="4077" spans="3:3" x14ac:dyDescent="0.25">
      <c r="C4077" s="4"/>
    </row>
    <row r="4078" spans="3:3" x14ac:dyDescent="0.25">
      <c r="C4078" s="4"/>
    </row>
    <row r="4079" spans="3:3" x14ac:dyDescent="0.25">
      <c r="C4079" s="4"/>
    </row>
    <row r="4080" spans="3:3" x14ac:dyDescent="0.25">
      <c r="C4080" s="4"/>
    </row>
    <row r="4081" spans="3:3" x14ac:dyDescent="0.25">
      <c r="C4081" s="4"/>
    </row>
    <row r="4082" spans="3:3" x14ac:dyDescent="0.25">
      <c r="C4082" s="4"/>
    </row>
    <row r="4083" spans="3:3" x14ac:dyDescent="0.25">
      <c r="C4083" s="4"/>
    </row>
    <row r="4084" spans="3:3" x14ac:dyDescent="0.25">
      <c r="C4084" s="4"/>
    </row>
    <row r="4085" spans="3:3" x14ac:dyDescent="0.25">
      <c r="C4085" s="4"/>
    </row>
    <row r="4086" spans="3:3" x14ac:dyDescent="0.25">
      <c r="C4086" s="4"/>
    </row>
    <row r="4087" spans="3:3" x14ac:dyDescent="0.25">
      <c r="C4087" s="4"/>
    </row>
    <row r="4088" spans="3:3" x14ac:dyDescent="0.25">
      <c r="C4088" s="4"/>
    </row>
    <row r="4089" spans="3:3" x14ac:dyDescent="0.25">
      <c r="C4089" s="4"/>
    </row>
    <row r="4090" spans="3:3" x14ac:dyDescent="0.25">
      <c r="C4090" s="4"/>
    </row>
    <row r="4091" spans="3:3" x14ac:dyDescent="0.25">
      <c r="C4091" s="4"/>
    </row>
    <row r="4092" spans="3:3" x14ac:dyDescent="0.25">
      <c r="C4092" s="4"/>
    </row>
    <row r="4093" spans="3:3" x14ac:dyDescent="0.25">
      <c r="C4093" s="4"/>
    </row>
    <row r="4094" spans="3:3" x14ac:dyDescent="0.25">
      <c r="C4094" s="4"/>
    </row>
    <row r="4095" spans="3:3" x14ac:dyDescent="0.25">
      <c r="C4095" s="4"/>
    </row>
    <row r="4096" spans="3:3" x14ac:dyDescent="0.25">
      <c r="C4096" s="4"/>
    </row>
    <row r="4097" spans="3:3" x14ac:dyDescent="0.25">
      <c r="C4097" s="4"/>
    </row>
    <row r="4098" spans="3:3" x14ac:dyDescent="0.25">
      <c r="C4098" s="4"/>
    </row>
    <row r="4099" spans="3:3" x14ac:dyDescent="0.25">
      <c r="C4099" s="4"/>
    </row>
    <row r="4100" spans="3:3" x14ac:dyDescent="0.25">
      <c r="C4100" s="4"/>
    </row>
    <row r="4101" spans="3:3" x14ac:dyDescent="0.25">
      <c r="C4101" s="4"/>
    </row>
    <row r="4102" spans="3:3" x14ac:dyDescent="0.25">
      <c r="C4102" s="4"/>
    </row>
    <row r="4103" spans="3:3" x14ac:dyDescent="0.25">
      <c r="C4103" s="4"/>
    </row>
    <row r="4104" spans="3:3" x14ac:dyDescent="0.25">
      <c r="C4104" s="4"/>
    </row>
    <row r="4105" spans="3:3" x14ac:dyDescent="0.25">
      <c r="C4105" s="4"/>
    </row>
    <row r="4106" spans="3:3" x14ac:dyDescent="0.25">
      <c r="C4106" s="4"/>
    </row>
    <row r="4107" spans="3:3" x14ac:dyDescent="0.25">
      <c r="C4107" s="4"/>
    </row>
    <row r="4108" spans="3:3" x14ac:dyDescent="0.25">
      <c r="C4108" s="4"/>
    </row>
    <row r="4109" spans="3:3" x14ac:dyDescent="0.25">
      <c r="C4109" s="4"/>
    </row>
    <row r="4110" spans="3:3" x14ac:dyDescent="0.25">
      <c r="C4110" s="4"/>
    </row>
    <row r="4111" spans="3:3" x14ac:dyDescent="0.25">
      <c r="C4111" s="4"/>
    </row>
    <row r="4112" spans="3:3" x14ac:dyDescent="0.25">
      <c r="C4112" s="4"/>
    </row>
    <row r="4113" spans="3:3" x14ac:dyDescent="0.25">
      <c r="C4113" s="4"/>
    </row>
    <row r="4114" spans="3:3" x14ac:dyDescent="0.25">
      <c r="C4114" s="4"/>
    </row>
    <row r="4115" spans="3:3" x14ac:dyDescent="0.25">
      <c r="C4115" s="4"/>
    </row>
    <row r="4116" spans="3:3" x14ac:dyDescent="0.25">
      <c r="C4116" s="4"/>
    </row>
    <row r="4117" spans="3:3" x14ac:dyDescent="0.25">
      <c r="C4117" s="4"/>
    </row>
    <row r="4118" spans="3:3" x14ac:dyDescent="0.25">
      <c r="C4118" s="4"/>
    </row>
    <row r="4119" spans="3:3" x14ac:dyDescent="0.25">
      <c r="C4119" s="4"/>
    </row>
    <row r="4120" spans="3:3" x14ac:dyDescent="0.25">
      <c r="C4120" s="4"/>
    </row>
    <row r="4121" spans="3:3" x14ac:dyDescent="0.25">
      <c r="C4121" s="4"/>
    </row>
    <row r="4122" spans="3:3" x14ac:dyDescent="0.25">
      <c r="C4122" s="4"/>
    </row>
    <row r="4123" spans="3:3" x14ac:dyDescent="0.25">
      <c r="C4123" s="4"/>
    </row>
    <row r="4124" spans="3:3" x14ac:dyDescent="0.25">
      <c r="C4124" s="4"/>
    </row>
    <row r="4125" spans="3:3" x14ac:dyDescent="0.25">
      <c r="C4125" s="4"/>
    </row>
    <row r="4126" spans="3:3" x14ac:dyDescent="0.25">
      <c r="C4126" s="4"/>
    </row>
    <row r="4127" spans="3:3" x14ac:dyDescent="0.25">
      <c r="C4127" s="4"/>
    </row>
    <row r="4128" spans="3:3" x14ac:dyDescent="0.25">
      <c r="C4128" s="4"/>
    </row>
    <row r="4129" spans="3:3" x14ac:dyDescent="0.25">
      <c r="C4129" s="4"/>
    </row>
    <row r="4130" spans="3:3" x14ac:dyDescent="0.25">
      <c r="C4130" s="4"/>
    </row>
    <row r="4131" spans="3:3" x14ac:dyDescent="0.25">
      <c r="C4131" s="4"/>
    </row>
    <row r="4132" spans="3:3" x14ac:dyDescent="0.25">
      <c r="C4132" s="4"/>
    </row>
    <row r="4133" spans="3:3" x14ac:dyDescent="0.25">
      <c r="C4133" s="4"/>
    </row>
    <row r="4134" spans="3:3" x14ac:dyDescent="0.25">
      <c r="C4134" s="4"/>
    </row>
    <row r="4135" spans="3:3" x14ac:dyDescent="0.25">
      <c r="C4135" s="4"/>
    </row>
    <row r="4136" spans="3:3" x14ac:dyDescent="0.25">
      <c r="C4136" s="4"/>
    </row>
    <row r="4137" spans="3:3" x14ac:dyDescent="0.25">
      <c r="C4137" s="4"/>
    </row>
    <row r="4138" spans="3:3" x14ac:dyDescent="0.25">
      <c r="C4138" s="4"/>
    </row>
    <row r="4139" spans="3:3" x14ac:dyDescent="0.25">
      <c r="C4139" s="4"/>
    </row>
    <row r="4140" spans="3:3" x14ac:dyDescent="0.25">
      <c r="C4140" s="4"/>
    </row>
    <row r="4141" spans="3:3" x14ac:dyDescent="0.25">
      <c r="C4141" s="4"/>
    </row>
    <row r="4142" spans="3:3" x14ac:dyDescent="0.25">
      <c r="C4142" s="4"/>
    </row>
    <row r="4143" spans="3:3" x14ac:dyDescent="0.25">
      <c r="C4143" s="4"/>
    </row>
    <row r="4144" spans="3:3" x14ac:dyDescent="0.25">
      <c r="C4144" s="4"/>
    </row>
    <row r="4145" spans="3:3" x14ac:dyDescent="0.25">
      <c r="C4145" s="4"/>
    </row>
    <row r="4146" spans="3:3" x14ac:dyDescent="0.25">
      <c r="C4146" s="4"/>
    </row>
    <row r="4147" spans="3:3" x14ac:dyDescent="0.25">
      <c r="C4147" s="4"/>
    </row>
    <row r="4148" spans="3:3" x14ac:dyDescent="0.25">
      <c r="C4148" s="4"/>
    </row>
    <row r="4149" spans="3:3" x14ac:dyDescent="0.25">
      <c r="C4149" s="4"/>
    </row>
    <row r="4150" spans="3:3" x14ac:dyDescent="0.25">
      <c r="C4150" s="4"/>
    </row>
    <row r="4151" spans="3:3" x14ac:dyDescent="0.25">
      <c r="C4151" s="4"/>
    </row>
    <row r="4152" spans="3:3" x14ac:dyDescent="0.25">
      <c r="C4152" s="4"/>
    </row>
    <row r="4153" spans="3:3" x14ac:dyDescent="0.25">
      <c r="C4153" s="4"/>
    </row>
    <row r="4154" spans="3:3" x14ac:dyDescent="0.25">
      <c r="C4154" s="4"/>
    </row>
    <row r="4155" spans="3:3" x14ac:dyDescent="0.25">
      <c r="C4155" s="4"/>
    </row>
    <row r="4156" spans="3:3" x14ac:dyDescent="0.25">
      <c r="C4156" s="4"/>
    </row>
    <row r="4157" spans="3:3" x14ac:dyDescent="0.25">
      <c r="C4157" s="4"/>
    </row>
    <row r="4158" spans="3:3" x14ac:dyDescent="0.25">
      <c r="C4158" s="4"/>
    </row>
    <row r="4159" spans="3:3" x14ac:dyDescent="0.25">
      <c r="C4159" s="4"/>
    </row>
    <row r="4160" spans="3:3" x14ac:dyDescent="0.25">
      <c r="C4160" s="4"/>
    </row>
    <row r="4161" spans="3:3" x14ac:dyDescent="0.25">
      <c r="C4161" s="4"/>
    </row>
    <row r="4162" spans="3:3" x14ac:dyDescent="0.25">
      <c r="C4162" s="4"/>
    </row>
    <row r="4163" spans="3:3" x14ac:dyDescent="0.25">
      <c r="C4163" s="4"/>
    </row>
    <row r="4164" spans="3:3" x14ac:dyDescent="0.25">
      <c r="C4164" s="4"/>
    </row>
    <row r="4165" spans="3:3" x14ac:dyDescent="0.25">
      <c r="C4165" s="4"/>
    </row>
    <row r="4166" spans="3:3" x14ac:dyDescent="0.25">
      <c r="C4166" s="4"/>
    </row>
    <row r="4167" spans="3:3" x14ac:dyDescent="0.25">
      <c r="C4167" s="4"/>
    </row>
    <row r="4168" spans="3:3" x14ac:dyDescent="0.25">
      <c r="C4168" s="4"/>
    </row>
    <row r="4169" spans="3:3" x14ac:dyDescent="0.25">
      <c r="C4169" s="4"/>
    </row>
    <row r="4170" spans="3:3" x14ac:dyDescent="0.25">
      <c r="C4170" s="4"/>
    </row>
    <row r="4171" spans="3:3" x14ac:dyDescent="0.25">
      <c r="C4171" s="4"/>
    </row>
    <row r="4172" spans="3:3" x14ac:dyDescent="0.25">
      <c r="C4172" s="4"/>
    </row>
    <row r="4173" spans="3:3" x14ac:dyDescent="0.25">
      <c r="C4173" s="4"/>
    </row>
    <row r="4174" spans="3:3" x14ac:dyDescent="0.25">
      <c r="C4174" s="4"/>
    </row>
    <row r="4175" spans="3:3" x14ac:dyDescent="0.25">
      <c r="C4175" s="4"/>
    </row>
    <row r="4176" spans="3:3" x14ac:dyDescent="0.25">
      <c r="C4176" s="4"/>
    </row>
    <row r="4177" spans="3:3" x14ac:dyDescent="0.25">
      <c r="C4177" s="4"/>
    </row>
    <row r="4178" spans="3:3" x14ac:dyDescent="0.25">
      <c r="C4178" s="4"/>
    </row>
    <row r="4179" spans="3:3" x14ac:dyDescent="0.25">
      <c r="C4179" s="4"/>
    </row>
    <row r="4180" spans="3:3" x14ac:dyDescent="0.25">
      <c r="C4180" s="4"/>
    </row>
    <row r="4181" spans="3:3" x14ac:dyDescent="0.25">
      <c r="C4181" s="4"/>
    </row>
    <row r="4182" spans="3:3" x14ac:dyDescent="0.25">
      <c r="C4182" s="4"/>
    </row>
    <row r="4183" spans="3:3" x14ac:dyDescent="0.25">
      <c r="C4183" s="4"/>
    </row>
    <row r="4184" spans="3:3" x14ac:dyDescent="0.25">
      <c r="C4184" s="4"/>
    </row>
    <row r="4185" spans="3:3" x14ac:dyDescent="0.25">
      <c r="C4185" s="4"/>
    </row>
    <row r="4186" spans="3:3" x14ac:dyDescent="0.25">
      <c r="C4186" s="4"/>
    </row>
    <row r="4187" spans="3:3" x14ac:dyDescent="0.25">
      <c r="C4187" s="4"/>
    </row>
    <row r="4188" spans="3:3" x14ac:dyDescent="0.25">
      <c r="C4188" s="4"/>
    </row>
    <row r="4189" spans="3:3" x14ac:dyDescent="0.25">
      <c r="C4189" s="4"/>
    </row>
    <row r="4190" spans="3:3" x14ac:dyDescent="0.25">
      <c r="C4190" s="4"/>
    </row>
    <row r="4191" spans="3:3" x14ac:dyDescent="0.25">
      <c r="C4191" s="4"/>
    </row>
    <row r="4192" spans="3:3" x14ac:dyDescent="0.25">
      <c r="C4192" s="4"/>
    </row>
    <row r="4193" spans="3:3" x14ac:dyDescent="0.25">
      <c r="C4193" s="4"/>
    </row>
    <row r="4194" spans="3:3" x14ac:dyDescent="0.25">
      <c r="C4194" s="4"/>
    </row>
    <row r="4195" spans="3:3" x14ac:dyDescent="0.25">
      <c r="C4195" s="4"/>
    </row>
    <row r="4196" spans="3:3" x14ac:dyDescent="0.25">
      <c r="C4196" s="4"/>
    </row>
    <row r="4197" spans="3:3" x14ac:dyDescent="0.25">
      <c r="C4197" s="4"/>
    </row>
    <row r="4198" spans="3:3" x14ac:dyDescent="0.25">
      <c r="C4198" s="4"/>
    </row>
    <row r="4199" spans="3:3" x14ac:dyDescent="0.25">
      <c r="C4199" s="4"/>
    </row>
    <row r="4200" spans="3:3" x14ac:dyDescent="0.25">
      <c r="C4200" s="4"/>
    </row>
    <row r="4201" spans="3:3" x14ac:dyDescent="0.25">
      <c r="C4201" s="4"/>
    </row>
    <row r="4202" spans="3:3" x14ac:dyDescent="0.25">
      <c r="C4202" s="4"/>
    </row>
    <row r="4203" spans="3:3" x14ac:dyDescent="0.25">
      <c r="C4203" s="4"/>
    </row>
    <row r="4204" spans="3:3" x14ac:dyDescent="0.25">
      <c r="C4204" s="4"/>
    </row>
    <row r="4205" spans="3:3" x14ac:dyDescent="0.25">
      <c r="C4205" s="4"/>
    </row>
    <row r="4206" spans="3:3" x14ac:dyDescent="0.25">
      <c r="C4206" s="4"/>
    </row>
    <row r="4207" spans="3:3" x14ac:dyDescent="0.25">
      <c r="C4207" s="4"/>
    </row>
    <row r="4208" spans="3:3" x14ac:dyDescent="0.25">
      <c r="C4208" s="4"/>
    </row>
    <row r="4209" spans="3:3" x14ac:dyDescent="0.25">
      <c r="C4209" s="4"/>
    </row>
    <row r="4210" spans="3:3" x14ac:dyDescent="0.25">
      <c r="C4210" s="4"/>
    </row>
    <row r="4211" spans="3:3" x14ac:dyDescent="0.25">
      <c r="C4211" s="4"/>
    </row>
    <row r="4212" spans="3:3" x14ac:dyDescent="0.25">
      <c r="C4212" s="4"/>
    </row>
    <row r="4213" spans="3:3" x14ac:dyDescent="0.25">
      <c r="C4213" s="4"/>
    </row>
    <row r="4214" spans="3:3" x14ac:dyDescent="0.25">
      <c r="C4214" s="4"/>
    </row>
    <row r="4215" spans="3:3" x14ac:dyDescent="0.25">
      <c r="C4215" s="4"/>
    </row>
    <row r="4216" spans="3:3" x14ac:dyDescent="0.25">
      <c r="C4216" s="4"/>
    </row>
    <row r="4217" spans="3:3" x14ac:dyDescent="0.25">
      <c r="C4217" s="4"/>
    </row>
    <row r="4218" spans="3:3" x14ac:dyDescent="0.25">
      <c r="C4218" s="4"/>
    </row>
    <row r="4219" spans="3:3" x14ac:dyDescent="0.25">
      <c r="C4219" s="4"/>
    </row>
    <row r="4220" spans="3:3" x14ac:dyDescent="0.25">
      <c r="C4220" s="4"/>
    </row>
    <row r="4221" spans="3:3" x14ac:dyDescent="0.25">
      <c r="C4221" s="4"/>
    </row>
    <row r="4222" spans="3:3" x14ac:dyDescent="0.25">
      <c r="C4222" s="4"/>
    </row>
    <row r="4223" spans="3:3" x14ac:dyDescent="0.25">
      <c r="C4223" s="4"/>
    </row>
    <row r="4224" spans="3:3" x14ac:dyDescent="0.25">
      <c r="C4224" s="4"/>
    </row>
    <row r="4225" spans="3:3" x14ac:dyDescent="0.25">
      <c r="C4225" s="4"/>
    </row>
    <row r="4226" spans="3:3" x14ac:dyDescent="0.25">
      <c r="C4226" s="4"/>
    </row>
    <row r="4227" spans="3:3" x14ac:dyDescent="0.25">
      <c r="C4227" s="4"/>
    </row>
    <row r="4228" spans="3:3" x14ac:dyDescent="0.25">
      <c r="C4228" s="4"/>
    </row>
    <row r="4229" spans="3:3" x14ac:dyDescent="0.25">
      <c r="C4229" s="4"/>
    </row>
    <row r="4230" spans="3:3" x14ac:dyDescent="0.25">
      <c r="C4230" s="4"/>
    </row>
    <row r="4231" spans="3:3" x14ac:dyDescent="0.25">
      <c r="C4231" s="4"/>
    </row>
    <row r="4232" spans="3:3" x14ac:dyDescent="0.25">
      <c r="C4232" s="4"/>
    </row>
    <row r="4233" spans="3:3" x14ac:dyDescent="0.25">
      <c r="C4233" s="4"/>
    </row>
    <row r="4234" spans="3:3" x14ac:dyDescent="0.25">
      <c r="C4234" s="4"/>
    </row>
    <row r="4235" spans="3:3" x14ac:dyDescent="0.25">
      <c r="C4235" s="4"/>
    </row>
    <row r="4236" spans="3:3" x14ac:dyDescent="0.25">
      <c r="C4236" s="4"/>
    </row>
    <row r="4237" spans="3:3" x14ac:dyDescent="0.25">
      <c r="C4237" s="4"/>
    </row>
    <row r="4238" spans="3:3" x14ac:dyDescent="0.25">
      <c r="C4238" s="4"/>
    </row>
    <row r="4239" spans="3:3" x14ac:dyDescent="0.25">
      <c r="C4239" s="4"/>
    </row>
    <row r="4240" spans="3:3" x14ac:dyDescent="0.25">
      <c r="C4240" s="4"/>
    </row>
    <row r="4241" spans="3:3" x14ac:dyDescent="0.25">
      <c r="C4241" s="4"/>
    </row>
    <row r="4242" spans="3:3" x14ac:dyDescent="0.25">
      <c r="C4242" s="4"/>
    </row>
    <row r="4243" spans="3:3" x14ac:dyDescent="0.25">
      <c r="C4243" s="4"/>
    </row>
    <row r="4244" spans="3:3" x14ac:dyDescent="0.25">
      <c r="C4244" s="4"/>
    </row>
    <row r="4245" spans="3:3" x14ac:dyDescent="0.25">
      <c r="C4245" s="4"/>
    </row>
    <row r="4246" spans="3:3" x14ac:dyDescent="0.25">
      <c r="C4246" s="4"/>
    </row>
    <row r="4247" spans="3:3" x14ac:dyDescent="0.25">
      <c r="C4247" s="4"/>
    </row>
    <row r="4248" spans="3:3" x14ac:dyDescent="0.25">
      <c r="C4248" s="4"/>
    </row>
    <row r="4249" spans="3:3" x14ac:dyDescent="0.25">
      <c r="C4249" s="4"/>
    </row>
    <row r="4250" spans="3:3" x14ac:dyDescent="0.25">
      <c r="C4250" s="4"/>
    </row>
    <row r="4251" spans="3:3" x14ac:dyDescent="0.25">
      <c r="C4251" s="4"/>
    </row>
    <row r="4252" spans="3:3" x14ac:dyDescent="0.25">
      <c r="C4252" s="4"/>
    </row>
    <row r="4253" spans="3:3" x14ac:dyDescent="0.25">
      <c r="C4253" s="4"/>
    </row>
    <row r="4254" spans="3:3" x14ac:dyDescent="0.25">
      <c r="C4254" s="4"/>
    </row>
    <row r="4255" spans="3:3" x14ac:dyDescent="0.25">
      <c r="C4255" s="4"/>
    </row>
    <row r="4256" spans="3:3" x14ac:dyDescent="0.25">
      <c r="C4256" s="4"/>
    </row>
    <row r="4257" spans="3:3" x14ac:dyDescent="0.25">
      <c r="C4257" s="4"/>
    </row>
    <row r="4258" spans="3:3" x14ac:dyDescent="0.25">
      <c r="C4258" s="4"/>
    </row>
    <row r="4259" spans="3:3" x14ac:dyDescent="0.25">
      <c r="C4259" s="4"/>
    </row>
    <row r="4260" spans="3:3" x14ac:dyDescent="0.25">
      <c r="C4260" s="4"/>
    </row>
    <row r="4261" spans="3:3" x14ac:dyDescent="0.25">
      <c r="C4261" s="4"/>
    </row>
    <row r="4262" spans="3:3" x14ac:dyDescent="0.25">
      <c r="C4262" s="4"/>
    </row>
    <row r="4263" spans="3:3" x14ac:dyDescent="0.25">
      <c r="C4263" s="4"/>
    </row>
    <row r="4264" spans="3:3" x14ac:dyDescent="0.25">
      <c r="C4264" s="4"/>
    </row>
    <row r="4265" spans="3:3" x14ac:dyDescent="0.25">
      <c r="C4265" s="4"/>
    </row>
    <row r="4266" spans="3:3" x14ac:dyDescent="0.25">
      <c r="C4266" s="4"/>
    </row>
    <row r="4267" spans="3:3" x14ac:dyDescent="0.25">
      <c r="C4267" s="4"/>
    </row>
    <row r="4268" spans="3:3" x14ac:dyDescent="0.25">
      <c r="C4268" s="4"/>
    </row>
    <row r="4269" spans="3:3" x14ac:dyDescent="0.25">
      <c r="C4269" s="4"/>
    </row>
    <row r="4270" spans="3:3" x14ac:dyDescent="0.25">
      <c r="C4270" s="4"/>
    </row>
    <row r="4271" spans="3:3" x14ac:dyDescent="0.25">
      <c r="C4271" s="4"/>
    </row>
    <row r="4272" spans="3:3" x14ac:dyDescent="0.25">
      <c r="C4272" s="4"/>
    </row>
    <row r="4273" spans="3:3" x14ac:dyDescent="0.25">
      <c r="C4273" s="4"/>
    </row>
    <row r="4274" spans="3:3" x14ac:dyDescent="0.25">
      <c r="C4274" s="4"/>
    </row>
    <row r="4275" spans="3:3" x14ac:dyDescent="0.25">
      <c r="C4275" s="4"/>
    </row>
    <row r="4276" spans="3:3" x14ac:dyDescent="0.25">
      <c r="C4276" s="4"/>
    </row>
    <row r="4277" spans="3:3" x14ac:dyDescent="0.25">
      <c r="C4277" s="4"/>
    </row>
    <row r="4278" spans="3:3" x14ac:dyDescent="0.25">
      <c r="C4278" s="4"/>
    </row>
    <row r="4279" spans="3:3" x14ac:dyDescent="0.25">
      <c r="C4279" s="4"/>
    </row>
    <row r="4280" spans="3:3" x14ac:dyDescent="0.25">
      <c r="C4280" s="4"/>
    </row>
    <row r="4281" spans="3:3" x14ac:dyDescent="0.25">
      <c r="C4281" s="4"/>
    </row>
    <row r="4282" spans="3:3" x14ac:dyDescent="0.25">
      <c r="C4282" s="4"/>
    </row>
    <row r="4283" spans="3:3" x14ac:dyDescent="0.25">
      <c r="C4283" s="4"/>
    </row>
    <row r="4284" spans="3:3" x14ac:dyDescent="0.25">
      <c r="C4284" s="4"/>
    </row>
    <row r="4285" spans="3:3" x14ac:dyDescent="0.25">
      <c r="C4285" s="4"/>
    </row>
    <row r="4286" spans="3:3" x14ac:dyDescent="0.25">
      <c r="C4286" s="4"/>
    </row>
    <row r="4287" spans="3:3" x14ac:dyDescent="0.25">
      <c r="C4287" s="4"/>
    </row>
    <row r="4288" spans="3:3" x14ac:dyDescent="0.25">
      <c r="C4288" s="4"/>
    </row>
    <row r="4289" spans="3:3" x14ac:dyDescent="0.25">
      <c r="C4289" s="4"/>
    </row>
    <row r="4290" spans="3:3" x14ac:dyDescent="0.25">
      <c r="C4290" s="4"/>
    </row>
    <row r="4291" spans="3:3" x14ac:dyDescent="0.25">
      <c r="C4291" s="4"/>
    </row>
    <row r="4292" spans="3:3" x14ac:dyDescent="0.25">
      <c r="C4292" s="4"/>
    </row>
    <row r="4293" spans="3:3" x14ac:dyDescent="0.25">
      <c r="C4293" s="4"/>
    </row>
    <row r="4294" spans="3:3" x14ac:dyDescent="0.25">
      <c r="C4294" s="4"/>
    </row>
    <row r="4295" spans="3:3" x14ac:dyDescent="0.25">
      <c r="C4295" s="4"/>
    </row>
    <row r="4296" spans="3:3" x14ac:dyDescent="0.25">
      <c r="C4296" s="4"/>
    </row>
    <row r="4297" spans="3:3" x14ac:dyDescent="0.25">
      <c r="C4297" s="4"/>
    </row>
    <row r="4298" spans="3:3" x14ac:dyDescent="0.25">
      <c r="C4298" s="4"/>
    </row>
    <row r="4299" spans="3:3" x14ac:dyDescent="0.25">
      <c r="C4299" s="4"/>
    </row>
    <row r="4300" spans="3:3" x14ac:dyDescent="0.25">
      <c r="C4300" s="4"/>
    </row>
    <row r="4301" spans="3:3" x14ac:dyDescent="0.25">
      <c r="C4301" s="4"/>
    </row>
    <row r="4302" spans="3:3" x14ac:dyDescent="0.25">
      <c r="C4302" s="4"/>
    </row>
    <row r="4303" spans="3:3" x14ac:dyDescent="0.25">
      <c r="C4303" s="4"/>
    </row>
    <row r="4304" spans="3:3" x14ac:dyDescent="0.25">
      <c r="C4304" s="4"/>
    </row>
    <row r="4305" spans="3:3" x14ac:dyDescent="0.25">
      <c r="C4305" s="4"/>
    </row>
    <row r="4306" spans="3:3" x14ac:dyDescent="0.25">
      <c r="C4306" s="4"/>
    </row>
    <row r="4307" spans="3:3" x14ac:dyDescent="0.25">
      <c r="C4307" s="4"/>
    </row>
    <row r="4308" spans="3:3" x14ac:dyDescent="0.25">
      <c r="C4308" s="4"/>
    </row>
    <row r="4309" spans="3:3" x14ac:dyDescent="0.25">
      <c r="C4309" s="4"/>
    </row>
    <row r="4310" spans="3:3" x14ac:dyDescent="0.25">
      <c r="C4310" s="4"/>
    </row>
    <row r="4311" spans="3:3" x14ac:dyDescent="0.25">
      <c r="C4311" s="4"/>
    </row>
    <row r="4312" spans="3:3" x14ac:dyDescent="0.25">
      <c r="C4312" s="4"/>
    </row>
    <row r="4313" spans="3:3" x14ac:dyDescent="0.25">
      <c r="C4313" s="4"/>
    </row>
    <row r="4314" spans="3:3" x14ac:dyDescent="0.25">
      <c r="C4314" s="4"/>
    </row>
    <row r="4315" spans="3:3" x14ac:dyDescent="0.25">
      <c r="C4315" s="4"/>
    </row>
    <row r="4316" spans="3:3" x14ac:dyDescent="0.25">
      <c r="C4316" s="4"/>
    </row>
    <row r="4317" spans="3:3" x14ac:dyDescent="0.25">
      <c r="C4317" s="4"/>
    </row>
    <row r="4318" spans="3:3" x14ac:dyDescent="0.25">
      <c r="C4318" s="4"/>
    </row>
    <row r="4319" spans="3:3" x14ac:dyDescent="0.25">
      <c r="C4319" s="4"/>
    </row>
    <row r="4320" spans="3:3" x14ac:dyDescent="0.25">
      <c r="C4320" s="4"/>
    </row>
    <row r="4321" spans="3:3" x14ac:dyDescent="0.25">
      <c r="C4321" s="4"/>
    </row>
    <row r="4322" spans="3:3" x14ac:dyDescent="0.25">
      <c r="C4322" s="4"/>
    </row>
    <row r="4323" spans="3:3" x14ac:dyDescent="0.25">
      <c r="C4323" s="4"/>
    </row>
    <row r="4324" spans="3:3" x14ac:dyDescent="0.25">
      <c r="C4324" s="4"/>
    </row>
    <row r="4325" spans="3:3" x14ac:dyDescent="0.25">
      <c r="C4325" s="4"/>
    </row>
    <row r="4326" spans="3:3" x14ac:dyDescent="0.25">
      <c r="C4326" s="4"/>
    </row>
    <row r="4327" spans="3:3" x14ac:dyDescent="0.25">
      <c r="C4327" s="4"/>
    </row>
    <row r="4328" spans="3:3" x14ac:dyDescent="0.25">
      <c r="C4328" s="4"/>
    </row>
    <row r="4329" spans="3:3" x14ac:dyDescent="0.25">
      <c r="C4329" s="4"/>
    </row>
    <row r="4330" spans="3:3" x14ac:dyDescent="0.25">
      <c r="C4330" s="4"/>
    </row>
    <row r="4331" spans="3:3" x14ac:dyDescent="0.25">
      <c r="C4331" s="4"/>
    </row>
    <row r="4332" spans="3:3" x14ac:dyDescent="0.25">
      <c r="C4332" s="4"/>
    </row>
    <row r="4333" spans="3:3" x14ac:dyDescent="0.25">
      <c r="C4333" s="4"/>
    </row>
    <row r="4334" spans="3:3" x14ac:dyDescent="0.25">
      <c r="C4334" s="4"/>
    </row>
    <row r="4335" spans="3:3" x14ac:dyDescent="0.25">
      <c r="C4335" s="4"/>
    </row>
    <row r="4336" spans="3:3" x14ac:dyDescent="0.25">
      <c r="C4336" s="4"/>
    </row>
    <row r="4337" spans="3:3" x14ac:dyDescent="0.25">
      <c r="C4337" s="4"/>
    </row>
    <row r="4338" spans="3:3" x14ac:dyDescent="0.25">
      <c r="C4338" s="4"/>
    </row>
    <row r="4339" spans="3:3" x14ac:dyDescent="0.25">
      <c r="C4339" s="4"/>
    </row>
    <row r="4340" spans="3:3" x14ac:dyDescent="0.25">
      <c r="C4340" s="4"/>
    </row>
    <row r="4341" spans="3:3" x14ac:dyDescent="0.25">
      <c r="C4341" s="4"/>
    </row>
    <row r="4342" spans="3:3" x14ac:dyDescent="0.25">
      <c r="C4342" s="4"/>
    </row>
    <row r="4343" spans="3:3" x14ac:dyDescent="0.25">
      <c r="C4343" s="4"/>
    </row>
    <row r="4344" spans="3:3" x14ac:dyDescent="0.25">
      <c r="C4344" s="4"/>
    </row>
    <row r="4345" spans="3:3" x14ac:dyDescent="0.25">
      <c r="C4345" s="4"/>
    </row>
    <row r="4346" spans="3:3" x14ac:dyDescent="0.25">
      <c r="C4346" s="4"/>
    </row>
    <row r="4347" spans="3:3" x14ac:dyDescent="0.25">
      <c r="C4347" s="4"/>
    </row>
    <row r="4348" spans="3:3" x14ac:dyDescent="0.25">
      <c r="C4348" s="4"/>
    </row>
    <row r="4349" spans="3:3" x14ac:dyDescent="0.25">
      <c r="C4349" s="4"/>
    </row>
    <row r="4350" spans="3:3" x14ac:dyDescent="0.25">
      <c r="C4350" s="4"/>
    </row>
    <row r="4351" spans="3:3" x14ac:dyDescent="0.25">
      <c r="C4351" s="4"/>
    </row>
    <row r="4352" spans="3:3" x14ac:dyDescent="0.25">
      <c r="C4352" s="4"/>
    </row>
    <row r="4353" spans="3:3" x14ac:dyDescent="0.25">
      <c r="C4353" s="4"/>
    </row>
    <row r="4354" spans="3:3" x14ac:dyDescent="0.25">
      <c r="C4354" s="4"/>
    </row>
    <row r="4355" spans="3:3" x14ac:dyDescent="0.25">
      <c r="C4355" s="4"/>
    </row>
    <row r="4356" spans="3:3" x14ac:dyDescent="0.25">
      <c r="C4356" s="4"/>
    </row>
    <row r="4357" spans="3:3" x14ac:dyDescent="0.25">
      <c r="C4357" s="4"/>
    </row>
    <row r="4358" spans="3:3" x14ac:dyDescent="0.25">
      <c r="C4358" s="4"/>
    </row>
    <row r="4359" spans="3:3" x14ac:dyDescent="0.25">
      <c r="C4359" s="4"/>
    </row>
    <row r="4360" spans="3:3" x14ac:dyDescent="0.25">
      <c r="C4360" s="4"/>
    </row>
    <row r="4361" spans="3:3" x14ac:dyDescent="0.25">
      <c r="C4361" s="4"/>
    </row>
    <row r="4362" spans="3:3" x14ac:dyDescent="0.25">
      <c r="C4362" s="4"/>
    </row>
    <row r="4363" spans="3:3" x14ac:dyDescent="0.25">
      <c r="C4363" s="4"/>
    </row>
    <row r="4364" spans="3:3" x14ac:dyDescent="0.25">
      <c r="C4364" s="4"/>
    </row>
    <row r="4365" spans="3:3" x14ac:dyDescent="0.25">
      <c r="C4365" s="4"/>
    </row>
    <row r="4366" spans="3:3" x14ac:dyDescent="0.25">
      <c r="C4366" s="4"/>
    </row>
    <row r="4367" spans="3:3" x14ac:dyDescent="0.25">
      <c r="C4367" s="4"/>
    </row>
    <row r="4368" spans="3:3" x14ac:dyDescent="0.25">
      <c r="C4368" s="4"/>
    </row>
    <row r="4369" spans="3:3" x14ac:dyDescent="0.25">
      <c r="C4369" s="4"/>
    </row>
    <row r="4370" spans="3:3" x14ac:dyDescent="0.25">
      <c r="C4370" s="4"/>
    </row>
    <row r="4371" spans="3:3" x14ac:dyDescent="0.25">
      <c r="C4371" s="4"/>
    </row>
    <row r="4372" spans="3:3" x14ac:dyDescent="0.25">
      <c r="C4372" s="4"/>
    </row>
    <row r="4373" spans="3:3" x14ac:dyDescent="0.25">
      <c r="C4373" s="4"/>
    </row>
    <row r="4374" spans="3:3" x14ac:dyDescent="0.25">
      <c r="C4374" s="4"/>
    </row>
    <row r="4375" spans="3:3" x14ac:dyDescent="0.25">
      <c r="C4375" s="4"/>
    </row>
    <row r="4376" spans="3:3" x14ac:dyDescent="0.25">
      <c r="C4376" s="4"/>
    </row>
    <row r="4377" spans="3:3" x14ac:dyDescent="0.25">
      <c r="C4377" s="4"/>
    </row>
    <row r="4378" spans="3:3" x14ac:dyDescent="0.25">
      <c r="C4378" s="4"/>
    </row>
    <row r="4379" spans="3:3" x14ac:dyDescent="0.25">
      <c r="C4379" s="4"/>
    </row>
    <row r="4380" spans="3:3" x14ac:dyDescent="0.25">
      <c r="C4380" s="4"/>
    </row>
    <row r="4381" spans="3:3" x14ac:dyDescent="0.25">
      <c r="C4381" s="4"/>
    </row>
    <row r="4382" spans="3:3" x14ac:dyDescent="0.25">
      <c r="C4382" s="4"/>
    </row>
    <row r="4383" spans="3:3" x14ac:dyDescent="0.25">
      <c r="C4383" s="4"/>
    </row>
    <row r="4384" spans="3:3" x14ac:dyDescent="0.25">
      <c r="C4384" s="4"/>
    </row>
    <row r="4385" spans="3:3" x14ac:dyDescent="0.25">
      <c r="C4385" s="4"/>
    </row>
    <row r="4386" spans="3:3" x14ac:dyDescent="0.25">
      <c r="C4386" s="4"/>
    </row>
    <row r="4387" spans="3:3" x14ac:dyDescent="0.25">
      <c r="C4387" s="4"/>
    </row>
    <row r="4388" spans="3:3" x14ac:dyDescent="0.25">
      <c r="C4388" s="4"/>
    </row>
    <row r="4389" spans="3:3" x14ac:dyDescent="0.25">
      <c r="C4389" s="4"/>
    </row>
    <row r="4390" spans="3:3" x14ac:dyDescent="0.25">
      <c r="C4390" s="4"/>
    </row>
    <row r="4391" spans="3:3" x14ac:dyDescent="0.25">
      <c r="C4391" s="4"/>
    </row>
    <row r="4392" spans="3:3" x14ac:dyDescent="0.25">
      <c r="C4392" s="4"/>
    </row>
    <row r="4393" spans="3:3" x14ac:dyDescent="0.25">
      <c r="C4393" s="4"/>
    </row>
    <row r="4394" spans="3:3" x14ac:dyDescent="0.25">
      <c r="C4394" s="4"/>
    </row>
    <row r="4395" spans="3:3" x14ac:dyDescent="0.25">
      <c r="C4395" s="4"/>
    </row>
    <row r="4396" spans="3:3" x14ac:dyDescent="0.25">
      <c r="C4396" s="4"/>
    </row>
    <row r="4397" spans="3:3" x14ac:dyDescent="0.25">
      <c r="C4397" s="4"/>
    </row>
    <row r="4398" spans="3:3" x14ac:dyDescent="0.25">
      <c r="C4398" s="4"/>
    </row>
    <row r="4399" spans="3:3" x14ac:dyDescent="0.25">
      <c r="C4399" s="4"/>
    </row>
    <row r="4400" spans="3:3" x14ac:dyDescent="0.25">
      <c r="C4400" s="4"/>
    </row>
    <row r="4401" spans="3:3" x14ac:dyDescent="0.25">
      <c r="C4401" s="4"/>
    </row>
    <row r="4402" spans="3:3" x14ac:dyDescent="0.25">
      <c r="C4402" s="4"/>
    </row>
    <row r="4403" spans="3:3" x14ac:dyDescent="0.25">
      <c r="C4403" s="4"/>
    </row>
    <row r="4404" spans="3:3" x14ac:dyDescent="0.25">
      <c r="C4404" s="4"/>
    </row>
    <row r="4405" spans="3:3" x14ac:dyDescent="0.25">
      <c r="C4405" s="4"/>
    </row>
    <row r="4406" spans="3:3" x14ac:dyDescent="0.25">
      <c r="C4406" s="4"/>
    </row>
    <row r="4407" spans="3:3" x14ac:dyDescent="0.25">
      <c r="C4407" s="4"/>
    </row>
    <row r="4408" spans="3:3" x14ac:dyDescent="0.25">
      <c r="C4408" s="4"/>
    </row>
    <row r="4409" spans="3:3" x14ac:dyDescent="0.25">
      <c r="C4409" s="4"/>
    </row>
    <row r="4410" spans="3:3" x14ac:dyDescent="0.25">
      <c r="C4410" s="4"/>
    </row>
    <row r="4411" spans="3:3" x14ac:dyDescent="0.25">
      <c r="C4411" s="4"/>
    </row>
    <row r="4412" spans="3:3" x14ac:dyDescent="0.25">
      <c r="C4412" s="4"/>
    </row>
    <row r="4413" spans="3:3" x14ac:dyDescent="0.25">
      <c r="C4413" s="4"/>
    </row>
    <row r="4414" spans="3:3" x14ac:dyDescent="0.25">
      <c r="C4414" s="4"/>
    </row>
    <row r="4415" spans="3:3" x14ac:dyDescent="0.25">
      <c r="C4415" s="4"/>
    </row>
    <row r="4416" spans="3:3" x14ac:dyDescent="0.25">
      <c r="C4416" s="4"/>
    </row>
    <row r="4417" spans="3:3" x14ac:dyDescent="0.25">
      <c r="C4417" s="4"/>
    </row>
    <row r="4418" spans="3:3" x14ac:dyDescent="0.25">
      <c r="C4418" s="4"/>
    </row>
    <row r="4419" spans="3:3" x14ac:dyDescent="0.25">
      <c r="C4419" s="4"/>
    </row>
    <row r="4420" spans="3:3" x14ac:dyDescent="0.25">
      <c r="C4420" s="4"/>
    </row>
    <row r="4421" spans="3:3" x14ac:dyDescent="0.25">
      <c r="C4421" s="4"/>
    </row>
    <row r="4422" spans="3:3" x14ac:dyDescent="0.25">
      <c r="C4422" s="4"/>
    </row>
    <row r="4423" spans="3:3" x14ac:dyDescent="0.25">
      <c r="C4423" s="4"/>
    </row>
    <row r="4424" spans="3:3" x14ac:dyDescent="0.25">
      <c r="C4424" s="4"/>
    </row>
    <row r="4425" spans="3:3" x14ac:dyDescent="0.25">
      <c r="C4425" s="4"/>
    </row>
    <row r="4426" spans="3:3" x14ac:dyDescent="0.25">
      <c r="C4426" s="4"/>
    </row>
    <row r="4427" spans="3:3" x14ac:dyDescent="0.25">
      <c r="C4427" s="4"/>
    </row>
    <row r="4428" spans="3:3" x14ac:dyDescent="0.25">
      <c r="C4428" s="4"/>
    </row>
    <row r="4429" spans="3:3" x14ac:dyDescent="0.25">
      <c r="C4429" s="4"/>
    </row>
    <row r="4430" spans="3:3" x14ac:dyDescent="0.25">
      <c r="C4430" s="4"/>
    </row>
    <row r="4431" spans="3:3" x14ac:dyDescent="0.25">
      <c r="C4431" s="4"/>
    </row>
    <row r="4432" spans="3:3" x14ac:dyDescent="0.25">
      <c r="C4432" s="4"/>
    </row>
    <row r="4433" spans="3:3" x14ac:dyDescent="0.25">
      <c r="C4433" s="4"/>
    </row>
    <row r="4434" spans="3:3" x14ac:dyDescent="0.25">
      <c r="C4434" s="4"/>
    </row>
    <row r="4435" spans="3:3" x14ac:dyDescent="0.25">
      <c r="C4435" s="4"/>
    </row>
    <row r="4436" spans="3:3" x14ac:dyDescent="0.25">
      <c r="C4436" s="4"/>
    </row>
    <row r="4437" spans="3:3" x14ac:dyDescent="0.25">
      <c r="C4437" s="4"/>
    </row>
    <row r="4438" spans="3:3" x14ac:dyDescent="0.25">
      <c r="C4438" s="4"/>
    </row>
    <row r="4439" spans="3:3" x14ac:dyDescent="0.25">
      <c r="C4439" s="4"/>
    </row>
    <row r="4440" spans="3:3" x14ac:dyDescent="0.25">
      <c r="C4440" s="4"/>
    </row>
    <row r="4441" spans="3:3" x14ac:dyDescent="0.25">
      <c r="C4441" s="4"/>
    </row>
    <row r="4442" spans="3:3" x14ac:dyDescent="0.25">
      <c r="C4442" s="4"/>
    </row>
    <row r="4443" spans="3:3" x14ac:dyDescent="0.25">
      <c r="C4443" s="4"/>
    </row>
    <row r="4444" spans="3:3" x14ac:dyDescent="0.25">
      <c r="C4444" s="4"/>
    </row>
    <row r="4445" spans="3:3" x14ac:dyDescent="0.25">
      <c r="C4445" s="4"/>
    </row>
    <row r="4446" spans="3:3" x14ac:dyDescent="0.25">
      <c r="C4446" s="4"/>
    </row>
    <row r="4447" spans="3:3" x14ac:dyDescent="0.25">
      <c r="C4447" s="4"/>
    </row>
    <row r="4448" spans="3:3" x14ac:dyDescent="0.25">
      <c r="C4448" s="4"/>
    </row>
    <row r="4449" spans="3:3" x14ac:dyDescent="0.25">
      <c r="C4449" s="4"/>
    </row>
    <row r="4450" spans="3:3" x14ac:dyDescent="0.25">
      <c r="C4450" s="4"/>
    </row>
    <row r="4451" spans="3:3" x14ac:dyDescent="0.25">
      <c r="C4451" s="4"/>
    </row>
    <row r="4452" spans="3:3" x14ac:dyDescent="0.25">
      <c r="C4452" s="4"/>
    </row>
    <row r="4453" spans="3:3" x14ac:dyDescent="0.25">
      <c r="C4453" s="4"/>
    </row>
    <row r="4454" spans="3:3" x14ac:dyDescent="0.25">
      <c r="C4454" s="4"/>
    </row>
    <row r="4455" spans="3:3" x14ac:dyDescent="0.25">
      <c r="C4455" s="4"/>
    </row>
    <row r="4456" spans="3:3" x14ac:dyDescent="0.25">
      <c r="C4456" s="4"/>
    </row>
    <row r="4457" spans="3:3" x14ac:dyDescent="0.25">
      <c r="C4457" s="4"/>
    </row>
    <row r="4458" spans="3:3" x14ac:dyDescent="0.25">
      <c r="C4458" s="4"/>
    </row>
    <row r="4459" spans="3:3" x14ac:dyDescent="0.25">
      <c r="C4459" s="4"/>
    </row>
    <row r="4460" spans="3:3" x14ac:dyDescent="0.25">
      <c r="C4460" s="4"/>
    </row>
    <row r="4461" spans="3:3" x14ac:dyDescent="0.25">
      <c r="C4461" s="4"/>
    </row>
    <row r="4462" spans="3:3" x14ac:dyDescent="0.25">
      <c r="C4462" s="4"/>
    </row>
    <row r="4463" spans="3:3" x14ac:dyDescent="0.25">
      <c r="C4463" s="4"/>
    </row>
    <row r="4464" spans="3:3" x14ac:dyDescent="0.25">
      <c r="C4464" s="4"/>
    </row>
    <row r="4465" spans="3:3" x14ac:dyDescent="0.25">
      <c r="C4465" s="4"/>
    </row>
    <row r="4466" spans="3:3" x14ac:dyDescent="0.25">
      <c r="C4466" s="4"/>
    </row>
    <row r="4467" spans="3:3" x14ac:dyDescent="0.25">
      <c r="C4467" s="4"/>
    </row>
    <row r="4468" spans="3:3" x14ac:dyDescent="0.25">
      <c r="C4468" s="4"/>
    </row>
    <row r="4469" spans="3:3" x14ac:dyDescent="0.25">
      <c r="C4469" s="4"/>
    </row>
    <row r="4470" spans="3:3" x14ac:dyDescent="0.25">
      <c r="C4470" s="4"/>
    </row>
    <row r="4471" spans="3:3" x14ac:dyDescent="0.25">
      <c r="C4471" s="4"/>
    </row>
    <row r="4472" spans="3:3" x14ac:dyDescent="0.25">
      <c r="C4472" s="4"/>
    </row>
    <row r="4473" spans="3:3" x14ac:dyDescent="0.25">
      <c r="C4473" s="4"/>
    </row>
    <row r="4474" spans="3:3" x14ac:dyDescent="0.25">
      <c r="C4474" s="4"/>
    </row>
    <row r="4475" spans="3:3" x14ac:dyDescent="0.25">
      <c r="C4475" s="4"/>
    </row>
    <row r="4476" spans="3:3" x14ac:dyDescent="0.25">
      <c r="C4476" s="4"/>
    </row>
    <row r="4477" spans="3:3" x14ac:dyDescent="0.25">
      <c r="C4477" s="4"/>
    </row>
    <row r="4478" spans="3:3" x14ac:dyDescent="0.25">
      <c r="C4478" s="4"/>
    </row>
    <row r="4479" spans="3:3" x14ac:dyDescent="0.25">
      <c r="C4479" s="4"/>
    </row>
    <row r="4480" spans="3:3" x14ac:dyDescent="0.25">
      <c r="C4480" s="4"/>
    </row>
    <row r="4481" spans="3:3" x14ac:dyDescent="0.25">
      <c r="C4481" s="4"/>
    </row>
    <row r="4482" spans="3:3" x14ac:dyDescent="0.25">
      <c r="C4482" s="4"/>
    </row>
    <row r="4483" spans="3:3" x14ac:dyDescent="0.25">
      <c r="C4483" s="4"/>
    </row>
    <row r="4484" spans="3:3" x14ac:dyDescent="0.25">
      <c r="C4484" s="4"/>
    </row>
    <row r="4485" spans="3:3" x14ac:dyDescent="0.25">
      <c r="C4485" s="4"/>
    </row>
    <row r="4486" spans="3:3" x14ac:dyDescent="0.25">
      <c r="C4486" s="4"/>
    </row>
    <row r="4487" spans="3:3" x14ac:dyDescent="0.25">
      <c r="C4487" s="4"/>
    </row>
    <row r="4488" spans="3:3" x14ac:dyDescent="0.25">
      <c r="C4488" s="4"/>
    </row>
    <row r="4489" spans="3:3" x14ac:dyDescent="0.25">
      <c r="C4489" s="4"/>
    </row>
    <row r="4490" spans="3:3" x14ac:dyDescent="0.25">
      <c r="C4490" s="4"/>
    </row>
    <row r="4491" spans="3:3" x14ac:dyDescent="0.25">
      <c r="C4491" s="4"/>
    </row>
    <row r="4492" spans="3:3" x14ac:dyDescent="0.25">
      <c r="C4492" s="4"/>
    </row>
    <row r="4493" spans="3:3" x14ac:dyDescent="0.25">
      <c r="C4493" s="4"/>
    </row>
    <row r="4494" spans="3:3" x14ac:dyDescent="0.25">
      <c r="C4494" s="4"/>
    </row>
    <row r="4495" spans="3:3" x14ac:dyDescent="0.25">
      <c r="C4495" s="4"/>
    </row>
    <row r="4496" spans="3:3" x14ac:dyDescent="0.25">
      <c r="C4496" s="4"/>
    </row>
    <row r="4497" spans="3:3" x14ac:dyDescent="0.25">
      <c r="C4497" s="4"/>
    </row>
    <row r="4498" spans="3:3" x14ac:dyDescent="0.25">
      <c r="C4498" s="4"/>
    </row>
    <row r="4499" spans="3:3" x14ac:dyDescent="0.25">
      <c r="C4499" s="4"/>
    </row>
    <row r="4500" spans="3:3" x14ac:dyDescent="0.25">
      <c r="C4500" s="4"/>
    </row>
    <row r="4501" spans="3:3" x14ac:dyDescent="0.25">
      <c r="C4501" s="4"/>
    </row>
    <row r="4502" spans="3:3" x14ac:dyDescent="0.25">
      <c r="C4502" s="4"/>
    </row>
    <row r="4503" spans="3:3" x14ac:dyDescent="0.25">
      <c r="C4503" s="4"/>
    </row>
    <row r="4504" spans="3:3" x14ac:dyDescent="0.25">
      <c r="C4504" s="4"/>
    </row>
    <row r="4505" spans="3:3" x14ac:dyDescent="0.25">
      <c r="C4505" s="4"/>
    </row>
    <row r="4506" spans="3:3" x14ac:dyDescent="0.25">
      <c r="C4506" s="4"/>
    </row>
    <row r="4507" spans="3:3" x14ac:dyDescent="0.25">
      <c r="C4507" s="4"/>
    </row>
    <row r="4508" spans="3:3" x14ac:dyDescent="0.25">
      <c r="C4508" s="4"/>
    </row>
    <row r="4509" spans="3:3" x14ac:dyDescent="0.25">
      <c r="C4509" s="4"/>
    </row>
    <row r="4510" spans="3:3" x14ac:dyDescent="0.25">
      <c r="C4510" s="4"/>
    </row>
    <row r="4511" spans="3:3" x14ac:dyDescent="0.25">
      <c r="C4511" s="4"/>
    </row>
    <row r="4512" spans="3:3" x14ac:dyDescent="0.25">
      <c r="C4512" s="4"/>
    </row>
    <row r="4513" spans="3:3" x14ac:dyDescent="0.25">
      <c r="C4513" s="4"/>
    </row>
    <row r="4514" spans="3:3" x14ac:dyDescent="0.25">
      <c r="C4514" s="4"/>
    </row>
    <row r="4515" spans="3:3" x14ac:dyDescent="0.25">
      <c r="C4515" s="4"/>
    </row>
    <row r="4516" spans="3:3" x14ac:dyDescent="0.25">
      <c r="C4516" s="4"/>
    </row>
    <row r="4517" spans="3:3" x14ac:dyDescent="0.25">
      <c r="C4517" s="4"/>
    </row>
    <row r="4518" spans="3:3" x14ac:dyDescent="0.25">
      <c r="C4518" s="4"/>
    </row>
    <row r="4519" spans="3:3" x14ac:dyDescent="0.25">
      <c r="C4519" s="4"/>
    </row>
    <row r="4520" spans="3:3" x14ac:dyDescent="0.25">
      <c r="C4520" s="4"/>
    </row>
    <row r="4521" spans="3:3" x14ac:dyDescent="0.25">
      <c r="C4521" s="4"/>
    </row>
    <row r="4522" spans="3:3" x14ac:dyDescent="0.25">
      <c r="C4522" s="4"/>
    </row>
    <row r="4523" spans="3:3" x14ac:dyDescent="0.25">
      <c r="C4523" s="4"/>
    </row>
    <row r="4524" spans="3:3" x14ac:dyDescent="0.25">
      <c r="C4524" s="4"/>
    </row>
    <row r="4525" spans="3:3" x14ac:dyDescent="0.25">
      <c r="C4525" s="4"/>
    </row>
    <row r="4526" spans="3:3" x14ac:dyDescent="0.25">
      <c r="C4526" s="4"/>
    </row>
    <row r="4527" spans="3:3" x14ac:dyDescent="0.25">
      <c r="C4527" s="4"/>
    </row>
    <row r="4528" spans="3:3" x14ac:dyDescent="0.25">
      <c r="C4528" s="4"/>
    </row>
    <row r="4529" spans="3:3" x14ac:dyDescent="0.25">
      <c r="C4529" s="4"/>
    </row>
    <row r="4530" spans="3:3" x14ac:dyDescent="0.25">
      <c r="C4530" s="4"/>
    </row>
    <row r="4531" spans="3:3" x14ac:dyDescent="0.25">
      <c r="C4531" s="4"/>
    </row>
    <row r="4532" spans="3:3" x14ac:dyDescent="0.25">
      <c r="C4532" s="4"/>
    </row>
    <row r="4533" spans="3:3" x14ac:dyDescent="0.25">
      <c r="C4533" s="4"/>
    </row>
    <row r="4534" spans="3:3" x14ac:dyDescent="0.25">
      <c r="C4534" s="4"/>
    </row>
    <row r="4535" spans="3:3" x14ac:dyDescent="0.25">
      <c r="C4535" s="4"/>
    </row>
    <row r="4536" spans="3:3" x14ac:dyDescent="0.25">
      <c r="C4536" s="4"/>
    </row>
    <row r="4537" spans="3:3" x14ac:dyDescent="0.25">
      <c r="C4537" s="4"/>
    </row>
    <row r="4538" spans="3:3" x14ac:dyDescent="0.25">
      <c r="C4538" s="4"/>
    </row>
    <row r="4539" spans="3:3" x14ac:dyDescent="0.25">
      <c r="C4539" s="4"/>
    </row>
    <row r="4540" spans="3:3" x14ac:dyDescent="0.25">
      <c r="C4540" s="4"/>
    </row>
    <row r="4541" spans="3:3" x14ac:dyDescent="0.25">
      <c r="C4541" s="4"/>
    </row>
    <row r="4542" spans="3:3" x14ac:dyDescent="0.25">
      <c r="C4542" s="4"/>
    </row>
    <row r="4543" spans="3:3" x14ac:dyDescent="0.25">
      <c r="C4543" s="4"/>
    </row>
    <row r="4544" spans="3:3" x14ac:dyDescent="0.25">
      <c r="C4544" s="4"/>
    </row>
    <row r="4545" spans="3:3" x14ac:dyDescent="0.25">
      <c r="C4545" s="4"/>
    </row>
    <row r="4546" spans="3:3" x14ac:dyDescent="0.25">
      <c r="C4546" s="4"/>
    </row>
    <row r="4547" spans="3:3" x14ac:dyDescent="0.25">
      <c r="C4547" s="4"/>
    </row>
    <row r="4548" spans="3:3" x14ac:dyDescent="0.25">
      <c r="C4548" s="4"/>
    </row>
    <row r="4549" spans="3:3" x14ac:dyDescent="0.25">
      <c r="C4549" s="4"/>
    </row>
    <row r="4550" spans="3:3" x14ac:dyDescent="0.25">
      <c r="C4550" s="4"/>
    </row>
    <row r="4551" spans="3:3" x14ac:dyDescent="0.25">
      <c r="C4551" s="4"/>
    </row>
    <row r="4552" spans="3:3" x14ac:dyDescent="0.25">
      <c r="C4552" s="4"/>
    </row>
    <row r="4553" spans="3:3" x14ac:dyDescent="0.25">
      <c r="C4553" s="4"/>
    </row>
    <row r="4554" spans="3:3" x14ac:dyDescent="0.25">
      <c r="C4554" s="4"/>
    </row>
    <row r="4555" spans="3:3" x14ac:dyDescent="0.25">
      <c r="C4555" s="4"/>
    </row>
    <row r="4556" spans="3:3" x14ac:dyDescent="0.25">
      <c r="C4556" s="4"/>
    </row>
    <row r="4557" spans="3:3" x14ac:dyDescent="0.25">
      <c r="C4557" s="4"/>
    </row>
    <row r="4558" spans="3:3" x14ac:dyDescent="0.25">
      <c r="C4558" s="4"/>
    </row>
    <row r="4559" spans="3:3" x14ac:dyDescent="0.25">
      <c r="C4559" s="4"/>
    </row>
    <row r="4560" spans="3:3" x14ac:dyDescent="0.25">
      <c r="C4560" s="4"/>
    </row>
    <row r="4561" spans="3:3" x14ac:dyDescent="0.25">
      <c r="C4561" s="4"/>
    </row>
    <row r="4562" spans="3:3" x14ac:dyDescent="0.25">
      <c r="C4562" s="4"/>
    </row>
    <row r="4563" spans="3:3" x14ac:dyDescent="0.25">
      <c r="C4563" s="4"/>
    </row>
    <row r="4564" spans="3:3" x14ac:dyDescent="0.25">
      <c r="C4564" s="4"/>
    </row>
    <row r="4565" spans="3:3" x14ac:dyDescent="0.25">
      <c r="C4565" s="4"/>
    </row>
    <row r="4566" spans="3:3" x14ac:dyDescent="0.25">
      <c r="C4566" s="4"/>
    </row>
    <row r="4567" spans="3:3" x14ac:dyDescent="0.25">
      <c r="C4567" s="4"/>
    </row>
    <row r="4568" spans="3:3" x14ac:dyDescent="0.25">
      <c r="C4568" s="4"/>
    </row>
    <row r="4569" spans="3:3" x14ac:dyDescent="0.25">
      <c r="C4569" s="4"/>
    </row>
    <row r="4570" spans="3:3" x14ac:dyDescent="0.25">
      <c r="C4570" s="4"/>
    </row>
    <row r="4571" spans="3:3" x14ac:dyDescent="0.25">
      <c r="C4571" s="4"/>
    </row>
    <row r="4572" spans="3:3" x14ac:dyDescent="0.25">
      <c r="C4572" s="4"/>
    </row>
    <row r="4573" spans="3:3" x14ac:dyDescent="0.25">
      <c r="C4573" s="4"/>
    </row>
    <row r="4574" spans="3:3" x14ac:dyDescent="0.25">
      <c r="C4574" s="4"/>
    </row>
    <row r="4575" spans="3:3" x14ac:dyDescent="0.25">
      <c r="C4575" s="4"/>
    </row>
    <row r="4576" spans="3:3" x14ac:dyDescent="0.25">
      <c r="C4576" s="4"/>
    </row>
    <row r="4577" spans="3:3" x14ac:dyDescent="0.25">
      <c r="C4577" s="4"/>
    </row>
    <row r="4578" spans="3:3" x14ac:dyDescent="0.25">
      <c r="C4578" s="4"/>
    </row>
    <row r="4579" spans="3:3" x14ac:dyDescent="0.25">
      <c r="C4579" s="4"/>
    </row>
    <row r="4580" spans="3:3" x14ac:dyDescent="0.25">
      <c r="C4580" s="4"/>
    </row>
    <row r="4581" spans="3:3" x14ac:dyDescent="0.25">
      <c r="C4581" s="4"/>
    </row>
    <row r="4582" spans="3:3" x14ac:dyDescent="0.25">
      <c r="C4582" s="4"/>
    </row>
    <row r="4583" spans="3:3" x14ac:dyDescent="0.25">
      <c r="C4583" s="4"/>
    </row>
    <row r="4584" spans="3:3" x14ac:dyDescent="0.25">
      <c r="C4584" s="4"/>
    </row>
    <row r="4585" spans="3:3" x14ac:dyDescent="0.25">
      <c r="C4585" s="4"/>
    </row>
    <row r="4586" spans="3:3" x14ac:dyDescent="0.25">
      <c r="C4586" s="4"/>
    </row>
    <row r="4587" spans="3:3" x14ac:dyDescent="0.25">
      <c r="C4587" s="4"/>
    </row>
    <row r="4588" spans="3:3" x14ac:dyDescent="0.25">
      <c r="C4588" s="4"/>
    </row>
    <row r="4589" spans="3:3" x14ac:dyDescent="0.25">
      <c r="C4589" s="4"/>
    </row>
    <row r="4590" spans="3:3" x14ac:dyDescent="0.25">
      <c r="C4590" s="4"/>
    </row>
    <row r="4591" spans="3:3" x14ac:dyDescent="0.25">
      <c r="C4591" s="4"/>
    </row>
    <row r="4592" spans="3:3" x14ac:dyDescent="0.25">
      <c r="C4592" s="4"/>
    </row>
    <row r="4593" spans="3:3" x14ac:dyDescent="0.25">
      <c r="C4593" s="4"/>
    </row>
    <row r="4594" spans="3:3" x14ac:dyDescent="0.25">
      <c r="C4594" s="4"/>
    </row>
    <row r="4595" spans="3:3" x14ac:dyDescent="0.25">
      <c r="C4595" s="4"/>
    </row>
    <row r="4596" spans="3:3" x14ac:dyDescent="0.25">
      <c r="C4596" s="4"/>
    </row>
    <row r="4597" spans="3:3" x14ac:dyDescent="0.25">
      <c r="C4597" s="4"/>
    </row>
    <row r="4598" spans="3:3" x14ac:dyDescent="0.25">
      <c r="C4598" s="4"/>
    </row>
    <row r="4599" spans="3:3" x14ac:dyDescent="0.25">
      <c r="C4599" s="4"/>
    </row>
    <row r="4600" spans="3:3" x14ac:dyDescent="0.25">
      <c r="C4600" s="4"/>
    </row>
    <row r="4601" spans="3:3" x14ac:dyDescent="0.25">
      <c r="C4601" s="4"/>
    </row>
    <row r="4602" spans="3:3" x14ac:dyDescent="0.25">
      <c r="C4602" s="4"/>
    </row>
    <row r="4603" spans="3:3" x14ac:dyDescent="0.25">
      <c r="C4603" s="4"/>
    </row>
    <row r="4604" spans="3:3" x14ac:dyDescent="0.25">
      <c r="C4604" s="4"/>
    </row>
    <row r="4605" spans="3:3" x14ac:dyDescent="0.25">
      <c r="C4605" s="4"/>
    </row>
    <row r="4606" spans="3:3" x14ac:dyDescent="0.25">
      <c r="C4606" s="4"/>
    </row>
    <row r="4607" spans="3:3" x14ac:dyDescent="0.25">
      <c r="C4607" s="4"/>
    </row>
    <row r="4608" spans="3:3" x14ac:dyDescent="0.25">
      <c r="C4608" s="4"/>
    </row>
    <row r="4609" spans="3:3" x14ac:dyDescent="0.25">
      <c r="C4609" s="4"/>
    </row>
    <row r="4610" spans="3:3" x14ac:dyDescent="0.25">
      <c r="C4610" s="4"/>
    </row>
    <row r="4611" spans="3:3" x14ac:dyDescent="0.25">
      <c r="C4611" s="4"/>
    </row>
    <row r="4612" spans="3:3" x14ac:dyDescent="0.25">
      <c r="C4612" s="4"/>
    </row>
    <row r="4613" spans="3:3" x14ac:dyDescent="0.25">
      <c r="C4613" s="4"/>
    </row>
    <row r="4614" spans="3:3" x14ac:dyDescent="0.25">
      <c r="C4614" s="4"/>
    </row>
    <row r="4615" spans="3:3" x14ac:dyDescent="0.25">
      <c r="C4615" s="4"/>
    </row>
    <row r="4616" spans="3:3" x14ac:dyDescent="0.25">
      <c r="C4616" s="4"/>
    </row>
    <row r="4617" spans="3:3" x14ac:dyDescent="0.25">
      <c r="C4617" s="4"/>
    </row>
    <row r="4618" spans="3:3" x14ac:dyDescent="0.25">
      <c r="C4618" s="4"/>
    </row>
    <row r="4619" spans="3:3" x14ac:dyDescent="0.25">
      <c r="C4619" s="4"/>
    </row>
    <row r="4620" spans="3:3" x14ac:dyDescent="0.25">
      <c r="C4620" s="4"/>
    </row>
    <row r="4621" spans="3:3" x14ac:dyDescent="0.25">
      <c r="C4621" s="4"/>
    </row>
    <row r="4622" spans="3:3" x14ac:dyDescent="0.25">
      <c r="C4622" s="4"/>
    </row>
    <row r="4623" spans="3:3" x14ac:dyDescent="0.25">
      <c r="C4623" s="4"/>
    </row>
    <row r="4624" spans="3:3" x14ac:dyDescent="0.25">
      <c r="C4624" s="4"/>
    </row>
    <row r="4625" spans="3:3" x14ac:dyDescent="0.25">
      <c r="C4625" s="4"/>
    </row>
    <row r="4626" spans="3:3" x14ac:dyDescent="0.25">
      <c r="C4626" s="4"/>
    </row>
    <row r="4627" spans="3:3" x14ac:dyDescent="0.25">
      <c r="C4627" s="4"/>
    </row>
    <row r="4628" spans="3:3" x14ac:dyDescent="0.25">
      <c r="C4628" s="4"/>
    </row>
    <row r="4629" spans="3:3" x14ac:dyDescent="0.25">
      <c r="C4629" s="4"/>
    </row>
    <row r="4630" spans="3:3" x14ac:dyDescent="0.25">
      <c r="C4630" s="4"/>
    </row>
    <row r="4631" spans="3:3" x14ac:dyDescent="0.25">
      <c r="C4631" s="4"/>
    </row>
    <row r="4632" spans="3:3" x14ac:dyDescent="0.25">
      <c r="C4632" s="4"/>
    </row>
    <row r="4633" spans="3:3" x14ac:dyDescent="0.25">
      <c r="C4633" s="4"/>
    </row>
    <row r="4634" spans="3:3" x14ac:dyDescent="0.25">
      <c r="C4634" s="4"/>
    </row>
    <row r="4635" spans="3:3" x14ac:dyDescent="0.25">
      <c r="C4635" s="4"/>
    </row>
    <row r="4636" spans="3:3" x14ac:dyDescent="0.25">
      <c r="C4636" s="4"/>
    </row>
    <row r="4637" spans="3:3" x14ac:dyDescent="0.25">
      <c r="C4637" s="4"/>
    </row>
    <row r="4638" spans="3:3" x14ac:dyDescent="0.25">
      <c r="C4638" s="4"/>
    </row>
    <row r="4639" spans="3:3" x14ac:dyDescent="0.25">
      <c r="C4639" s="4"/>
    </row>
    <row r="4640" spans="3:3" x14ac:dyDescent="0.25">
      <c r="C4640" s="4"/>
    </row>
    <row r="4641" spans="3:3" x14ac:dyDescent="0.25">
      <c r="C4641" s="4"/>
    </row>
    <row r="4642" spans="3:3" x14ac:dyDescent="0.25">
      <c r="C4642" s="4"/>
    </row>
    <row r="4643" spans="3:3" x14ac:dyDescent="0.25">
      <c r="C4643" s="4"/>
    </row>
    <row r="4644" spans="3:3" x14ac:dyDescent="0.25">
      <c r="C4644" s="4"/>
    </row>
    <row r="4645" spans="3:3" x14ac:dyDescent="0.25">
      <c r="C4645" s="4"/>
    </row>
    <row r="4646" spans="3:3" x14ac:dyDescent="0.25">
      <c r="C4646" s="4"/>
    </row>
    <row r="4647" spans="3:3" x14ac:dyDescent="0.25">
      <c r="C4647" s="4"/>
    </row>
    <row r="4648" spans="3:3" x14ac:dyDescent="0.25">
      <c r="C4648" s="4"/>
    </row>
    <row r="4649" spans="3:3" x14ac:dyDescent="0.25">
      <c r="C4649" s="4"/>
    </row>
    <row r="4650" spans="3:3" x14ac:dyDescent="0.25">
      <c r="C4650" s="4"/>
    </row>
    <row r="4651" spans="3:3" x14ac:dyDescent="0.25">
      <c r="C4651" s="4"/>
    </row>
    <row r="4652" spans="3:3" x14ac:dyDescent="0.25">
      <c r="C4652" s="4"/>
    </row>
    <row r="4653" spans="3:3" x14ac:dyDescent="0.25">
      <c r="C4653" s="4"/>
    </row>
    <row r="4654" spans="3:3" x14ac:dyDescent="0.25">
      <c r="C4654" s="4"/>
    </row>
    <row r="4655" spans="3:3" x14ac:dyDescent="0.25">
      <c r="C4655" s="4"/>
    </row>
    <row r="4656" spans="3:3" x14ac:dyDescent="0.25">
      <c r="C4656" s="4"/>
    </row>
    <row r="4657" spans="3:3" x14ac:dyDescent="0.25">
      <c r="C4657" s="4"/>
    </row>
    <row r="4658" spans="3:3" x14ac:dyDescent="0.25">
      <c r="C4658" s="4"/>
    </row>
    <row r="4659" spans="3:3" x14ac:dyDescent="0.25">
      <c r="C4659" s="4"/>
    </row>
    <row r="4660" spans="3:3" x14ac:dyDescent="0.25">
      <c r="C4660" s="4"/>
    </row>
    <row r="4661" spans="3:3" x14ac:dyDescent="0.25">
      <c r="C4661" s="4"/>
    </row>
    <row r="4662" spans="3:3" x14ac:dyDescent="0.25">
      <c r="C4662" s="4"/>
    </row>
    <row r="4663" spans="3:3" x14ac:dyDescent="0.25">
      <c r="C4663" s="4"/>
    </row>
    <row r="4664" spans="3:3" x14ac:dyDescent="0.25">
      <c r="C4664" s="4"/>
    </row>
    <row r="4665" spans="3:3" x14ac:dyDescent="0.25">
      <c r="C4665" s="4"/>
    </row>
    <row r="4666" spans="3:3" x14ac:dyDescent="0.25">
      <c r="C4666" s="4"/>
    </row>
    <row r="4667" spans="3:3" x14ac:dyDescent="0.25">
      <c r="C4667" s="4"/>
    </row>
    <row r="4668" spans="3:3" x14ac:dyDescent="0.25">
      <c r="C4668" s="4"/>
    </row>
    <row r="4669" spans="3:3" x14ac:dyDescent="0.25">
      <c r="C4669" s="4"/>
    </row>
    <row r="4670" spans="3:3" x14ac:dyDescent="0.25">
      <c r="C4670" s="4"/>
    </row>
    <row r="4671" spans="3:3" x14ac:dyDescent="0.25">
      <c r="C4671" s="4"/>
    </row>
    <row r="4672" spans="3:3" x14ac:dyDescent="0.25">
      <c r="C4672" s="4"/>
    </row>
    <row r="4673" spans="3:3" x14ac:dyDescent="0.25">
      <c r="C4673" s="4"/>
    </row>
    <row r="4674" spans="3:3" x14ac:dyDescent="0.25">
      <c r="C4674" s="4"/>
    </row>
    <row r="4675" spans="3:3" x14ac:dyDescent="0.25">
      <c r="C4675" s="4"/>
    </row>
    <row r="4676" spans="3:3" x14ac:dyDescent="0.25">
      <c r="C4676" s="4"/>
    </row>
    <row r="4677" spans="3:3" x14ac:dyDescent="0.25">
      <c r="C4677" s="4"/>
    </row>
    <row r="4678" spans="3:3" x14ac:dyDescent="0.25">
      <c r="C4678" s="4"/>
    </row>
    <row r="4679" spans="3:3" x14ac:dyDescent="0.25">
      <c r="C4679" s="4"/>
    </row>
    <row r="4680" spans="3:3" x14ac:dyDescent="0.25">
      <c r="C4680" s="4"/>
    </row>
    <row r="4681" spans="3:3" x14ac:dyDescent="0.25">
      <c r="C4681" s="4"/>
    </row>
    <row r="4682" spans="3:3" x14ac:dyDescent="0.25">
      <c r="C4682" s="4"/>
    </row>
    <row r="4683" spans="3:3" x14ac:dyDescent="0.25">
      <c r="C4683" s="4"/>
    </row>
    <row r="4684" spans="3:3" x14ac:dyDescent="0.25">
      <c r="C4684" s="4"/>
    </row>
    <row r="4685" spans="3:3" x14ac:dyDescent="0.25">
      <c r="C4685" s="4"/>
    </row>
    <row r="4686" spans="3:3" x14ac:dyDescent="0.25">
      <c r="C4686" s="4"/>
    </row>
    <row r="4687" spans="3:3" x14ac:dyDescent="0.25">
      <c r="C4687" s="4"/>
    </row>
    <row r="4688" spans="3:3" x14ac:dyDescent="0.25">
      <c r="C4688" s="4"/>
    </row>
    <row r="4689" spans="3:3" x14ac:dyDescent="0.25">
      <c r="C4689" s="4"/>
    </row>
    <row r="4690" spans="3:3" x14ac:dyDescent="0.25">
      <c r="C4690" s="4"/>
    </row>
    <row r="4691" spans="3:3" x14ac:dyDescent="0.25">
      <c r="C4691" s="4"/>
    </row>
    <row r="4692" spans="3:3" x14ac:dyDescent="0.25">
      <c r="C4692" s="4"/>
    </row>
    <row r="4693" spans="3:3" x14ac:dyDescent="0.25">
      <c r="C4693" s="4"/>
    </row>
    <row r="4694" spans="3:3" x14ac:dyDescent="0.25">
      <c r="C4694" s="4"/>
    </row>
    <row r="4695" spans="3:3" x14ac:dyDescent="0.25">
      <c r="C4695" s="4"/>
    </row>
    <row r="4696" spans="3:3" x14ac:dyDescent="0.25">
      <c r="C4696" s="4"/>
    </row>
    <row r="4697" spans="3:3" x14ac:dyDescent="0.25">
      <c r="C4697" s="4"/>
    </row>
    <row r="4698" spans="3:3" x14ac:dyDescent="0.25">
      <c r="C4698" s="4"/>
    </row>
    <row r="4699" spans="3:3" x14ac:dyDescent="0.25">
      <c r="C4699" s="4"/>
    </row>
    <row r="4700" spans="3:3" x14ac:dyDescent="0.25">
      <c r="C4700" s="4"/>
    </row>
    <row r="4701" spans="3:3" x14ac:dyDescent="0.25">
      <c r="C4701" s="4"/>
    </row>
    <row r="4702" spans="3:3" x14ac:dyDescent="0.25">
      <c r="C4702" s="4"/>
    </row>
    <row r="4703" spans="3:3" x14ac:dyDescent="0.25">
      <c r="C4703" s="4"/>
    </row>
    <row r="4704" spans="3:3" x14ac:dyDescent="0.25">
      <c r="C4704" s="4"/>
    </row>
    <row r="4705" spans="3:3" x14ac:dyDescent="0.25">
      <c r="C4705" s="4"/>
    </row>
    <row r="4706" spans="3:3" x14ac:dyDescent="0.25">
      <c r="C4706" s="4"/>
    </row>
    <row r="4707" spans="3:3" x14ac:dyDescent="0.25">
      <c r="C4707" s="4"/>
    </row>
    <row r="4708" spans="3:3" x14ac:dyDescent="0.25">
      <c r="C4708" s="4"/>
    </row>
    <row r="4709" spans="3:3" x14ac:dyDescent="0.25">
      <c r="C4709" s="4"/>
    </row>
    <row r="4710" spans="3:3" x14ac:dyDescent="0.25">
      <c r="C4710" s="4"/>
    </row>
    <row r="4711" spans="3:3" x14ac:dyDescent="0.25">
      <c r="C4711" s="4"/>
    </row>
    <row r="4712" spans="3:3" x14ac:dyDescent="0.25">
      <c r="C4712" s="4"/>
    </row>
    <row r="4713" spans="3:3" x14ac:dyDescent="0.25">
      <c r="C4713" s="4"/>
    </row>
    <row r="4714" spans="3:3" x14ac:dyDescent="0.25">
      <c r="C4714" s="4"/>
    </row>
    <row r="4715" spans="3:3" x14ac:dyDescent="0.25">
      <c r="C4715" s="4"/>
    </row>
    <row r="4716" spans="3:3" x14ac:dyDescent="0.25">
      <c r="C4716" s="4"/>
    </row>
    <row r="4717" spans="3:3" x14ac:dyDescent="0.25">
      <c r="C4717" s="4"/>
    </row>
    <row r="4718" spans="3:3" x14ac:dyDescent="0.25">
      <c r="C4718" s="4"/>
    </row>
    <row r="4719" spans="3:3" x14ac:dyDescent="0.25">
      <c r="C4719" s="4"/>
    </row>
    <row r="4720" spans="3:3" x14ac:dyDescent="0.25">
      <c r="C4720" s="4"/>
    </row>
    <row r="4721" spans="3:3" x14ac:dyDescent="0.25">
      <c r="C4721" s="4"/>
    </row>
    <row r="4722" spans="3:3" x14ac:dyDescent="0.25">
      <c r="C4722" s="4"/>
    </row>
    <row r="4723" spans="3:3" x14ac:dyDescent="0.25">
      <c r="C4723" s="4"/>
    </row>
    <row r="4724" spans="3:3" x14ac:dyDescent="0.25">
      <c r="C4724" s="4"/>
    </row>
    <row r="4725" spans="3:3" x14ac:dyDescent="0.25">
      <c r="C4725" s="4"/>
    </row>
    <row r="4726" spans="3:3" x14ac:dyDescent="0.25">
      <c r="C4726" s="4"/>
    </row>
    <row r="4727" spans="3:3" x14ac:dyDescent="0.25">
      <c r="C4727" s="4"/>
    </row>
    <row r="4728" spans="3:3" x14ac:dyDescent="0.25">
      <c r="C4728" s="4"/>
    </row>
    <row r="4729" spans="3:3" x14ac:dyDescent="0.25">
      <c r="C4729" s="4"/>
    </row>
    <row r="4730" spans="3:3" x14ac:dyDescent="0.25">
      <c r="C4730" s="4"/>
    </row>
    <row r="4731" spans="3:3" x14ac:dyDescent="0.25">
      <c r="C4731" s="4"/>
    </row>
    <row r="4732" spans="3:3" x14ac:dyDescent="0.25">
      <c r="C4732" s="4"/>
    </row>
    <row r="4733" spans="3:3" x14ac:dyDescent="0.25">
      <c r="C4733" s="4"/>
    </row>
    <row r="4734" spans="3:3" x14ac:dyDescent="0.25">
      <c r="C4734" s="4"/>
    </row>
    <row r="4735" spans="3:3" x14ac:dyDescent="0.25">
      <c r="C4735" s="4"/>
    </row>
    <row r="4736" spans="3:3" x14ac:dyDescent="0.25">
      <c r="C4736" s="4"/>
    </row>
    <row r="4737" spans="3:3" x14ac:dyDescent="0.25">
      <c r="C4737" s="4"/>
    </row>
    <row r="4738" spans="3:3" x14ac:dyDescent="0.25">
      <c r="C4738" s="4"/>
    </row>
    <row r="4739" spans="3:3" x14ac:dyDescent="0.25">
      <c r="C4739" s="4"/>
    </row>
    <row r="4740" spans="3:3" x14ac:dyDescent="0.25">
      <c r="C4740" s="4"/>
    </row>
    <row r="4741" spans="3:3" x14ac:dyDescent="0.25">
      <c r="C4741" s="4"/>
    </row>
    <row r="4742" spans="3:3" x14ac:dyDescent="0.25">
      <c r="C4742" s="4"/>
    </row>
    <row r="4743" spans="3:3" x14ac:dyDescent="0.25">
      <c r="C4743" s="4"/>
    </row>
    <row r="4744" spans="3:3" x14ac:dyDescent="0.25">
      <c r="C4744" s="4"/>
    </row>
    <row r="4745" spans="3:3" x14ac:dyDescent="0.25">
      <c r="C4745" s="4"/>
    </row>
    <row r="4746" spans="3:3" x14ac:dyDescent="0.25">
      <c r="C4746" s="4"/>
    </row>
    <row r="4747" spans="3:3" x14ac:dyDescent="0.25">
      <c r="C4747" s="4"/>
    </row>
    <row r="4748" spans="3:3" x14ac:dyDescent="0.25">
      <c r="C4748" s="4"/>
    </row>
    <row r="4749" spans="3:3" x14ac:dyDescent="0.25">
      <c r="C4749" s="4"/>
    </row>
    <row r="4750" spans="3:3" x14ac:dyDescent="0.25">
      <c r="C4750" s="4"/>
    </row>
    <row r="4751" spans="3:3" x14ac:dyDescent="0.25">
      <c r="C4751" s="4"/>
    </row>
    <row r="4752" spans="3:3" x14ac:dyDescent="0.25">
      <c r="C4752" s="4"/>
    </row>
    <row r="4753" spans="3:3" x14ac:dyDescent="0.25">
      <c r="C4753" s="4"/>
    </row>
    <row r="4754" spans="3:3" x14ac:dyDescent="0.25">
      <c r="C4754" s="4"/>
    </row>
    <row r="4755" spans="3:3" x14ac:dyDescent="0.25">
      <c r="C4755" s="4"/>
    </row>
    <row r="4756" spans="3:3" x14ac:dyDescent="0.25">
      <c r="C4756" s="4"/>
    </row>
    <row r="4757" spans="3:3" x14ac:dyDescent="0.25">
      <c r="C4757" s="4"/>
    </row>
    <row r="4758" spans="3:3" x14ac:dyDescent="0.25">
      <c r="C4758" s="4"/>
    </row>
    <row r="4759" spans="3:3" x14ac:dyDescent="0.25">
      <c r="C4759" s="4"/>
    </row>
    <row r="4760" spans="3:3" x14ac:dyDescent="0.25">
      <c r="C4760" s="4"/>
    </row>
    <row r="4761" spans="3:3" x14ac:dyDescent="0.25">
      <c r="C4761" s="4"/>
    </row>
    <row r="4762" spans="3:3" x14ac:dyDescent="0.25">
      <c r="C4762" s="4"/>
    </row>
    <row r="4763" spans="3:3" x14ac:dyDescent="0.25">
      <c r="C4763" s="4"/>
    </row>
    <row r="4764" spans="3:3" x14ac:dyDescent="0.25">
      <c r="C4764" s="4"/>
    </row>
    <row r="4765" spans="3:3" x14ac:dyDescent="0.25">
      <c r="C4765" s="4"/>
    </row>
    <row r="4766" spans="3:3" x14ac:dyDescent="0.25">
      <c r="C4766" s="4"/>
    </row>
    <row r="4767" spans="3:3" x14ac:dyDescent="0.25">
      <c r="C4767" s="4"/>
    </row>
    <row r="4768" spans="3:3" x14ac:dyDescent="0.25">
      <c r="C4768" s="4"/>
    </row>
    <row r="4769" spans="3:3" x14ac:dyDescent="0.25">
      <c r="C4769" s="4"/>
    </row>
    <row r="4770" spans="3:3" x14ac:dyDescent="0.25">
      <c r="C4770" s="4"/>
    </row>
    <row r="4771" spans="3:3" x14ac:dyDescent="0.25">
      <c r="C4771" s="4"/>
    </row>
    <row r="4772" spans="3:3" x14ac:dyDescent="0.25">
      <c r="C4772" s="4"/>
    </row>
    <row r="4773" spans="3:3" x14ac:dyDescent="0.25">
      <c r="C4773" s="4"/>
    </row>
    <row r="4774" spans="3:3" x14ac:dyDescent="0.25">
      <c r="C4774" s="4"/>
    </row>
    <row r="4775" spans="3:3" x14ac:dyDescent="0.25">
      <c r="C4775" s="4"/>
    </row>
    <row r="4776" spans="3:3" x14ac:dyDescent="0.25">
      <c r="C4776" s="4"/>
    </row>
    <row r="4777" spans="3:3" x14ac:dyDescent="0.25">
      <c r="C4777" s="4"/>
    </row>
    <row r="4778" spans="3:3" x14ac:dyDescent="0.25">
      <c r="C4778" s="4"/>
    </row>
    <row r="4779" spans="3:3" x14ac:dyDescent="0.25">
      <c r="C4779" s="4"/>
    </row>
    <row r="4780" spans="3:3" x14ac:dyDescent="0.25">
      <c r="C4780" s="4"/>
    </row>
    <row r="4781" spans="3:3" x14ac:dyDescent="0.25">
      <c r="C4781" s="4"/>
    </row>
    <row r="4782" spans="3:3" x14ac:dyDescent="0.25">
      <c r="C4782" s="4"/>
    </row>
    <row r="4783" spans="3:3" x14ac:dyDescent="0.25">
      <c r="C4783" s="4"/>
    </row>
    <row r="4784" spans="3:3" x14ac:dyDescent="0.25">
      <c r="C4784" s="4"/>
    </row>
    <row r="4785" spans="3:3" x14ac:dyDescent="0.25">
      <c r="C4785" s="4"/>
    </row>
    <row r="4786" spans="3:3" x14ac:dyDescent="0.25">
      <c r="C4786" s="4"/>
    </row>
    <row r="4787" spans="3:3" x14ac:dyDescent="0.25">
      <c r="C4787" s="4"/>
    </row>
    <row r="4788" spans="3:3" x14ac:dyDescent="0.25">
      <c r="C4788" s="4"/>
    </row>
    <row r="4789" spans="3:3" x14ac:dyDescent="0.25">
      <c r="C4789" s="4"/>
    </row>
    <row r="4790" spans="3:3" x14ac:dyDescent="0.25">
      <c r="C4790" s="4"/>
    </row>
    <row r="4791" spans="3:3" x14ac:dyDescent="0.25">
      <c r="C4791" s="4"/>
    </row>
    <row r="4792" spans="3:3" x14ac:dyDescent="0.25">
      <c r="C4792" s="4"/>
    </row>
    <row r="4793" spans="3:3" x14ac:dyDescent="0.25">
      <c r="C4793" s="4"/>
    </row>
    <row r="4794" spans="3:3" x14ac:dyDescent="0.25">
      <c r="C4794" s="4"/>
    </row>
    <row r="4795" spans="3:3" x14ac:dyDescent="0.25">
      <c r="C4795" s="4"/>
    </row>
    <row r="4796" spans="3:3" x14ac:dyDescent="0.25">
      <c r="C4796" s="4"/>
    </row>
    <row r="4797" spans="3:3" x14ac:dyDescent="0.25">
      <c r="C4797" s="4"/>
    </row>
    <row r="4798" spans="3:3" x14ac:dyDescent="0.25">
      <c r="C4798" s="4"/>
    </row>
    <row r="4799" spans="3:3" x14ac:dyDescent="0.25">
      <c r="C4799" s="4"/>
    </row>
    <row r="4800" spans="3:3" x14ac:dyDescent="0.25">
      <c r="C4800" s="4"/>
    </row>
    <row r="4801" spans="3:3" x14ac:dyDescent="0.25">
      <c r="C4801" s="4"/>
    </row>
    <row r="4802" spans="3:3" x14ac:dyDescent="0.25">
      <c r="C4802" s="4"/>
    </row>
    <row r="4803" spans="3:3" x14ac:dyDescent="0.25">
      <c r="C4803" s="4"/>
    </row>
    <row r="4804" spans="3:3" x14ac:dyDescent="0.25">
      <c r="C4804" s="4"/>
    </row>
    <row r="4805" spans="3:3" x14ac:dyDescent="0.25">
      <c r="C4805" s="4"/>
    </row>
    <row r="4806" spans="3:3" x14ac:dyDescent="0.25">
      <c r="C4806" s="4"/>
    </row>
    <row r="4807" spans="3:3" x14ac:dyDescent="0.25">
      <c r="C4807" s="4"/>
    </row>
    <row r="4808" spans="3:3" x14ac:dyDescent="0.25">
      <c r="C4808" s="4"/>
    </row>
    <row r="4809" spans="3:3" x14ac:dyDescent="0.25">
      <c r="C4809" s="4"/>
    </row>
    <row r="4810" spans="3:3" x14ac:dyDescent="0.25">
      <c r="C4810" s="4"/>
    </row>
    <row r="4811" spans="3:3" x14ac:dyDescent="0.25">
      <c r="C4811" s="4"/>
    </row>
    <row r="4812" spans="3:3" x14ac:dyDescent="0.25">
      <c r="C4812" s="4"/>
    </row>
    <row r="4813" spans="3:3" x14ac:dyDescent="0.25">
      <c r="C4813" s="4"/>
    </row>
    <row r="4814" spans="3:3" x14ac:dyDescent="0.25">
      <c r="C4814" s="4"/>
    </row>
    <row r="4815" spans="3:3" x14ac:dyDescent="0.25">
      <c r="C4815" s="4"/>
    </row>
    <row r="4816" spans="3:3" x14ac:dyDescent="0.25">
      <c r="C4816" s="4"/>
    </row>
    <row r="4817" spans="3:3" x14ac:dyDescent="0.25">
      <c r="C4817" s="4"/>
    </row>
    <row r="4818" spans="3:3" x14ac:dyDescent="0.25">
      <c r="C4818" s="4"/>
    </row>
    <row r="4819" spans="3:3" x14ac:dyDescent="0.25">
      <c r="C4819" s="4"/>
    </row>
    <row r="4820" spans="3:3" x14ac:dyDescent="0.25">
      <c r="C4820" s="4"/>
    </row>
    <row r="4821" spans="3:3" x14ac:dyDescent="0.25">
      <c r="C4821" s="4"/>
    </row>
    <row r="4822" spans="3:3" x14ac:dyDescent="0.25">
      <c r="C4822" s="4"/>
    </row>
    <row r="4823" spans="3:3" x14ac:dyDescent="0.25">
      <c r="C4823" s="4"/>
    </row>
    <row r="4824" spans="3:3" x14ac:dyDescent="0.25">
      <c r="C4824" s="4"/>
    </row>
    <row r="4825" spans="3:3" x14ac:dyDescent="0.25">
      <c r="C4825" s="4"/>
    </row>
    <row r="4826" spans="3:3" x14ac:dyDescent="0.25">
      <c r="C4826" s="4"/>
    </row>
    <row r="4827" spans="3:3" x14ac:dyDescent="0.25">
      <c r="C4827" s="4"/>
    </row>
    <row r="4828" spans="3:3" x14ac:dyDescent="0.25">
      <c r="C4828" s="4"/>
    </row>
    <row r="4829" spans="3:3" x14ac:dyDescent="0.25">
      <c r="C4829" s="4"/>
    </row>
    <row r="4830" spans="3:3" x14ac:dyDescent="0.25">
      <c r="C4830" s="4"/>
    </row>
    <row r="4831" spans="3:3" x14ac:dyDescent="0.25">
      <c r="C4831" s="4"/>
    </row>
    <row r="4832" spans="3:3" x14ac:dyDescent="0.25">
      <c r="C4832" s="4"/>
    </row>
    <row r="4833" spans="3:3" x14ac:dyDescent="0.25">
      <c r="C4833" s="4"/>
    </row>
    <row r="4834" spans="3:3" x14ac:dyDescent="0.25">
      <c r="C4834" s="4"/>
    </row>
    <row r="4835" spans="3:3" x14ac:dyDescent="0.25">
      <c r="C4835" s="4"/>
    </row>
    <row r="4836" spans="3:3" x14ac:dyDescent="0.25">
      <c r="C4836" s="4"/>
    </row>
    <row r="4837" spans="3:3" x14ac:dyDescent="0.25">
      <c r="C4837" s="4"/>
    </row>
    <row r="4838" spans="3:3" x14ac:dyDescent="0.25">
      <c r="C4838" s="4"/>
    </row>
    <row r="4839" spans="3:3" x14ac:dyDescent="0.25">
      <c r="C4839" s="4"/>
    </row>
    <row r="4840" spans="3:3" x14ac:dyDescent="0.25">
      <c r="C4840" s="4"/>
    </row>
    <row r="4841" spans="3:3" x14ac:dyDescent="0.25">
      <c r="C4841" s="4"/>
    </row>
    <row r="4842" spans="3:3" x14ac:dyDescent="0.25">
      <c r="C4842" s="4"/>
    </row>
    <row r="4843" spans="3:3" x14ac:dyDescent="0.25">
      <c r="C4843" s="4"/>
    </row>
    <row r="4844" spans="3:3" x14ac:dyDescent="0.25">
      <c r="C4844" s="4"/>
    </row>
    <row r="4845" spans="3:3" x14ac:dyDescent="0.25">
      <c r="C4845" s="4"/>
    </row>
    <row r="4846" spans="3:3" x14ac:dyDescent="0.25">
      <c r="C4846" s="4"/>
    </row>
    <row r="4847" spans="3:3" x14ac:dyDescent="0.25">
      <c r="C4847" s="4"/>
    </row>
    <row r="4848" spans="3:3" x14ac:dyDescent="0.25">
      <c r="C4848" s="4"/>
    </row>
    <row r="4849" spans="3:3" x14ac:dyDescent="0.25">
      <c r="C4849" s="4"/>
    </row>
    <row r="4850" spans="3:3" x14ac:dyDescent="0.25">
      <c r="C4850" s="4"/>
    </row>
    <row r="4851" spans="3:3" x14ac:dyDescent="0.25">
      <c r="C4851" s="4"/>
    </row>
    <row r="4852" spans="3:3" x14ac:dyDescent="0.25">
      <c r="C4852" s="4"/>
    </row>
    <row r="4853" spans="3:3" x14ac:dyDescent="0.25">
      <c r="C4853" s="4"/>
    </row>
    <row r="4854" spans="3:3" x14ac:dyDescent="0.25">
      <c r="C4854" s="4"/>
    </row>
    <row r="4855" spans="3:3" x14ac:dyDescent="0.25">
      <c r="C4855" s="4"/>
    </row>
    <row r="4856" spans="3:3" x14ac:dyDescent="0.25">
      <c r="C4856" s="4"/>
    </row>
    <row r="4857" spans="3:3" x14ac:dyDescent="0.25">
      <c r="C4857" s="4"/>
    </row>
    <row r="4858" spans="3:3" x14ac:dyDescent="0.25">
      <c r="C4858" s="4"/>
    </row>
    <row r="4859" spans="3:3" x14ac:dyDescent="0.25">
      <c r="C4859" s="4"/>
    </row>
    <row r="4860" spans="3:3" x14ac:dyDescent="0.25">
      <c r="C4860" s="4"/>
    </row>
    <row r="4861" spans="3:3" x14ac:dyDescent="0.25">
      <c r="C4861" s="4"/>
    </row>
    <row r="4862" spans="3:3" x14ac:dyDescent="0.25">
      <c r="C4862" s="4"/>
    </row>
    <row r="4863" spans="3:3" x14ac:dyDescent="0.25">
      <c r="C4863" s="4"/>
    </row>
    <row r="4864" spans="3:3" x14ac:dyDescent="0.25">
      <c r="C4864" s="4"/>
    </row>
    <row r="4865" spans="3:3" x14ac:dyDescent="0.25">
      <c r="C4865" s="4"/>
    </row>
    <row r="4866" spans="3:3" x14ac:dyDescent="0.25">
      <c r="C4866" s="4"/>
    </row>
    <row r="4867" spans="3:3" x14ac:dyDescent="0.25">
      <c r="C4867" s="4"/>
    </row>
    <row r="4868" spans="3:3" x14ac:dyDescent="0.25">
      <c r="C4868" s="4"/>
    </row>
    <row r="4869" spans="3:3" x14ac:dyDescent="0.25">
      <c r="C4869" s="4"/>
    </row>
    <row r="4870" spans="3:3" x14ac:dyDescent="0.25">
      <c r="C4870" s="4"/>
    </row>
    <row r="4871" spans="3:3" x14ac:dyDescent="0.25">
      <c r="C4871" s="4"/>
    </row>
    <row r="4872" spans="3:3" x14ac:dyDescent="0.25">
      <c r="C4872" s="4"/>
    </row>
    <row r="4873" spans="3:3" x14ac:dyDescent="0.25">
      <c r="C4873" s="4"/>
    </row>
    <row r="4874" spans="3:3" x14ac:dyDescent="0.25">
      <c r="C4874" s="4"/>
    </row>
    <row r="4875" spans="3:3" x14ac:dyDescent="0.25">
      <c r="C4875" s="4"/>
    </row>
    <row r="4876" spans="3:3" x14ac:dyDescent="0.25">
      <c r="C4876" s="4"/>
    </row>
    <row r="4877" spans="3:3" x14ac:dyDescent="0.25">
      <c r="C4877" s="4"/>
    </row>
    <row r="4878" spans="3:3" x14ac:dyDescent="0.25">
      <c r="C4878" s="4"/>
    </row>
    <row r="4879" spans="3:3" x14ac:dyDescent="0.25">
      <c r="C4879" s="4"/>
    </row>
    <row r="4880" spans="3:3" x14ac:dyDescent="0.25">
      <c r="C4880" s="4"/>
    </row>
    <row r="4881" spans="3:3" x14ac:dyDescent="0.25">
      <c r="C4881" s="4"/>
    </row>
    <row r="4882" spans="3:3" x14ac:dyDescent="0.25">
      <c r="C4882" s="4"/>
    </row>
    <row r="4883" spans="3:3" x14ac:dyDescent="0.25">
      <c r="C4883" s="4"/>
    </row>
    <row r="4884" spans="3:3" x14ac:dyDescent="0.25">
      <c r="C4884" s="4"/>
    </row>
    <row r="4885" spans="3:3" x14ac:dyDescent="0.25">
      <c r="C4885" s="4"/>
    </row>
    <row r="4886" spans="3:3" x14ac:dyDescent="0.25">
      <c r="C4886" s="4"/>
    </row>
    <row r="4887" spans="3:3" x14ac:dyDescent="0.25">
      <c r="C4887" s="4"/>
    </row>
    <row r="4888" spans="3:3" x14ac:dyDescent="0.25">
      <c r="C4888" s="4"/>
    </row>
    <row r="4889" spans="3:3" x14ac:dyDescent="0.25">
      <c r="C4889" s="4"/>
    </row>
    <row r="4890" spans="3:3" x14ac:dyDescent="0.25">
      <c r="C4890" s="4"/>
    </row>
    <row r="4891" spans="3:3" x14ac:dyDescent="0.25">
      <c r="C4891" s="4"/>
    </row>
    <row r="4892" spans="3:3" x14ac:dyDescent="0.25">
      <c r="C4892" s="4"/>
    </row>
    <row r="4893" spans="3:3" x14ac:dyDescent="0.25">
      <c r="C4893" s="4"/>
    </row>
    <row r="4894" spans="3:3" x14ac:dyDescent="0.25">
      <c r="C4894" s="4"/>
    </row>
    <row r="4895" spans="3:3" x14ac:dyDescent="0.25">
      <c r="C4895" s="4"/>
    </row>
    <row r="4896" spans="3:3" x14ac:dyDescent="0.25">
      <c r="C4896" s="4"/>
    </row>
    <row r="4897" spans="3:3" x14ac:dyDescent="0.25">
      <c r="C4897" s="4"/>
    </row>
    <row r="4898" spans="3:3" x14ac:dyDescent="0.25">
      <c r="C4898" s="4"/>
    </row>
    <row r="4899" spans="3:3" x14ac:dyDescent="0.25">
      <c r="C4899" s="4"/>
    </row>
    <row r="4900" spans="3:3" x14ac:dyDescent="0.25">
      <c r="C4900" s="4"/>
    </row>
    <row r="4901" spans="3:3" x14ac:dyDescent="0.25">
      <c r="C4901" s="4"/>
    </row>
    <row r="4902" spans="3:3" x14ac:dyDescent="0.25">
      <c r="C4902" s="4"/>
    </row>
    <row r="4903" spans="3:3" x14ac:dyDescent="0.25">
      <c r="C4903" s="4"/>
    </row>
    <row r="4904" spans="3:3" x14ac:dyDescent="0.25">
      <c r="C4904" s="4"/>
    </row>
    <row r="4905" spans="3:3" x14ac:dyDescent="0.25">
      <c r="C4905" s="4"/>
    </row>
    <row r="4906" spans="3:3" x14ac:dyDescent="0.25">
      <c r="C4906" s="4"/>
    </row>
    <row r="4907" spans="3:3" x14ac:dyDescent="0.25">
      <c r="C4907" s="4"/>
    </row>
    <row r="4908" spans="3:3" x14ac:dyDescent="0.25">
      <c r="C4908" s="4"/>
    </row>
    <row r="4909" spans="3:3" x14ac:dyDescent="0.25">
      <c r="C4909" s="4"/>
    </row>
    <row r="4910" spans="3:3" x14ac:dyDescent="0.25">
      <c r="C4910" s="4"/>
    </row>
    <row r="4911" spans="3:3" x14ac:dyDescent="0.25">
      <c r="C4911" s="4"/>
    </row>
    <row r="4912" spans="3:3" x14ac:dyDescent="0.25">
      <c r="C4912" s="4"/>
    </row>
    <row r="4913" spans="3:3" x14ac:dyDescent="0.25">
      <c r="C4913" s="4"/>
    </row>
    <row r="4914" spans="3:3" x14ac:dyDescent="0.25">
      <c r="C4914" s="4"/>
    </row>
    <row r="4915" spans="3:3" x14ac:dyDescent="0.25">
      <c r="C4915" s="4"/>
    </row>
    <row r="4916" spans="3:3" x14ac:dyDescent="0.25">
      <c r="C4916" s="4"/>
    </row>
    <row r="4917" spans="3:3" x14ac:dyDescent="0.25">
      <c r="C4917" s="4"/>
    </row>
    <row r="4918" spans="3:3" x14ac:dyDescent="0.25">
      <c r="C4918" s="4"/>
    </row>
    <row r="4919" spans="3:3" x14ac:dyDescent="0.25">
      <c r="C4919" s="4"/>
    </row>
    <row r="4920" spans="3:3" x14ac:dyDescent="0.25">
      <c r="C4920" s="4"/>
    </row>
    <row r="4921" spans="3:3" x14ac:dyDescent="0.25">
      <c r="C4921" s="4"/>
    </row>
    <row r="4922" spans="3:3" x14ac:dyDescent="0.25">
      <c r="C4922" s="4"/>
    </row>
    <row r="4923" spans="3:3" x14ac:dyDescent="0.25">
      <c r="C4923" s="4"/>
    </row>
    <row r="4924" spans="3:3" x14ac:dyDescent="0.25">
      <c r="C4924" s="4"/>
    </row>
    <row r="4925" spans="3:3" x14ac:dyDescent="0.25">
      <c r="C4925" s="4"/>
    </row>
    <row r="4926" spans="3:3" x14ac:dyDescent="0.25">
      <c r="C4926" s="4"/>
    </row>
    <row r="4927" spans="3:3" x14ac:dyDescent="0.25">
      <c r="C4927" s="4"/>
    </row>
    <row r="4928" spans="3:3" x14ac:dyDescent="0.25">
      <c r="C4928" s="4"/>
    </row>
    <row r="4929" spans="3:3" x14ac:dyDescent="0.25">
      <c r="C4929" s="4"/>
    </row>
    <row r="4930" spans="3:3" x14ac:dyDescent="0.25">
      <c r="C4930" s="4"/>
    </row>
    <row r="4931" spans="3:3" x14ac:dyDescent="0.25">
      <c r="C4931" s="4"/>
    </row>
    <row r="4932" spans="3:3" x14ac:dyDescent="0.25">
      <c r="C4932" s="4"/>
    </row>
    <row r="4933" spans="3:3" x14ac:dyDescent="0.25">
      <c r="C4933" s="4"/>
    </row>
    <row r="4934" spans="3:3" x14ac:dyDescent="0.25">
      <c r="C4934" s="4"/>
    </row>
    <row r="4935" spans="3:3" x14ac:dyDescent="0.25">
      <c r="C4935" s="4"/>
    </row>
    <row r="4936" spans="3:3" x14ac:dyDescent="0.25">
      <c r="C4936" s="4"/>
    </row>
    <row r="4937" spans="3:3" x14ac:dyDescent="0.25">
      <c r="C4937" s="4"/>
    </row>
    <row r="4938" spans="3:3" x14ac:dyDescent="0.25">
      <c r="C4938" s="4"/>
    </row>
    <row r="4939" spans="3:3" x14ac:dyDescent="0.25">
      <c r="C4939" s="4"/>
    </row>
    <row r="4940" spans="3:3" x14ac:dyDescent="0.25">
      <c r="C4940" s="4"/>
    </row>
    <row r="4941" spans="3:3" x14ac:dyDescent="0.25">
      <c r="C4941" s="4"/>
    </row>
    <row r="4942" spans="3:3" x14ac:dyDescent="0.25">
      <c r="C4942" s="4"/>
    </row>
    <row r="4943" spans="3:3" x14ac:dyDescent="0.25">
      <c r="C4943" s="4"/>
    </row>
    <row r="4944" spans="3:3" x14ac:dyDescent="0.25">
      <c r="C4944" s="4"/>
    </row>
    <row r="4945" spans="3:3" x14ac:dyDescent="0.25">
      <c r="C4945" s="4"/>
    </row>
    <row r="4946" spans="3:3" x14ac:dyDescent="0.25">
      <c r="C4946" s="4"/>
    </row>
    <row r="4947" spans="3:3" x14ac:dyDescent="0.25">
      <c r="C4947" s="4"/>
    </row>
    <row r="4948" spans="3:3" x14ac:dyDescent="0.25">
      <c r="C4948" s="4"/>
    </row>
    <row r="4949" spans="3:3" x14ac:dyDescent="0.25">
      <c r="C4949" s="4"/>
    </row>
    <row r="4950" spans="3:3" x14ac:dyDescent="0.25">
      <c r="C4950" s="4"/>
    </row>
    <row r="4951" spans="3:3" x14ac:dyDescent="0.25">
      <c r="C4951" s="4"/>
    </row>
    <row r="4952" spans="3:3" x14ac:dyDescent="0.25">
      <c r="C4952" s="4"/>
    </row>
    <row r="4953" spans="3:3" x14ac:dyDescent="0.25">
      <c r="C4953" s="4"/>
    </row>
    <row r="4954" spans="3:3" x14ac:dyDescent="0.25">
      <c r="C4954" s="4"/>
    </row>
    <row r="4955" spans="3:3" x14ac:dyDescent="0.25">
      <c r="C4955" s="4"/>
    </row>
    <row r="4956" spans="3:3" x14ac:dyDescent="0.25">
      <c r="C4956" s="4"/>
    </row>
    <row r="4957" spans="3:3" x14ac:dyDescent="0.25">
      <c r="C4957" s="4"/>
    </row>
    <row r="4958" spans="3:3" x14ac:dyDescent="0.25">
      <c r="C4958" s="4"/>
    </row>
    <row r="4959" spans="3:3" x14ac:dyDescent="0.25">
      <c r="C4959" s="4"/>
    </row>
    <row r="4960" spans="3:3" x14ac:dyDescent="0.25">
      <c r="C4960" s="4"/>
    </row>
    <row r="4961" spans="3:3" x14ac:dyDescent="0.25">
      <c r="C4961" s="4"/>
    </row>
    <row r="4962" spans="3:3" x14ac:dyDescent="0.25">
      <c r="C4962" s="4"/>
    </row>
    <row r="4963" spans="3:3" x14ac:dyDescent="0.25">
      <c r="C4963" s="4"/>
    </row>
    <row r="4964" spans="3:3" x14ac:dyDescent="0.25">
      <c r="C4964" s="4"/>
    </row>
    <row r="4965" spans="3:3" x14ac:dyDescent="0.25">
      <c r="C4965" s="4"/>
    </row>
    <row r="4966" spans="3:3" x14ac:dyDescent="0.25">
      <c r="C4966" s="4"/>
    </row>
    <row r="4967" spans="3:3" x14ac:dyDescent="0.25">
      <c r="C4967" s="4"/>
    </row>
    <row r="4968" spans="3:3" x14ac:dyDescent="0.25">
      <c r="C4968" s="4"/>
    </row>
    <row r="4969" spans="3:3" x14ac:dyDescent="0.25">
      <c r="C4969" s="4"/>
    </row>
    <row r="4970" spans="3:3" x14ac:dyDescent="0.25">
      <c r="C4970" s="4"/>
    </row>
    <row r="4971" spans="3:3" x14ac:dyDescent="0.25">
      <c r="C4971" s="4"/>
    </row>
    <row r="4972" spans="3:3" x14ac:dyDescent="0.25">
      <c r="C4972" s="4"/>
    </row>
    <row r="4973" spans="3:3" x14ac:dyDescent="0.25">
      <c r="C4973" s="4"/>
    </row>
    <row r="4974" spans="3:3" x14ac:dyDescent="0.25">
      <c r="C4974" s="4"/>
    </row>
    <row r="4975" spans="3:3" x14ac:dyDescent="0.25">
      <c r="C4975" s="4"/>
    </row>
    <row r="4976" spans="3:3" x14ac:dyDescent="0.25">
      <c r="C4976" s="4"/>
    </row>
    <row r="4977" spans="3:3" x14ac:dyDescent="0.25">
      <c r="C4977" s="4"/>
    </row>
    <row r="4978" spans="3:3" x14ac:dyDescent="0.25">
      <c r="C4978" s="4"/>
    </row>
    <row r="4979" spans="3:3" x14ac:dyDescent="0.25">
      <c r="C4979" s="4"/>
    </row>
    <row r="4980" spans="3:3" x14ac:dyDescent="0.25">
      <c r="C4980" s="4"/>
    </row>
    <row r="4981" spans="3:3" x14ac:dyDescent="0.25">
      <c r="C4981" s="4"/>
    </row>
    <row r="4982" spans="3:3" x14ac:dyDescent="0.25">
      <c r="C4982" s="4"/>
    </row>
    <row r="4983" spans="3:3" x14ac:dyDescent="0.25">
      <c r="C4983" s="4"/>
    </row>
    <row r="4984" spans="3:3" x14ac:dyDescent="0.25">
      <c r="C4984" s="4"/>
    </row>
    <row r="4985" spans="3:3" x14ac:dyDescent="0.25">
      <c r="C4985" s="4"/>
    </row>
    <row r="4986" spans="3:3" x14ac:dyDescent="0.25">
      <c r="C4986" s="4"/>
    </row>
    <row r="4987" spans="3:3" x14ac:dyDescent="0.25">
      <c r="C4987" s="4"/>
    </row>
    <row r="4988" spans="3:3" x14ac:dyDescent="0.25">
      <c r="C4988" s="4"/>
    </row>
    <row r="4989" spans="3:3" x14ac:dyDescent="0.25">
      <c r="C4989" s="4"/>
    </row>
    <row r="4990" spans="3:3" x14ac:dyDescent="0.25">
      <c r="C4990" s="4"/>
    </row>
    <row r="4991" spans="3:3" x14ac:dyDescent="0.25">
      <c r="C4991" s="4"/>
    </row>
    <row r="4992" spans="3:3" x14ac:dyDescent="0.25">
      <c r="C4992" s="4"/>
    </row>
    <row r="4993" spans="3:3" x14ac:dyDescent="0.25">
      <c r="C4993" s="4"/>
    </row>
    <row r="4994" spans="3:3" x14ac:dyDescent="0.25">
      <c r="C4994" s="4"/>
    </row>
    <row r="4995" spans="3:3" x14ac:dyDescent="0.25">
      <c r="C4995" s="4"/>
    </row>
    <row r="4996" spans="3:3" x14ac:dyDescent="0.25">
      <c r="C4996" s="4"/>
    </row>
    <row r="4997" spans="3:3" x14ac:dyDescent="0.25">
      <c r="C4997" s="4"/>
    </row>
    <row r="4998" spans="3:3" x14ac:dyDescent="0.25">
      <c r="C4998" s="4"/>
    </row>
    <row r="4999" spans="3:3" x14ac:dyDescent="0.25">
      <c r="C4999" s="4"/>
    </row>
    <row r="5000" spans="3:3" x14ac:dyDescent="0.25">
      <c r="C5000" s="4"/>
    </row>
    <row r="5001" spans="3:3" x14ac:dyDescent="0.25">
      <c r="C5001" s="4"/>
    </row>
    <row r="5002" spans="3:3" x14ac:dyDescent="0.25">
      <c r="C5002" s="4"/>
    </row>
    <row r="5003" spans="3:3" x14ac:dyDescent="0.25">
      <c r="C5003" s="4"/>
    </row>
    <row r="5004" spans="3:3" x14ac:dyDescent="0.25">
      <c r="C5004" s="4"/>
    </row>
    <row r="5005" spans="3:3" x14ac:dyDescent="0.25">
      <c r="C5005" s="4"/>
    </row>
    <row r="5006" spans="3:3" x14ac:dyDescent="0.25">
      <c r="C5006" s="4"/>
    </row>
    <row r="5007" spans="3:3" x14ac:dyDescent="0.25">
      <c r="C5007" s="4"/>
    </row>
    <row r="5008" spans="3:3" x14ac:dyDescent="0.25">
      <c r="C5008" s="4"/>
    </row>
    <row r="5009" spans="3:3" x14ac:dyDescent="0.25">
      <c r="C5009" s="4"/>
    </row>
    <row r="5010" spans="3:3" x14ac:dyDescent="0.25">
      <c r="C5010" s="4"/>
    </row>
    <row r="5011" spans="3:3" x14ac:dyDescent="0.25">
      <c r="C5011" s="4"/>
    </row>
    <row r="5012" spans="3:3" x14ac:dyDescent="0.25">
      <c r="C5012" s="4"/>
    </row>
    <row r="5013" spans="3:3" x14ac:dyDescent="0.25">
      <c r="C5013" s="4"/>
    </row>
    <row r="5014" spans="3:3" x14ac:dyDescent="0.25">
      <c r="C5014" s="4"/>
    </row>
    <row r="5015" spans="3:3" x14ac:dyDescent="0.25">
      <c r="C5015" s="4"/>
    </row>
    <row r="5016" spans="3:3" x14ac:dyDescent="0.25">
      <c r="C5016" s="4"/>
    </row>
    <row r="5017" spans="3:3" x14ac:dyDescent="0.25">
      <c r="C5017" s="4"/>
    </row>
    <row r="5018" spans="3:3" x14ac:dyDescent="0.25">
      <c r="C5018" s="4"/>
    </row>
    <row r="5019" spans="3:3" x14ac:dyDescent="0.25">
      <c r="C5019" s="4"/>
    </row>
    <row r="5020" spans="3:3" x14ac:dyDescent="0.25">
      <c r="C5020" s="4"/>
    </row>
    <row r="5021" spans="3:3" x14ac:dyDescent="0.25">
      <c r="C5021" s="4"/>
    </row>
    <row r="5022" spans="3:3" x14ac:dyDescent="0.25">
      <c r="C5022" s="4"/>
    </row>
    <row r="5023" spans="3:3" x14ac:dyDescent="0.25">
      <c r="C5023" s="4"/>
    </row>
    <row r="5024" spans="3:3" x14ac:dyDescent="0.25">
      <c r="C5024" s="4"/>
    </row>
    <row r="5025" spans="3:3" x14ac:dyDescent="0.25">
      <c r="C5025" s="4"/>
    </row>
    <row r="5026" spans="3:3" x14ac:dyDescent="0.25">
      <c r="C5026" s="4"/>
    </row>
    <row r="5027" spans="3:3" x14ac:dyDescent="0.25">
      <c r="C5027" s="4"/>
    </row>
    <row r="5028" spans="3:3" x14ac:dyDescent="0.25">
      <c r="C5028" s="4"/>
    </row>
    <row r="5029" spans="3:3" x14ac:dyDescent="0.25">
      <c r="C5029" s="4"/>
    </row>
    <row r="5030" spans="3:3" x14ac:dyDescent="0.25">
      <c r="C5030" s="4"/>
    </row>
    <row r="5031" spans="3:3" x14ac:dyDescent="0.25">
      <c r="C5031" s="4"/>
    </row>
    <row r="5032" spans="3:3" x14ac:dyDescent="0.25">
      <c r="C5032" s="4"/>
    </row>
    <row r="5033" spans="3:3" x14ac:dyDescent="0.25">
      <c r="C5033" s="4"/>
    </row>
    <row r="5034" spans="3:3" x14ac:dyDescent="0.25">
      <c r="C5034" s="4"/>
    </row>
    <row r="5035" spans="3:3" x14ac:dyDescent="0.25">
      <c r="C5035" s="4"/>
    </row>
    <row r="5036" spans="3:3" x14ac:dyDescent="0.25">
      <c r="C5036" s="4"/>
    </row>
    <row r="5037" spans="3:3" x14ac:dyDescent="0.25">
      <c r="C5037" s="4"/>
    </row>
    <row r="5038" spans="3:3" x14ac:dyDescent="0.25">
      <c r="C5038" s="4"/>
    </row>
    <row r="5039" spans="3:3" x14ac:dyDescent="0.25">
      <c r="C5039" s="4"/>
    </row>
    <row r="5040" spans="3:3" x14ac:dyDescent="0.25">
      <c r="C5040" s="4"/>
    </row>
    <row r="5041" spans="3:3" x14ac:dyDescent="0.25">
      <c r="C5041" s="4"/>
    </row>
    <row r="5042" spans="3:3" x14ac:dyDescent="0.25">
      <c r="C5042" s="4"/>
    </row>
    <row r="5043" spans="3:3" x14ac:dyDescent="0.25">
      <c r="C5043" s="4"/>
    </row>
    <row r="5044" spans="3:3" x14ac:dyDescent="0.25">
      <c r="C5044" s="4"/>
    </row>
    <row r="5045" spans="3:3" x14ac:dyDescent="0.25">
      <c r="C5045" s="4"/>
    </row>
    <row r="5046" spans="3:3" x14ac:dyDescent="0.25">
      <c r="C5046" s="4"/>
    </row>
    <row r="5047" spans="3:3" x14ac:dyDescent="0.25">
      <c r="C5047" s="4"/>
    </row>
    <row r="5048" spans="3:3" x14ac:dyDescent="0.25">
      <c r="C5048" s="4"/>
    </row>
    <row r="5049" spans="3:3" x14ac:dyDescent="0.25">
      <c r="C5049" s="4"/>
    </row>
    <row r="5050" spans="3:3" x14ac:dyDescent="0.25">
      <c r="C5050" s="4"/>
    </row>
    <row r="5051" spans="3:3" x14ac:dyDescent="0.25">
      <c r="C5051" s="4"/>
    </row>
    <row r="5052" spans="3:3" x14ac:dyDescent="0.25">
      <c r="C5052" s="4"/>
    </row>
    <row r="5053" spans="3:3" x14ac:dyDescent="0.25">
      <c r="C5053" s="4"/>
    </row>
    <row r="5054" spans="3:3" x14ac:dyDescent="0.25">
      <c r="C5054" s="4"/>
    </row>
    <row r="5055" spans="3:3" x14ac:dyDescent="0.25">
      <c r="C5055" s="4"/>
    </row>
    <row r="5056" spans="3:3" x14ac:dyDescent="0.25">
      <c r="C5056" s="4"/>
    </row>
    <row r="5057" spans="3:3" x14ac:dyDescent="0.25">
      <c r="C5057" s="4"/>
    </row>
    <row r="5058" spans="3:3" x14ac:dyDescent="0.25">
      <c r="C5058" s="4"/>
    </row>
    <row r="5059" spans="3:3" x14ac:dyDescent="0.25">
      <c r="C5059" s="4"/>
    </row>
    <row r="5060" spans="3:3" x14ac:dyDescent="0.25">
      <c r="C5060" s="4"/>
    </row>
    <row r="5061" spans="3:3" x14ac:dyDescent="0.25">
      <c r="C5061" s="4"/>
    </row>
    <row r="5062" spans="3:3" x14ac:dyDescent="0.25">
      <c r="C5062" s="4"/>
    </row>
    <row r="5063" spans="3:3" x14ac:dyDescent="0.25">
      <c r="C5063" s="4"/>
    </row>
    <row r="5064" spans="3:3" x14ac:dyDescent="0.25">
      <c r="C5064" s="4"/>
    </row>
    <row r="5065" spans="3:3" x14ac:dyDescent="0.25">
      <c r="C5065" s="4"/>
    </row>
    <row r="5066" spans="3:3" x14ac:dyDescent="0.25">
      <c r="C5066" s="4"/>
    </row>
    <row r="5067" spans="3:3" x14ac:dyDescent="0.25">
      <c r="C5067" s="4"/>
    </row>
    <row r="5068" spans="3:3" x14ac:dyDescent="0.25">
      <c r="C5068" s="4"/>
    </row>
    <row r="5069" spans="3:3" x14ac:dyDescent="0.25">
      <c r="C5069" s="4"/>
    </row>
    <row r="5070" spans="3:3" x14ac:dyDescent="0.25">
      <c r="C5070" s="4"/>
    </row>
    <row r="5071" spans="3:3" x14ac:dyDescent="0.25">
      <c r="C5071" s="4"/>
    </row>
    <row r="5072" spans="3:3" x14ac:dyDescent="0.25">
      <c r="C5072" s="4"/>
    </row>
    <row r="5073" spans="3:3" x14ac:dyDescent="0.25">
      <c r="C5073" s="4"/>
    </row>
    <row r="5074" spans="3:3" x14ac:dyDescent="0.25">
      <c r="C5074" s="4"/>
    </row>
    <row r="5075" spans="3:3" x14ac:dyDescent="0.25">
      <c r="C5075" s="4"/>
    </row>
    <row r="5076" spans="3:3" x14ac:dyDescent="0.25">
      <c r="C5076" s="4"/>
    </row>
    <row r="5077" spans="3:3" x14ac:dyDescent="0.25">
      <c r="C5077" s="4"/>
    </row>
    <row r="5078" spans="3:3" x14ac:dyDescent="0.25">
      <c r="C5078" s="4"/>
    </row>
    <row r="5079" spans="3:3" x14ac:dyDescent="0.25">
      <c r="C5079" s="4"/>
    </row>
    <row r="5080" spans="3:3" x14ac:dyDescent="0.25">
      <c r="C5080" s="4"/>
    </row>
    <row r="5081" spans="3:3" x14ac:dyDescent="0.25">
      <c r="C5081" s="4"/>
    </row>
    <row r="5082" spans="3:3" x14ac:dyDescent="0.25">
      <c r="C5082" s="4"/>
    </row>
    <row r="5083" spans="3:3" x14ac:dyDescent="0.25">
      <c r="C5083" s="4"/>
    </row>
    <row r="5084" spans="3:3" x14ac:dyDescent="0.25">
      <c r="C5084" s="4"/>
    </row>
    <row r="5085" spans="3:3" x14ac:dyDescent="0.25">
      <c r="C5085" s="4"/>
    </row>
    <row r="5086" spans="3:3" x14ac:dyDescent="0.25">
      <c r="C5086" s="4"/>
    </row>
    <row r="5087" spans="3:3" x14ac:dyDescent="0.25">
      <c r="C5087" s="4"/>
    </row>
    <row r="5088" spans="3:3" x14ac:dyDescent="0.25">
      <c r="C5088" s="4"/>
    </row>
    <row r="5089" spans="3:3" x14ac:dyDescent="0.25">
      <c r="C5089" s="4"/>
    </row>
    <row r="5090" spans="3:3" x14ac:dyDescent="0.25">
      <c r="C5090" s="4"/>
    </row>
    <row r="5091" spans="3:3" x14ac:dyDescent="0.25">
      <c r="C5091" s="4"/>
    </row>
    <row r="5092" spans="3:3" x14ac:dyDescent="0.25">
      <c r="C5092" s="4"/>
    </row>
    <row r="5093" spans="3:3" x14ac:dyDescent="0.25">
      <c r="C5093" s="4"/>
    </row>
    <row r="5094" spans="3:3" x14ac:dyDescent="0.25">
      <c r="C5094" s="4"/>
    </row>
    <row r="5095" spans="3:3" x14ac:dyDescent="0.25">
      <c r="C5095" s="4"/>
    </row>
    <row r="5096" spans="3:3" x14ac:dyDescent="0.25">
      <c r="C5096" s="4"/>
    </row>
    <row r="5097" spans="3:3" x14ac:dyDescent="0.25">
      <c r="C5097" s="4"/>
    </row>
    <row r="5098" spans="3:3" x14ac:dyDescent="0.25">
      <c r="C5098" s="4"/>
    </row>
    <row r="5099" spans="3:3" x14ac:dyDescent="0.25">
      <c r="C5099" s="4"/>
    </row>
    <row r="5100" spans="3:3" x14ac:dyDescent="0.25">
      <c r="C5100" s="4"/>
    </row>
    <row r="5101" spans="3:3" x14ac:dyDescent="0.25">
      <c r="C5101" s="4"/>
    </row>
    <row r="5102" spans="3:3" x14ac:dyDescent="0.25">
      <c r="C5102" s="4"/>
    </row>
    <row r="5103" spans="3:3" x14ac:dyDescent="0.25">
      <c r="C5103" s="4"/>
    </row>
    <row r="5104" spans="3:3" x14ac:dyDescent="0.25">
      <c r="C5104" s="4"/>
    </row>
    <row r="5105" spans="3:3" x14ac:dyDescent="0.25">
      <c r="C5105" s="4"/>
    </row>
    <row r="5106" spans="3:3" x14ac:dyDescent="0.25">
      <c r="C5106" s="4"/>
    </row>
    <row r="5107" spans="3:3" x14ac:dyDescent="0.25">
      <c r="C5107" s="4"/>
    </row>
    <row r="5108" spans="3:3" x14ac:dyDescent="0.25">
      <c r="C5108" s="4"/>
    </row>
    <row r="5109" spans="3:3" x14ac:dyDescent="0.25">
      <c r="C5109" s="4"/>
    </row>
    <row r="5110" spans="3:3" x14ac:dyDescent="0.25">
      <c r="C5110" s="4"/>
    </row>
    <row r="5111" spans="3:3" x14ac:dyDescent="0.25">
      <c r="C5111" s="4"/>
    </row>
    <row r="5112" spans="3:3" x14ac:dyDescent="0.25">
      <c r="C5112" s="4"/>
    </row>
    <row r="5113" spans="3:3" x14ac:dyDescent="0.25">
      <c r="C5113" s="4"/>
    </row>
    <row r="5114" spans="3:3" x14ac:dyDescent="0.25">
      <c r="C5114" s="4"/>
    </row>
    <row r="5115" spans="3:3" x14ac:dyDescent="0.25">
      <c r="C5115" s="4"/>
    </row>
    <row r="5116" spans="3:3" x14ac:dyDescent="0.25">
      <c r="C5116" s="4"/>
    </row>
    <row r="5117" spans="3:3" x14ac:dyDescent="0.25">
      <c r="C5117" s="4"/>
    </row>
    <row r="5118" spans="3:3" x14ac:dyDescent="0.25">
      <c r="C5118" s="4"/>
    </row>
    <row r="5119" spans="3:3" x14ac:dyDescent="0.25">
      <c r="C5119" s="4"/>
    </row>
    <row r="5120" spans="3:3" x14ac:dyDescent="0.25">
      <c r="C5120" s="4"/>
    </row>
    <row r="5121" spans="3:3" x14ac:dyDescent="0.25">
      <c r="C5121" s="4"/>
    </row>
    <row r="5122" spans="3:3" x14ac:dyDescent="0.25">
      <c r="C5122" s="4"/>
    </row>
    <row r="5123" spans="3:3" x14ac:dyDescent="0.25">
      <c r="C5123" s="4"/>
    </row>
    <row r="5124" spans="3:3" x14ac:dyDescent="0.25">
      <c r="C5124" s="4"/>
    </row>
    <row r="5125" spans="3:3" x14ac:dyDescent="0.25">
      <c r="C5125" s="4"/>
    </row>
    <row r="5126" spans="3:3" x14ac:dyDescent="0.25">
      <c r="C5126" s="4"/>
    </row>
    <row r="5127" spans="3:3" x14ac:dyDescent="0.25">
      <c r="C5127" s="4"/>
    </row>
    <row r="5128" spans="3:3" x14ac:dyDescent="0.25">
      <c r="C5128" s="4"/>
    </row>
    <row r="5129" spans="3:3" x14ac:dyDescent="0.25">
      <c r="C5129" s="4"/>
    </row>
    <row r="5130" spans="3:3" x14ac:dyDescent="0.25">
      <c r="C5130" s="4"/>
    </row>
    <row r="5131" spans="3:3" x14ac:dyDescent="0.25">
      <c r="C5131" s="4"/>
    </row>
    <row r="5132" spans="3:3" x14ac:dyDescent="0.25">
      <c r="C5132" s="4"/>
    </row>
    <row r="5133" spans="3:3" x14ac:dyDescent="0.25">
      <c r="C5133" s="4"/>
    </row>
    <row r="5134" spans="3:3" x14ac:dyDescent="0.25">
      <c r="C5134" s="4"/>
    </row>
    <row r="5135" spans="3:3" x14ac:dyDescent="0.25">
      <c r="C5135" s="4"/>
    </row>
    <row r="5136" spans="3:3" x14ac:dyDescent="0.25">
      <c r="C5136" s="4"/>
    </row>
    <row r="5137" spans="3:3" x14ac:dyDescent="0.25">
      <c r="C5137" s="4"/>
    </row>
    <row r="5138" spans="3:3" x14ac:dyDescent="0.25">
      <c r="C5138" s="4"/>
    </row>
    <row r="5139" spans="3:3" x14ac:dyDescent="0.25">
      <c r="C5139" s="4"/>
    </row>
    <row r="5140" spans="3:3" x14ac:dyDescent="0.25">
      <c r="C5140" s="4"/>
    </row>
    <row r="5141" spans="3:3" x14ac:dyDescent="0.25">
      <c r="C5141" s="4"/>
    </row>
    <row r="5142" spans="3:3" x14ac:dyDescent="0.25">
      <c r="C5142" s="4"/>
    </row>
    <row r="5143" spans="3:3" x14ac:dyDescent="0.25">
      <c r="C5143" s="4"/>
    </row>
    <row r="5144" spans="3:3" x14ac:dyDescent="0.25">
      <c r="C5144" s="4"/>
    </row>
    <row r="5145" spans="3:3" x14ac:dyDescent="0.25">
      <c r="C5145" s="4"/>
    </row>
    <row r="5146" spans="3:3" x14ac:dyDescent="0.25">
      <c r="C5146" s="4"/>
    </row>
    <row r="5147" spans="3:3" x14ac:dyDescent="0.25">
      <c r="C5147" s="4"/>
    </row>
    <row r="5148" spans="3:3" x14ac:dyDescent="0.25">
      <c r="C5148" s="4"/>
    </row>
    <row r="5149" spans="3:3" x14ac:dyDescent="0.25">
      <c r="C5149" s="4"/>
    </row>
    <row r="5150" spans="3:3" x14ac:dyDescent="0.25">
      <c r="C5150" s="4"/>
    </row>
    <row r="5151" spans="3:3" x14ac:dyDescent="0.25">
      <c r="C5151" s="4"/>
    </row>
    <row r="5152" spans="3:3" x14ac:dyDescent="0.25">
      <c r="C5152" s="4"/>
    </row>
    <row r="5153" spans="3:3" x14ac:dyDescent="0.25">
      <c r="C5153" s="4"/>
    </row>
    <row r="5154" spans="3:3" x14ac:dyDescent="0.25">
      <c r="C5154" s="4"/>
    </row>
    <row r="5155" spans="3:3" x14ac:dyDescent="0.25">
      <c r="C5155" s="4"/>
    </row>
    <row r="5156" spans="3:3" x14ac:dyDescent="0.25">
      <c r="C5156" s="4"/>
    </row>
    <row r="5157" spans="3:3" x14ac:dyDescent="0.25">
      <c r="C5157" s="4"/>
    </row>
    <row r="5158" spans="3:3" x14ac:dyDescent="0.25">
      <c r="C5158" s="4"/>
    </row>
    <row r="5159" spans="3:3" x14ac:dyDescent="0.25">
      <c r="C5159" s="4"/>
    </row>
    <row r="5160" spans="3:3" x14ac:dyDescent="0.25">
      <c r="C5160" s="4"/>
    </row>
    <row r="5161" spans="3:3" x14ac:dyDescent="0.25">
      <c r="C5161" s="4"/>
    </row>
    <row r="5162" spans="3:3" x14ac:dyDescent="0.25">
      <c r="C5162" s="4"/>
    </row>
    <row r="5163" spans="3:3" x14ac:dyDescent="0.25">
      <c r="C5163" s="4"/>
    </row>
    <row r="5164" spans="3:3" x14ac:dyDescent="0.25">
      <c r="C5164" s="4"/>
    </row>
    <row r="5165" spans="3:3" x14ac:dyDescent="0.25">
      <c r="C5165" s="4"/>
    </row>
    <row r="5166" spans="3:3" x14ac:dyDescent="0.25">
      <c r="C5166" s="4"/>
    </row>
    <row r="5167" spans="3:3" x14ac:dyDescent="0.25">
      <c r="C5167" s="4"/>
    </row>
    <row r="5168" spans="3:3" x14ac:dyDescent="0.25">
      <c r="C5168" s="4"/>
    </row>
    <row r="5169" spans="3:3" x14ac:dyDescent="0.25">
      <c r="C5169" s="4"/>
    </row>
    <row r="5170" spans="3:3" x14ac:dyDescent="0.25">
      <c r="C5170" s="4"/>
    </row>
    <row r="5171" spans="3:3" x14ac:dyDescent="0.25">
      <c r="C5171" s="4"/>
    </row>
    <row r="5172" spans="3:3" x14ac:dyDescent="0.25">
      <c r="C5172" s="4"/>
    </row>
    <row r="5173" spans="3:3" x14ac:dyDescent="0.25">
      <c r="C5173" s="4"/>
    </row>
    <row r="5174" spans="3:3" x14ac:dyDescent="0.25">
      <c r="C5174" s="4"/>
    </row>
    <row r="5175" spans="3:3" x14ac:dyDescent="0.25">
      <c r="C5175" s="4"/>
    </row>
    <row r="5176" spans="3:3" x14ac:dyDescent="0.25">
      <c r="C5176" s="4"/>
    </row>
    <row r="5177" spans="3:3" x14ac:dyDescent="0.25">
      <c r="C5177" s="4"/>
    </row>
    <row r="5178" spans="3:3" x14ac:dyDescent="0.25">
      <c r="C5178" s="4"/>
    </row>
    <row r="5179" spans="3:3" x14ac:dyDescent="0.25">
      <c r="C5179" s="4"/>
    </row>
    <row r="5180" spans="3:3" x14ac:dyDescent="0.25">
      <c r="C5180" s="4"/>
    </row>
    <row r="5181" spans="3:3" x14ac:dyDescent="0.25">
      <c r="C5181" s="4"/>
    </row>
    <row r="5182" spans="3:3" x14ac:dyDescent="0.25">
      <c r="C5182" s="4"/>
    </row>
    <row r="5183" spans="3:3" x14ac:dyDescent="0.25">
      <c r="C5183" s="4"/>
    </row>
    <row r="5184" spans="3:3" x14ac:dyDescent="0.25">
      <c r="C5184" s="4"/>
    </row>
    <row r="5185" spans="3:3" x14ac:dyDescent="0.25">
      <c r="C5185" s="4"/>
    </row>
    <row r="5186" spans="3:3" x14ac:dyDescent="0.25">
      <c r="C5186" s="4"/>
    </row>
    <row r="5187" spans="3:3" x14ac:dyDescent="0.25">
      <c r="C5187" s="4"/>
    </row>
    <row r="5188" spans="3:3" x14ac:dyDescent="0.25">
      <c r="C5188" s="4"/>
    </row>
    <row r="5189" spans="3:3" x14ac:dyDescent="0.25">
      <c r="C5189" s="4"/>
    </row>
    <row r="5190" spans="3:3" x14ac:dyDescent="0.25">
      <c r="C5190" s="4"/>
    </row>
    <row r="5191" spans="3:3" x14ac:dyDescent="0.25">
      <c r="C5191" s="4"/>
    </row>
    <row r="5192" spans="3:3" x14ac:dyDescent="0.25">
      <c r="C5192" s="4"/>
    </row>
    <row r="5193" spans="3:3" x14ac:dyDescent="0.25">
      <c r="C5193" s="4"/>
    </row>
    <row r="5194" spans="3:3" x14ac:dyDescent="0.25">
      <c r="C5194" s="4"/>
    </row>
    <row r="5195" spans="3:3" x14ac:dyDescent="0.25">
      <c r="C5195" s="4"/>
    </row>
    <row r="5196" spans="3:3" x14ac:dyDescent="0.25">
      <c r="C5196" s="4"/>
    </row>
    <row r="5197" spans="3:3" x14ac:dyDescent="0.25">
      <c r="C5197" s="4"/>
    </row>
    <row r="5198" spans="3:3" x14ac:dyDescent="0.25">
      <c r="C5198" s="4"/>
    </row>
    <row r="5199" spans="3:3" x14ac:dyDescent="0.25">
      <c r="C5199" s="4"/>
    </row>
    <row r="5200" spans="3:3" x14ac:dyDescent="0.25">
      <c r="C5200" s="4"/>
    </row>
    <row r="5201" spans="3:3" x14ac:dyDescent="0.25">
      <c r="C5201" s="4"/>
    </row>
    <row r="5202" spans="3:3" x14ac:dyDescent="0.25">
      <c r="C5202" s="4"/>
    </row>
    <row r="5203" spans="3:3" x14ac:dyDescent="0.25">
      <c r="C5203" s="4"/>
    </row>
    <row r="5204" spans="3:3" x14ac:dyDescent="0.25">
      <c r="C5204" s="4"/>
    </row>
    <row r="5205" spans="3:3" x14ac:dyDescent="0.25">
      <c r="C5205" s="4"/>
    </row>
    <row r="5206" spans="3:3" x14ac:dyDescent="0.25">
      <c r="C5206" s="4"/>
    </row>
    <row r="5207" spans="3:3" x14ac:dyDescent="0.25">
      <c r="C5207" s="4"/>
    </row>
    <row r="5208" spans="3:3" x14ac:dyDescent="0.25">
      <c r="C5208" s="4"/>
    </row>
    <row r="5209" spans="3:3" x14ac:dyDescent="0.25">
      <c r="C5209" s="4"/>
    </row>
    <row r="5210" spans="3:3" x14ac:dyDescent="0.25">
      <c r="C5210" s="4"/>
    </row>
    <row r="5211" spans="3:3" x14ac:dyDescent="0.25">
      <c r="C5211" s="4"/>
    </row>
    <row r="5212" spans="3:3" x14ac:dyDescent="0.25">
      <c r="C5212" s="4"/>
    </row>
    <row r="5213" spans="3:3" x14ac:dyDescent="0.25">
      <c r="C5213" s="4"/>
    </row>
    <row r="5214" spans="3:3" x14ac:dyDescent="0.25">
      <c r="C5214" s="4"/>
    </row>
    <row r="5215" spans="3:3" x14ac:dyDescent="0.25">
      <c r="C5215" s="4"/>
    </row>
    <row r="5216" spans="3:3" x14ac:dyDescent="0.25">
      <c r="C5216" s="4"/>
    </row>
    <row r="5217" spans="3:3" x14ac:dyDescent="0.25">
      <c r="C5217" s="4"/>
    </row>
    <row r="5218" spans="3:3" x14ac:dyDescent="0.25">
      <c r="C5218" s="4"/>
    </row>
    <row r="5219" spans="3:3" x14ac:dyDescent="0.25">
      <c r="C5219" s="4"/>
    </row>
    <row r="5220" spans="3:3" x14ac:dyDescent="0.25">
      <c r="C5220" s="4"/>
    </row>
    <row r="5221" spans="3:3" x14ac:dyDescent="0.25">
      <c r="C5221" s="4"/>
    </row>
    <row r="5222" spans="3:3" x14ac:dyDescent="0.25">
      <c r="C5222" s="4"/>
    </row>
    <row r="5223" spans="3:3" x14ac:dyDescent="0.25">
      <c r="C5223" s="4"/>
    </row>
    <row r="5224" spans="3:3" x14ac:dyDescent="0.25">
      <c r="C5224" s="4"/>
    </row>
    <row r="5225" spans="3:3" x14ac:dyDescent="0.25">
      <c r="C5225" s="4"/>
    </row>
    <row r="5226" spans="3:3" x14ac:dyDescent="0.25">
      <c r="C5226" s="4"/>
    </row>
    <row r="5227" spans="3:3" x14ac:dyDescent="0.25">
      <c r="C5227" s="4"/>
    </row>
    <row r="5228" spans="3:3" x14ac:dyDescent="0.25">
      <c r="C5228" s="4"/>
    </row>
    <row r="5229" spans="3:3" x14ac:dyDescent="0.25">
      <c r="C5229" s="4"/>
    </row>
    <row r="5230" spans="3:3" x14ac:dyDescent="0.25">
      <c r="C5230" s="4"/>
    </row>
    <row r="5231" spans="3:3" x14ac:dyDescent="0.25">
      <c r="C5231" s="4"/>
    </row>
    <row r="5232" spans="3:3" x14ac:dyDescent="0.25">
      <c r="C5232" s="4"/>
    </row>
    <row r="5233" spans="3:3" x14ac:dyDescent="0.25">
      <c r="C5233" s="4"/>
    </row>
    <row r="5234" spans="3:3" x14ac:dyDescent="0.25">
      <c r="C5234" s="4"/>
    </row>
    <row r="5235" spans="3:3" x14ac:dyDescent="0.25">
      <c r="C5235" s="4"/>
    </row>
    <row r="5236" spans="3:3" x14ac:dyDescent="0.25">
      <c r="C5236" s="4"/>
    </row>
    <row r="5237" spans="3:3" x14ac:dyDescent="0.25">
      <c r="C5237" s="4"/>
    </row>
    <row r="5238" spans="3:3" x14ac:dyDescent="0.25">
      <c r="C5238" s="4"/>
    </row>
    <row r="5239" spans="3:3" x14ac:dyDescent="0.25">
      <c r="C5239" s="4"/>
    </row>
    <row r="5240" spans="3:3" x14ac:dyDescent="0.25">
      <c r="C5240" s="4"/>
    </row>
    <row r="5241" spans="3:3" x14ac:dyDescent="0.25">
      <c r="C5241" s="4"/>
    </row>
    <row r="5242" spans="3:3" x14ac:dyDescent="0.25">
      <c r="C5242" s="4"/>
    </row>
    <row r="5243" spans="3:3" x14ac:dyDescent="0.25">
      <c r="C5243" s="4"/>
    </row>
    <row r="5244" spans="3:3" x14ac:dyDescent="0.25">
      <c r="C5244" s="4"/>
    </row>
    <row r="5245" spans="3:3" x14ac:dyDescent="0.25">
      <c r="C5245" s="4"/>
    </row>
    <row r="5246" spans="3:3" x14ac:dyDescent="0.25">
      <c r="C5246" s="4"/>
    </row>
    <row r="5247" spans="3:3" x14ac:dyDescent="0.25">
      <c r="C5247" s="4"/>
    </row>
    <row r="5248" spans="3:3" x14ac:dyDescent="0.25">
      <c r="C5248" s="4"/>
    </row>
    <row r="5249" spans="3:3" x14ac:dyDescent="0.25">
      <c r="C5249" s="4"/>
    </row>
    <row r="5250" spans="3:3" x14ac:dyDescent="0.25">
      <c r="C5250" s="4"/>
    </row>
    <row r="5251" spans="3:3" x14ac:dyDescent="0.25">
      <c r="C5251" s="4"/>
    </row>
    <row r="5252" spans="3:3" x14ac:dyDescent="0.25">
      <c r="C5252" s="4"/>
    </row>
    <row r="5253" spans="3:3" x14ac:dyDescent="0.25">
      <c r="C5253" s="4"/>
    </row>
    <row r="5254" spans="3:3" x14ac:dyDescent="0.25">
      <c r="C5254" s="4"/>
    </row>
    <row r="5255" spans="3:3" x14ac:dyDescent="0.25">
      <c r="C5255" s="4"/>
    </row>
    <row r="5256" spans="3:3" x14ac:dyDescent="0.25">
      <c r="C5256" s="4"/>
    </row>
    <row r="5257" spans="3:3" x14ac:dyDescent="0.25">
      <c r="C5257" s="4"/>
    </row>
    <row r="5258" spans="3:3" x14ac:dyDescent="0.25">
      <c r="C5258" s="4"/>
    </row>
    <row r="5259" spans="3:3" x14ac:dyDescent="0.25">
      <c r="C5259" s="4"/>
    </row>
    <row r="5260" spans="3:3" x14ac:dyDescent="0.25">
      <c r="C5260" s="4"/>
    </row>
    <row r="5261" spans="3:3" x14ac:dyDescent="0.25">
      <c r="C5261" s="4"/>
    </row>
    <row r="5262" spans="3:3" x14ac:dyDescent="0.25">
      <c r="C5262" s="4"/>
    </row>
    <row r="5263" spans="3:3" x14ac:dyDescent="0.25">
      <c r="C5263" s="4"/>
    </row>
    <row r="5264" spans="3:3" x14ac:dyDescent="0.25">
      <c r="C5264" s="4"/>
    </row>
    <row r="5265" spans="3:3" x14ac:dyDescent="0.25">
      <c r="C5265" s="4"/>
    </row>
    <row r="5266" spans="3:3" x14ac:dyDescent="0.25">
      <c r="C5266" s="4"/>
    </row>
    <row r="5267" spans="3:3" x14ac:dyDescent="0.25">
      <c r="C5267" s="4"/>
    </row>
    <row r="5268" spans="3:3" x14ac:dyDescent="0.25">
      <c r="C5268" s="4"/>
    </row>
    <row r="5269" spans="3:3" x14ac:dyDescent="0.25">
      <c r="C5269" s="4"/>
    </row>
    <row r="5270" spans="3:3" x14ac:dyDescent="0.25">
      <c r="C5270" s="4"/>
    </row>
    <row r="5271" spans="3:3" x14ac:dyDescent="0.25">
      <c r="C5271" s="4"/>
    </row>
    <row r="5272" spans="3:3" x14ac:dyDescent="0.25">
      <c r="C5272" s="4"/>
    </row>
    <row r="5273" spans="3:3" x14ac:dyDescent="0.25">
      <c r="C5273" s="4"/>
    </row>
    <row r="5274" spans="3:3" x14ac:dyDescent="0.25">
      <c r="C5274" s="4"/>
    </row>
    <row r="5275" spans="3:3" x14ac:dyDescent="0.25">
      <c r="C5275" s="4"/>
    </row>
    <row r="5276" spans="3:3" x14ac:dyDescent="0.25">
      <c r="C5276" s="4"/>
    </row>
    <row r="5277" spans="3:3" x14ac:dyDescent="0.25">
      <c r="C5277" s="4"/>
    </row>
    <row r="5278" spans="3:3" x14ac:dyDescent="0.25">
      <c r="C5278" s="4"/>
    </row>
    <row r="5279" spans="3:3" x14ac:dyDescent="0.25">
      <c r="C5279" s="4"/>
    </row>
    <row r="5280" spans="3:3" x14ac:dyDescent="0.25">
      <c r="C5280" s="4"/>
    </row>
    <row r="5281" spans="3:3" x14ac:dyDescent="0.25">
      <c r="C5281" s="4"/>
    </row>
    <row r="5282" spans="3:3" x14ac:dyDescent="0.25">
      <c r="C5282" s="4"/>
    </row>
    <row r="5283" spans="3:3" x14ac:dyDescent="0.25">
      <c r="C5283" s="4"/>
    </row>
    <row r="5284" spans="3:3" x14ac:dyDescent="0.25">
      <c r="C5284" s="4"/>
    </row>
    <row r="5285" spans="3:3" x14ac:dyDescent="0.25">
      <c r="C5285" s="4"/>
    </row>
    <row r="5286" spans="3:3" x14ac:dyDescent="0.25">
      <c r="C5286" s="4"/>
    </row>
    <row r="5287" spans="3:3" x14ac:dyDescent="0.25">
      <c r="C5287" s="4"/>
    </row>
    <row r="5288" spans="3:3" x14ac:dyDescent="0.25">
      <c r="C5288" s="4"/>
    </row>
    <row r="5289" spans="3:3" x14ac:dyDescent="0.25">
      <c r="C5289" s="4"/>
    </row>
    <row r="5290" spans="3:3" x14ac:dyDescent="0.25">
      <c r="C5290" s="4"/>
    </row>
    <row r="5291" spans="3:3" x14ac:dyDescent="0.25">
      <c r="C5291" s="4"/>
    </row>
    <row r="5292" spans="3:3" x14ac:dyDescent="0.25">
      <c r="C5292" s="4"/>
    </row>
    <row r="5293" spans="3:3" x14ac:dyDescent="0.25">
      <c r="C5293" s="4"/>
    </row>
    <row r="5294" spans="3:3" x14ac:dyDescent="0.25">
      <c r="C5294" s="4"/>
    </row>
    <row r="5295" spans="3:3" x14ac:dyDescent="0.25">
      <c r="C5295" s="4"/>
    </row>
    <row r="5296" spans="3:3" x14ac:dyDescent="0.25">
      <c r="C5296" s="4"/>
    </row>
    <row r="5297" spans="3:3" x14ac:dyDescent="0.25">
      <c r="C5297" s="4"/>
    </row>
    <row r="5298" spans="3:3" x14ac:dyDescent="0.25">
      <c r="C5298" s="4"/>
    </row>
    <row r="5299" spans="3:3" x14ac:dyDescent="0.25">
      <c r="C5299" s="4"/>
    </row>
    <row r="5300" spans="3:3" x14ac:dyDescent="0.25">
      <c r="C5300" s="4"/>
    </row>
    <row r="5301" spans="3:3" x14ac:dyDescent="0.25">
      <c r="C5301" s="4"/>
    </row>
    <row r="5302" spans="3:3" x14ac:dyDescent="0.25">
      <c r="C5302" s="4"/>
    </row>
    <row r="5303" spans="3:3" x14ac:dyDescent="0.25">
      <c r="C5303" s="4"/>
    </row>
    <row r="5304" spans="3:3" x14ac:dyDescent="0.25">
      <c r="C5304" s="4"/>
    </row>
    <row r="5305" spans="3:3" x14ac:dyDescent="0.25">
      <c r="C5305" s="4"/>
    </row>
    <row r="5306" spans="3:3" x14ac:dyDescent="0.25">
      <c r="C5306" s="4"/>
    </row>
    <row r="5307" spans="3:3" x14ac:dyDescent="0.25">
      <c r="C5307" s="4"/>
    </row>
    <row r="5308" spans="3:3" x14ac:dyDescent="0.25">
      <c r="C5308" s="4"/>
    </row>
    <row r="5309" spans="3:3" x14ac:dyDescent="0.25">
      <c r="C5309" s="4"/>
    </row>
    <row r="5310" spans="3:3" x14ac:dyDescent="0.25">
      <c r="C5310" s="4"/>
    </row>
    <row r="5311" spans="3:3" x14ac:dyDescent="0.25">
      <c r="C5311" s="4"/>
    </row>
    <row r="5312" spans="3:3" x14ac:dyDescent="0.25">
      <c r="C5312" s="4"/>
    </row>
    <row r="5313" spans="3:3" x14ac:dyDescent="0.25">
      <c r="C5313" s="4"/>
    </row>
    <row r="5314" spans="3:3" x14ac:dyDescent="0.25">
      <c r="C5314" s="4"/>
    </row>
    <row r="5315" spans="3:3" x14ac:dyDescent="0.25">
      <c r="C5315" s="4"/>
    </row>
    <row r="5316" spans="3:3" x14ac:dyDescent="0.25">
      <c r="C5316" s="4"/>
    </row>
    <row r="5317" spans="3:3" x14ac:dyDescent="0.25">
      <c r="C5317" s="4"/>
    </row>
    <row r="5318" spans="3:3" x14ac:dyDescent="0.25">
      <c r="C5318" s="4"/>
    </row>
    <row r="5319" spans="3:3" x14ac:dyDescent="0.25">
      <c r="C5319" s="4"/>
    </row>
    <row r="5320" spans="3:3" x14ac:dyDescent="0.25">
      <c r="C5320" s="4"/>
    </row>
    <row r="5321" spans="3:3" x14ac:dyDescent="0.25">
      <c r="C5321" s="4"/>
    </row>
    <row r="5322" spans="3:3" x14ac:dyDescent="0.25">
      <c r="C5322" s="4"/>
    </row>
    <row r="5323" spans="3:3" x14ac:dyDescent="0.25">
      <c r="C5323" s="4"/>
    </row>
    <row r="5324" spans="3:3" x14ac:dyDescent="0.25">
      <c r="C5324" s="4"/>
    </row>
    <row r="5325" spans="3:3" x14ac:dyDescent="0.25">
      <c r="C5325" s="4"/>
    </row>
    <row r="5326" spans="3:3" x14ac:dyDescent="0.25">
      <c r="C5326" s="4"/>
    </row>
    <row r="5327" spans="3:3" x14ac:dyDescent="0.25">
      <c r="C5327" s="4"/>
    </row>
    <row r="5328" spans="3:3" x14ac:dyDescent="0.25">
      <c r="C5328" s="4"/>
    </row>
    <row r="5329" spans="3:3" x14ac:dyDescent="0.25">
      <c r="C5329" s="4"/>
    </row>
    <row r="5330" spans="3:3" x14ac:dyDescent="0.25">
      <c r="C5330" s="4"/>
    </row>
    <row r="5331" spans="3:3" x14ac:dyDescent="0.25">
      <c r="C5331" s="4"/>
    </row>
    <row r="5332" spans="3:3" x14ac:dyDescent="0.25">
      <c r="C5332" s="4"/>
    </row>
    <row r="5333" spans="3:3" x14ac:dyDescent="0.25">
      <c r="C5333" s="4"/>
    </row>
    <row r="5334" spans="3:3" x14ac:dyDescent="0.25">
      <c r="C5334" s="4"/>
    </row>
    <row r="5335" spans="3:3" x14ac:dyDescent="0.25">
      <c r="C5335" s="4"/>
    </row>
    <row r="5336" spans="3:3" x14ac:dyDescent="0.25">
      <c r="C5336" s="4"/>
    </row>
    <row r="5337" spans="3:3" x14ac:dyDescent="0.25">
      <c r="C5337" s="4"/>
    </row>
    <row r="5338" spans="3:3" x14ac:dyDescent="0.25">
      <c r="C5338" s="4"/>
    </row>
    <row r="5339" spans="3:3" x14ac:dyDescent="0.25">
      <c r="C5339" s="4"/>
    </row>
    <row r="5340" spans="3:3" x14ac:dyDescent="0.25">
      <c r="C5340" s="4"/>
    </row>
    <row r="5341" spans="3:3" x14ac:dyDescent="0.25">
      <c r="C5341" s="4"/>
    </row>
    <row r="5342" spans="3:3" x14ac:dyDescent="0.25">
      <c r="C5342" s="4"/>
    </row>
    <row r="5343" spans="3:3" x14ac:dyDescent="0.25">
      <c r="C5343" s="4"/>
    </row>
    <row r="5344" spans="3:3" x14ac:dyDescent="0.25">
      <c r="C5344" s="4"/>
    </row>
    <row r="5345" spans="3:3" x14ac:dyDescent="0.25">
      <c r="C5345" s="4"/>
    </row>
    <row r="5346" spans="3:3" x14ac:dyDescent="0.25">
      <c r="C5346" s="4"/>
    </row>
    <row r="5347" spans="3:3" x14ac:dyDescent="0.25">
      <c r="C5347" s="4"/>
    </row>
    <row r="5348" spans="3:3" x14ac:dyDescent="0.25">
      <c r="C5348" s="4"/>
    </row>
    <row r="5349" spans="3:3" x14ac:dyDescent="0.25">
      <c r="C5349" s="4"/>
    </row>
    <row r="5350" spans="3:3" x14ac:dyDescent="0.25">
      <c r="C5350" s="4"/>
    </row>
    <row r="5351" spans="3:3" x14ac:dyDescent="0.25">
      <c r="C5351" s="4"/>
    </row>
    <row r="5352" spans="3:3" x14ac:dyDescent="0.25">
      <c r="C5352" s="4"/>
    </row>
    <row r="5353" spans="3:3" x14ac:dyDescent="0.25">
      <c r="C5353" s="4"/>
    </row>
    <row r="5354" spans="3:3" x14ac:dyDescent="0.25">
      <c r="C5354" s="4"/>
    </row>
    <row r="5355" spans="3:3" x14ac:dyDescent="0.25">
      <c r="C5355" s="4"/>
    </row>
    <row r="5356" spans="3:3" x14ac:dyDescent="0.25">
      <c r="C5356" s="4"/>
    </row>
    <row r="5357" spans="3:3" x14ac:dyDescent="0.25">
      <c r="C5357" s="4"/>
    </row>
    <row r="5358" spans="3:3" x14ac:dyDescent="0.25">
      <c r="C5358" s="4"/>
    </row>
    <row r="5359" spans="3:3" x14ac:dyDescent="0.25">
      <c r="C5359" s="4"/>
    </row>
    <row r="5360" spans="3:3" x14ac:dyDescent="0.25">
      <c r="C5360" s="4"/>
    </row>
    <row r="5361" spans="3:3" x14ac:dyDescent="0.25">
      <c r="C5361" s="4"/>
    </row>
    <row r="5362" spans="3:3" x14ac:dyDescent="0.25">
      <c r="C5362" s="4"/>
    </row>
    <row r="5363" spans="3:3" x14ac:dyDescent="0.25">
      <c r="C5363" s="4"/>
    </row>
    <row r="5364" spans="3:3" x14ac:dyDescent="0.25">
      <c r="C5364" s="4"/>
    </row>
    <row r="5365" spans="3:3" x14ac:dyDescent="0.25">
      <c r="C5365" s="4"/>
    </row>
    <row r="5366" spans="3:3" x14ac:dyDescent="0.25">
      <c r="C5366" s="4"/>
    </row>
    <row r="5367" spans="3:3" x14ac:dyDescent="0.25">
      <c r="C5367" s="4"/>
    </row>
    <row r="5368" spans="3:3" x14ac:dyDescent="0.25">
      <c r="C5368" s="4"/>
    </row>
    <row r="5369" spans="3:3" x14ac:dyDescent="0.25">
      <c r="C5369" s="4"/>
    </row>
    <row r="5370" spans="3:3" x14ac:dyDescent="0.25">
      <c r="C5370" s="4"/>
    </row>
    <row r="5371" spans="3:3" x14ac:dyDescent="0.25">
      <c r="C5371" s="4"/>
    </row>
    <row r="5372" spans="3:3" x14ac:dyDescent="0.25">
      <c r="C5372" s="4"/>
    </row>
    <row r="5373" spans="3:3" x14ac:dyDescent="0.25">
      <c r="C5373" s="4"/>
    </row>
    <row r="5374" spans="3:3" x14ac:dyDescent="0.25">
      <c r="C5374" s="4"/>
    </row>
    <row r="5375" spans="3:3" x14ac:dyDescent="0.25">
      <c r="C5375" s="4"/>
    </row>
    <row r="5376" spans="3:3" x14ac:dyDescent="0.25">
      <c r="C5376" s="4"/>
    </row>
    <row r="5377" spans="3:3" x14ac:dyDescent="0.25">
      <c r="C5377" s="4"/>
    </row>
    <row r="5378" spans="3:3" x14ac:dyDescent="0.25">
      <c r="C5378" s="4"/>
    </row>
    <row r="5379" spans="3:3" x14ac:dyDescent="0.25">
      <c r="C5379" s="4"/>
    </row>
    <row r="5380" spans="3:3" x14ac:dyDescent="0.25">
      <c r="C5380" s="4"/>
    </row>
    <row r="5381" spans="3:3" x14ac:dyDescent="0.25">
      <c r="C5381" s="4"/>
    </row>
    <row r="5382" spans="3:3" x14ac:dyDescent="0.25">
      <c r="C5382" s="4"/>
    </row>
    <row r="5383" spans="3:3" x14ac:dyDescent="0.25">
      <c r="C5383" s="4"/>
    </row>
    <row r="5384" spans="3:3" x14ac:dyDescent="0.25">
      <c r="C5384" s="4"/>
    </row>
    <row r="5385" spans="3:3" x14ac:dyDescent="0.25">
      <c r="C5385" s="4"/>
    </row>
    <row r="5386" spans="3:3" x14ac:dyDescent="0.25">
      <c r="C5386" s="4"/>
    </row>
    <row r="5387" spans="3:3" x14ac:dyDescent="0.25">
      <c r="C5387" s="4"/>
    </row>
    <row r="5388" spans="3:3" x14ac:dyDescent="0.25">
      <c r="C5388" s="4"/>
    </row>
    <row r="5389" spans="3:3" x14ac:dyDescent="0.25">
      <c r="C5389" s="4"/>
    </row>
    <row r="5390" spans="3:3" x14ac:dyDescent="0.25">
      <c r="C5390" s="4"/>
    </row>
    <row r="5391" spans="3:3" x14ac:dyDescent="0.25">
      <c r="C5391" s="4"/>
    </row>
    <row r="5392" spans="3:3" x14ac:dyDescent="0.25">
      <c r="C5392" s="4"/>
    </row>
    <row r="5393" spans="3:3" x14ac:dyDescent="0.25">
      <c r="C5393" s="4"/>
    </row>
    <row r="5394" spans="3:3" x14ac:dyDescent="0.25">
      <c r="C5394" s="4"/>
    </row>
    <row r="5395" spans="3:3" x14ac:dyDescent="0.25">
      <c r="C5395" s="4"/>
    </row>
    <row r="5396" spans="3:3" x14ac:dyDescent="0.25">
      <c r="C5396" s="4"/>
    </row>
    <row r="5397" spans="3:3" x14ac:dyDescent="0.25">
      <c r="C5397" s="4"/>
    </row>
    <row r="5398" spans="3:3" x14ac:dyDescent="0.25">
      <c r="C5398" s="4"/>
    </row>
    <row r="5399" spans="3:3" x14ac:dyDescent="0.25">
      <c r="C5399" s="4"/>
    </row>
    <row r="5400" spans="3:3" x14ac:dyDescent="0.25">
      <c r="C5400" s="4"/>
    </row>
    <row r="5401" spans="3:3" x14ac:dyDescent="0.25">
      <c r="C5401" s="4"/>
    </row>
    <row r="5402" spans="3:3" x14ac:dyDescent="0.25">
      <c r="C5402" s="4"/>
    </row>
    <row r="5403" spans="3:3" x14ac:dyDescent="0.25">
      <c r="C5403" s="4"/>
    </row>
    <row r="5404" spans="3:3" x14ac:dyDescent="0.25">
      <c r="C5404" s="4"/>
    </row>
    <row r="5405" spans="3:3" x14ac:dyDescent="0.25">
      <c r="C5405" s="4"/>
    </row>
    <row r="5406" spans="3:3" x14ac:dyDescent="0.25">
      <c r="C5406" s="4"/>
    </row>
    <row r="5407" spans="3:3" x14ac:dyDescent="0.25">
      <c r="C5407" s="4"/>
    </row>
    <row r="5408" spans="3:3" x14ac:dyDescent="0.25">
      <c r="C5408" s="4"/>
    </row>
    <row r="5409" spans="3:3" x14ac:dyDescent="0.25">
      <c r="C5409" s="4"/>
    </row>
    <row r="5410" spans="3:3" x14ac:dyDescent="0.25">
      <c r="C5410" s="4"/>
    </row>
    <row r="5411" spans="3:3" x14ac:dyDescent="0.25">
      <c r="C5411" s="4"/>
    </row>
    <row r="5412" spans="3:3" x14ac:dyDescent="0.25">
      <c r="C5412" s="4"/>
    </row>
    <row r="5413" spans="3:3" x14ac:dyDescent="0.25">
      <c r="C5413" s="4"/>
    </row>
    <row r="5414" spans="3:3" x14ac:dyDescent="0.25">
      <c r="C5414" s="4"/>
    </row>
    <row r="5415" spans="3:3" x14ac:dyDescent="0.25">
      <c r="C5415" s="4"/>
    </row>
    <row r="5416" spans="3:3" x14ac:dyDescent="0.25">
      <c r="C5416" s="4"/>
    </row>
    <row r="5417" spans="3:3" x14ac:dyDescent="0.25">
      <c r="C5417" s="4"/>
    </row>
    <row r="5418" spans="3:3" x14ac:dyDescent="0.25">
      <c r="C5418" s="4"/>
    </row>
    <row r="5419" spans="3:3" x14ac:dyDescent="0.25">
      <c r="C5419" s="4"/>
    </row>
    <row r="5420" spans="3:3" x14ac:dyDescent="0.25">
      <c r="C5420" s="4"/>
    </row>
    <row r="5421" spans="3:3" x14ac:dyDescent="0.25">
      <c r="C5421" s="4"/>
    </row>
    <row r="5422" spans="3:3" x14ac:dyDescent="0.25">
      <c r="C5422" s="4"/>
    </row>
    <row r="5423" spans="3:3" x14ac:dyDescent="0.25">
      <c r="C5423" s="4"/>
    </row>
    <row r="5424" spans="3:3" x14ac:dyDescent="0.25">
      <c r="C5424" s="4"/>
    </row>
    <row r="5425" spans="3:3" x14ac:dyDescent="0.25">
      <c r="C5425" s="4"/>
    </row>
    <row r="5426" spans="3:3" x14ac:dyDescent="0.25">
      <c r="C5426" s="4"/>
    </row>
    <row r="5427" spans="3:3" x14ac:dyDescent="0.25">
      <c r="C5427" s="4"/>
    </row>
    <row r="5428" spans="3:3" x14ac:dyDescent="0.25">
      <c r="C5428" s="4"/>
    </row>
    <row r="5429" spans="3:3" x14ac:dyDescent="0.25">
      <c r="C5429" s="4"/>
    </row>
    <row r="5430" spans="3:3" x14ac:dyDescent="0.25">
      <c r="C5430" s="4"/>
    </row>
    <row r="5431" spans="3:3" x14ac:dyDescent="0.25">
      <c r="C5431" s="4"/>
    </row>
    <row r="5432" spans="3:3" x14ac:dyDescent="0.25">
      <c r="C5432" s="4"/>
    </row>
    <row r="5433" spans="3:3" x14ac:dyDescent="0.25">
      <c r="C5433" s="4"/>
    </row>
    <row r="5434" spans="3:3" x14ac:dyDescent="0.25">
      <c r="C5434" s="4"/>
    </row>
    <row r="5435" spans="3:3" x14ac:dyDescent="0.25">
      <c r="C5435" s="4"/>
    </row>
    <row r="5436" spans="3:3" x14ac:dyDescent="0.25">
      <c r="C5436" s="4"/>
    </row>
    <row r="5437" spans="3:3" x14ac:dyDescent="0.25">
      <c r="C5437" s="4"/>
    </row>
    <row r="5438" spans="3:3" x14ac:dyDescent="0.25">
      <c r="C5438" s="4"/>
    </row>
    <row r="5439" spans="3:3" x14ac:dyDescent="0.25">
      <c r="C5439" s="4"/>
    </row>
    <row r="5440" spans="3:3" x14ac:dyDescent="0.25">
      <c r="C5440" s="4"/>
    </row>
    <row r="5441" spans="3:3" x14ac:dyDescent="0.25">
      <c r="C5441" s="4"/>
    </row>
    <row r="5442" spans="3:3" x14ac:dyDescent="0.25">
      <c r="C5442" s="4"/>
    </row>
    <row r="5443" spans="3:3" x14ac:dyDescent="0.25">
      <c r="C5443" s="4"/>
    </row>
    <row r="5444" spans="3:3" x14ac:dyDescent="0.25">
      <c r="C5444" s="4"/>
    </row>
    <row r="5445" spans="3:3" x14ac:dyDescent="0.25">
      <c r="C5445" s="4"/>
    </row>
    <row r="5446" spans="3:3" x14ac:dyDescent="0.25">
      <c r="C5446" s="4"/>
    </row>
    <row r="5447" spans="3:3" x14ac:dyDescent="0.25">
      <c r="C5447" s="4"/>
    </row>
    <row r="5448" spans="3:3" x14ac:dyDescent="0.25">
      <c r="C5448" s="4"/>
    </row>
    <row r="5449" spans="3:3" x14ac:dyDescent="0.25">
      <c r="C5449" s="4"/>
    </row>
    <row r="5450" spans="3:3" x14ac:dyDescent="0.25">
      <c r="C5450" s="4"/>
    </row>
    <row r="5451" spans="3:3" x14ac:dyDescent="0.25">
      <c r="C5451" s="4"/>
    </row>
    <row r="5452" spans="3:3" x14ac:dyDescent="0.25">
      <c r="C5452" s="4"/>
    </row>
    <row r="5453" spans="3:3" x14ac:dyDescent="0.25">
      <c r="C5453" s="4"/>
    </row>
    <row r="5454" spans="3:3" x14ac:dyDescent="0.25">
      <c r="C5454" s="4"/>
    </row>
    <row r="5455" spans="3:3" x14ac:dyDescent="0.25">
      <c r="C5455" s="4"/>
    </row>
    <row r="5456" spans="3:3" x14ac:dyDescent="0.25">
      <c r="C5456" s="4"/>
    </row>
    <row r="5457" spans="3:3" x14ac:dyDescent="0.25">
      <c r="C5457" s="4"/>
    </row>
    <row r="5458" spans="3:3" x14ac:dyDescent="0.25">
      <c r="C5458" s="4"/>
    </row>
    <row r="5459" spans="3:3" x14ac:dyDescent="0.25">
      <c r="C5459" s="4"/>
    </row>
    <row r="5460" spans="3:3" x14ac:dyDescent="0.25">
      <c r="C5460" s="4"/>
    </row>
    <row r="5461" spans="3:3" x14ac:dyDescent="0.25">
      <c r="C5461" s="4"/>
    </row>
    <row r="5462" spans="3:3" x14ac:dyDescent="0.25">
      <c r="C5462" s="4"/>
    </row>
    <row r="5463" spans="3:3" x14ac:dyDescent="0.25">
      <c r="C5463" s="4"/>
    </row>
    <row r="5464" spans="3:3" x14ac:dyDescent="0.25">
      <c r="C5464" s="4"/>
    </row>
    <row r="5465" spans="3:3" x14ac:dyDescent="0.25">
      <c r="C5465" s="4"/>
    </row>
    <row r="5466" spans="3:3" x14ac:dyDescent="0.25">
      <c r="C5466" s="4"/>
    </row>
    <row r="5467" spans="3:3" x14ac:dyDescent="0.25">
      <c r="C5467" s="4"/>
    </row>
    <row r="5468" spans="3:3" x14ac:dyDescent="0.25">
      <c r="C5468" s="4"/>
    </row>
    <row r="5469" spans="3:3" x14ac:dyDescent="0.25">
      <c r="C5469" s="4"/>
    </row>
    <row r="5470" spans="3:3" x14ac:dyDescent="0.25">
      <c r="C5470" s="4"/>
    </row>
    <row r="5471" spans="3:3" x14ac:dyDescent="0.25">
      <c r="C5471" s="4"/>
    </row>
    <row r="5472" spans="3:3" x14ac:dyDescent="0.25">
      <c r="C5472" s="4"/>
    </row>
    <row r="5473" spans="3:3" x14ac:dyDescent="0.25">
      <c r="C5473" s="4"/>
    </row>
    <row r="5474" spans="3:3" x14ac:dyDescent="0.25">
      <c r="C5474" s="4"/>
    </row>
    <row r="5475" spans="3:3" x14ac:dyDescent="0.25">
      <c r="C5475" s="4"/>
    </row>
    <row r="5476" spans="3:3" x14ac:dyDescent="0.25">
      <c r="C5476" s="4"/>
    </row>
    <row r="5477" spans="3:3" x14ac:dyDescent="0.25">
      <c r="C5477" s="4"/>
    </row>
    <row r="5478" spans="3:3" x14ac:dyDescent="0.25">
      <c r="C5478" s="4"/>
    </row>
    <row r="5479" spans="3:3" x14ac:dyDescent="0.25">
      <c r="C5479" s="4"/>
    </row>
    <row r="5480" spans="3:3" x14ac:dyDescent="0.25">
      <c r="C5480" s="4"/>
    </row>
    <row r="5481" spans="3:3" x14ac:dyDescent="0.25">
      <c r="C5481" s="4"/>
    </row>
    <row r="5482" spans="3:3" x14ac:dyDescent="0.25">
      <c r="C5482" s="4"/>
    </row>
    <row r="5483" spans="3:3" x14ac:dyDescent="0.25">
      <c r="C5483" s="4"/>
    </row>
    <row r="5484" spans="3:3" x14ac:dyDescent="0.25">
      <c r="C5484" s="4"/>
    </row>
    <row r="5485" spans="3:3" x14ac:dyDescent="0.25">
      <c r="C5485" s="4"/>
    </row>
    <row r="5486" spans="3:3" x14ac:dyDescent="0.25">
      <c r="C5486" s="4"/>
    </row>
    <row r="5487" spans="3:3" x14ac:dyDescent="0.25">
      <c r="C5487" s="4"/>
    </row>
    <row r="5488" spans="3:3" x14ac:dyDescent="0.25">
      <c r="C5488" s="4"/>
    </row>
    <row r="5489" spans="3:3" x14ac:dyDescent="0.25">
      <c r="C5489" s="4"/>
    </row>
    <row r="5490" spans="3:3" x14ac:dyDescent="0.25">
      <c r="C5490" s="4"/>
    </row>
    <row r="5491" spans="3:3" x14ac:dyDescent="0.25">
      <c r="C5491" s="4"/>
    </row>
    <row r="5492" spans="3:3" x14ac:dyDescent="0.25">
      <c r="C5492" s="4"/>
    </row>
    <row r="5493" spans="3:3" x14ac:dyDescent="0.25">
      <c r="C5493" s="4"/>
    </row>
    <row r="5494" spans="3:3" x14ac:dyDescent="0.25">
      <c r="C5494" s="4"/>
    </row>
    <row r="5495" spans="3:3" x14ac:dyDescent="0.25">
      <c r="C5495" s="4"/>
    </row>
    <row r="5496" spans="3:3" x14ac:dyDescent="0.25">
      <c r="C5496" s="4"/>
    </row>
    <row r="5497" spans="3:3" x14ac:dyDescent="0.25">
      <c r="C5497" s="4"/>
    </row>
    <row r="5498" spans="3:3" x14ac:dyDescent="0.25">
      <c r="C5498" s="4"/>
    </row>
    <row r="5499" spans="3:3" x14ac:dyDescent="0.25">
      <c r="C5499" s="4"/>
    </row>
    <row r="5500" spans="3:3" x14ac:dyDescent="0.25">
      <c r="C5500" s="4"/>
    </row>
    <row r="5501" spans="3:3" x14ac:dyDescent="0.25">
      <c r="C5501" s="4"/>
    </row>
    <row r="5502" spans="3:3" x14ac:dyDescent="0.25">
      <c r="C5502" s="4"/>
    </row>
    <row r="5503" spans="3:3" x14ac:dyDescent="0.25">
      <c r="C5503" s="4"/>
    </row>
    <row r="5504" spans="3:3" x14ac:dyDescent="0.25">
      <c r="C5504" s="4"/>
    </row>
    <row r="5505" spans="3:3" x14ac:dyDescent="0.25">
      <c r="C5505" s="4"/>
    </row>
    <row r="5506" spans="3:3" x14ac:dyDescent="0.25">
      <c r="C5506" s="4"/>
    </row>
    <row r="5507" spans="3:3" x14ac:dyDescent="0.25">
      <c r="C5507" s="4"/>
    </row>
    <row r="5508" spans="3:3" x14ac:dyDescent="0.25">
      <c r="C5508" s="4"/>
    </row>
    <row r="5509" spans="3:3" x14ac:dyDescent="0.25">
      <c r="C5509" s="4"/>
    </row>
    <row r="5510" spans="3:3" x14ac:dyDescent="0.25">
      <c r="C5510" s="4"/>
    </row>
    <row r="5511" spans="3:3" x14ac:dyDescent="0.25">
      <c r="C5511" s="4"/>
    </row>
    <row r="5512" spans="3:3" x14ac:dyDescent="0.25">
      <c r="C5512" s="4"/>
    </row>
    <row r="5513" spans="3:3" x14ac:dyDescent="0.25">
      <c r="C5513" s="4"/>
    </row>
    <row r="5514" spans="3:3" x14ac:dyDescent="0.25">
      <c r="C5514" s="4"/>
    </row>
    <row r="5515" spans="3:3" x14ac:dyDescent="0.25">
      <c r="C5515" s="4"/>
    </row>
    <row r="5516" spans="3:3" x14ac:dyDescent="0.25">
      <c r="C5516" s="4"/>
    </row>
    <row r="5517" spans="3:3" x14ac:dyDescent="0.25">
      <c r="C5517" s="4"/>
    </row>
    <row r="5518" spans="3:3" x14ac:dyDescent="0.25">
      <c r="C5518" s="4"/>
    </row>
    <row r="5519" spans="3:3" x14ac:dyDescent="0.25">
      <c r="C5519" s="4"/>
    </row>
    <row r="5520" spans="3:3" x14ac:dyDescent="0.25">
      <c r="C5520" s="4"/>
    </row>
    <row r="5521" spans="3:3" x14ac:dyDescent="0.25">
      <c r="C5521" s="4"/>
    </row>
    <row r="5522" spans="3:3" x14ac:dyDescent="0.25">
      <c r="C5522" s="4"/>
    </row>
    <row r="5523" spans="3:3" x14ac:dyDescent="0.25">
      <c r="C5523" s="4"/>
    </row>
    <row r="5524" spans="3:3" x14ac:dyDescent="0.25">
      <c r="C5524" s="4"/>
    </row>
    <row r="5525" spans="3:3" x14ac:dyDescent="0.25">
      <c r="C5525" s="4"/>
    </row>
    <row r="5526" spans="3:3" x14ac:dyDescent="0.25">
      <c r="C5526" s="4"/>
    </row>
    <row r="5527" spans="3:3" x14ac:dyDescent="0.25">
      <c r="C5527" s="4"/>
    </row>
    <row r="5528" spans="3:3" x14ac:dyDescent="0.25">
      <c r="C5528" s="4"/>
    </row>
    <row r="5529" spans="3:3" x14ac:dyDescent="0.25">
      <c r="C5529" s="4"/>
    </row>
    <row r="5530" spans="3:3" x14ac:dyDescent="0.25">
      <c r="C5530" s="4"/>
    </row>
    <row r="5531" spans="3:3" x14ac:dyDescent="0.25">
      <c r="C5531" s="4"/>
    </row>
    <row r="5532" spans="3:3" x14ac:dyDescent="0.25">
      <c r="C5532" s="4"/>
    </row>
    <row r="5533" spans="3:3" x14ac:dyDescent="0.25">
      <c r="C5533" s="4"/>
    </row>
    <row r="5534" spans="3:3" x14ac:dyDescent="0.25">
      <c r="C5534" s="4"/>
    </row>
    <row r="5535" spans="3:3" x14ac:dyDescent="0.25">
      <c r="C5535" s="4"/>
    </row>
    <row r="5536" spans="3:3" x14ac:dyDescent="0.25">
      <c r="C5536" s="4"/>
    </row>
    <row r="5537" spans="3:3" x14ac:dyDescent="0.25">
      <c r="C5537" s="4"/>
    </row>
    <row r="5538" spans="3:3" x14ac:dyDescent="0.25">
      <c r="C5538" s="4"/>
    </row>
    <row r="5539" spans="3:3" x14ac:dyDescent="0.25">
      <c r="C5539" s="4"/>
    </row>
    <row r="5540" spans="3:3" x14ac:dyDescent="0.25">
      <c r="C5540" s="4"/>
    </row>
    <row r="5541" spans="3:3" x14ac:dyDescent="0.25">
      <c r="C5541" s="4"/>
    </row>
    <row r="5542" spans="3:3" x14ac:dyDescent="0.25">
      <c r="C5542" s="4"/>
    </row>
    <row r="5543" spans="3:3" x14ac:dyDescent="0.25">
      <c r="C5543" s="4"/>
    </row>
    <row r="5544" spans="3:3" x14ac:dyDescent="0.25">
      <c r="C5544" s="4"/>
    </row>
    <row r="5545" spans="3:3" x14ac:dyDescent="0.25">
      <c r="C5545" s="4"/>
    </row>
    <row r="5546" spans="3:3" x14ac:dyDescent="0.25">
      <c r="C5546" s="4"/>
    </row>
    <row r="5547" spans="3:3" x14ac:dyDescent="0.25">
      <c r="C5547" s="4"/>
    </row>
    <row r="5548" spans="3:3" x14ac:dyDescent="0.25">
      <c r="C5548" s="4"/>
    </row>
    <row r="5549" spans="3:3" x14ac:dyDescent="0.25">
      <c r="C5549" s="4"/>
    </row>
    <row r="5550" spans="3:3" x14ac:dyDescent="0.25">
      <c r="C5550" s="4"/>
    </row>
    <row r="5551" spans="3:3" x14ac:dyDescent="0.25">
      <c r="C5551" s="4"/>
    </row>
    <row r="5552" spans="3:3" x14ac:dyDescent="0.25">
      <c r="C5552" s="4"/>
    </row>
    <row r="5553" spans="3:3" x14ac:dyDescent="0.25">
      <c r="C5553" s="4"/>
    </row>
    <row r="5554" spans="3:3" x14ac:dyDescent="0.25">
      <c r="C5554" s="4"/>
    </row>
    <row r="5555" spans="3:3" x14ac:dyDescent="0.25">
      <c r="C5555" s="4"/>
    </row>
    <row r="5556" spans="3:3" x14ac:dyDescent="0.25">
      <c r="C5556" s="4"/>
    </row>
    <row r="5557" spans="3:3" x14ac:dyDescent="0.25">
      <c r="C5557" s="4"/>
    </row>
    <row r="5558" spans="3:3" x14ac:dyDescent="0.25">
      <c r="C5558" s="4"/>
    </row>
    <row r="5559" spans="3:3" x14ac:dyDescent="0.25">
      <c r="C5559" s="4"/>
    </row>
    <row r="5560" spans="3:3" x14ac:dyDescent="0.25">
      <c r="C5560" s="4"/>
    </row>
    <row r="5561" spans="3:3" x14ac:dyDescent="0.25">
      <c r="C5561" s="4"/>
    </row>
    <row r="5562" spans="3:3" x14ac:dyDescent="0.25">
      <c r="C5562" s="4"/>
    </row>
    <row r="5563" spans="3:3" x14ac:dyDescent="0.25">
      <c r="C5563" s="4"/>
    </row>
    <row r="5564" spans="3:3" x14ac:dyDescent="0.25">
      <c r="C5564" s="4"/>
    </row>
    <row r="5565" spans="3:3" x14ac:dyDescent="0.25">
      <c r="C5565" s="4"/>
    </row>
    <row r="5566" spans="3:3" x14ac:dyDescent="0.25">
      <c r="C5566" s="4"/>
    </row>
    <row r="5567" spans="3:3" x14ac:dyDescent="0.25">
      <c r="C5567" s="4"/>
    </row>
    <row r="5568" spans="3:3" x14ac:dyDescent="0.25">
      <c r="C5568" s="4"/>
    </row>
    <row r="5569" spans="3:3" x14ac:dyDescent="0.25">
      <c r="C5569" s="4"/>
    </row>
    <row r="5570" spans="3:3" x14ac:dyDescent="0.25">
      <c r="C5570" s="4"/>
    </row>
    <row r="5571" spans="3:3" x14ac:dyDescent="0.25">
      <c r="C5571" s="4"/>
    </row>
    <row r="5572" spans="3:3" x14ac:dyDescent="0.25">
      <c r="C5572" s="4"/>
    </row>
    <row r="5573" spans="3:3" x14ac:dyDescent="0.25">
      <c r="C5573" s="4"/>
    </row>
    <row r="5574" spans="3:3" x14ac:dyDescent="0.25">
      <c r="C5574" s="4"/>
    </row>
    <row r="5575" spans="3:3" x14ac:dyDescent="0.25">
      <c r="C5575" s="4"/>
    </row>
    <row r="5576" spans="3:3" x14ac:dyDescent="0.25">
      <c r="C5576" s="4"/>
    </row>
    <row r="5577" spans="3:3" x14ac:dyDescent="0.25">
      <c r="C5577" s="4"/>
    </row>
    <row r="5578" spans="3:3" x14ac:dyDescent="0.25">
      <c r="C5578" s="4"/>
    </row>
    <row r="5579" spans="3:3" x14ac:dyDescent="0.25">
      <c r="C5579" s="4"/>
    </row>
    <row r="5580" spans="3:3" x14ac:dyDescent="0.25">
      <c r="C5580" s="4"/>
    </row>
    <row r="5581" spans="3:3" x14ac:dyDescent="0.25">
      <c r="C5581" s="4"/>
    </row>
    <row r="5582" spans="3:3" x14ac:dyDescent="0.25">
      <c r="C5582" s="4"/>
    </row>
    <row r="5583" spans="3:3" x14ac:dyDescent="0.25">
      <c r="C5583" s="4"/>
    </row>
    <row r="5584" spans="3:3" x14ac:dyDescent="0.25">
      <c r="C5584" s="4"/>
    </row>
    <row r="5585" spans="3:3" x14ac:dyDescent="0.25">
      <c r="C5585" s="4"/>
    </row>
    <row r="5586" spans="3:3" x14ac:dyDescent="0.25">
      <c r="C5586" s="4"/>
    </row>
    <row r="5587" spans="3:3" x14ac:dyDescent="0.25">
      <c r="C5587" s="4"/>
    </row>
    <row r="5588" spans="3:3" x14ac:dyDescent="0.25">
      <c r="C5588" s="4"/>
    </row>
    <row r="5589" spans="3:3" x14ac:dyDescent="0.25">
      <c r="C5589" s="4"/>
    </row>
    <row r="5590" spans="3:3" x14ac:dyDescent="0.25">
      <c r="C5590" s="4"/>
    </row>
    <row r="5591" spans="3:3" x14ac:dyDescent="0.25">
      <c r="C5591" s="4"/>
    </row>
    <row r="5592" spans="3:3" x14ac:dyDescent="0.25">
      <c r="C5592" s="4"/>
    </row>
    <row r="5593" spans="3:3" x14ac:dyDescent="0.25">
      <c r="C5593" s="4"/>
    </row>
    <row r="5594" spans="3:3" x14ac:dyDescent="0.25">
      <c r="C5594" s="4"/>
    </row>
    <row r="5595" spans="3:3" x14ac:dyDescent="0.25">
      <c r="C5595" s="4"/>
    </row>
    <row r="5596" spans="3:3" x14ac:dyDescent="0.25">
      <c r="C5596" s="4"/>
    </row>
    <row r="5597" spans="3:3" x14ac:dyDescent="0.25">
      <c r="C5597" s="4"/>
    </row>
    <row r="5598" spans="3:3" x14ac:dyDescent="0.25">
      <c r="C5598" s="4"/>
    </row>
    <row r="5599" spans="3:3" x14ac:dyDescent="0.25">
      <c r="C5599" s="4"/>
    </row>
    <row r="5600" spans="3:3" x14ac:dyDescent="0.25">
      <c r="C5600" s="4"/>
    </row>
    <row r="5601" spans="3:3" x14ac:dyDescent="0.25">
      <c r="C5601" s="4"/>
    </row>
    <row r="5602" spans="3:3" x14ac:dyDescent="0.25">
      <c r="C5602" s="4"/>
    </row>
    <row r="5603" spans="3:3" x14ac:dyDescent="0.25">
      <c r="C5603" s="4"/>
    </row>
    <row r="5604" spans="3:3" x14ac:dyDescent="0.25">
      <c r="C5604" s="4"/>
    </row>
    <row r="5605" spans="3:3" x14ac:dyDescent="0.25">
      <c r="C5605" s="4"/>
    </row>
    <row r="5606" spans="3:3" x14ac:dyDescent="0.25">
      <c r="C5606" s="4"/>
    </row>
    <row r="5607" spans="3:3" x14ac:dyDescent="0.25">
      <c r="C5607" s="4"/>
    </row>
    <row r="5608" spans="3:3" x14ac:dyDescent="0.25">
      <c r="C5608" s="4"/>
    </row>
    <row r="5609" spans="3:3" x14ac:dyDescent="0.25">
      <c r="C5609" s="4"/>
    </row>
    <row r="5610" spans="3:3" x14ac:dyDescent="0.25">
      <c r="C5610" s="4"/>
    </row>
    <row r="5611" spans="3:3" x14ac:dyDescent="0.25">
      <c r="C5611" s="4"/>
    </row>
    <row r="5612" spans="3:3" x14ac:dyDescent="0.25">
      <c r="C5612" s="4"/>
    </row>
    <row r="5613" spans="3:3" x14ac:dyDescent="0.25">
      <c r="C5613" s="4"/>
    </row>
    <row r="5614" spans="3:3" x14ac:dyDescent="0.25">
      <c r="C5614" s="4"/>
    </row>
    <row r="5615" spans="3:3" x14ac:dyDescent="0.25">
      <c r="C5615" s="4"/>
    </row>
    <row r="5616" spans="3:3" x14ac:dyDescent="0.25">
      <c r="C5616" s="4"/>
    </row>
    <row r="5617" spans="3:3" x14ac:dyDescent="0.25">
      <c r="C5617" s="4"/>
    </row>
    <row r="5618" spans="3:3" x14ac:dyDescent="0.25">
      <c r="C5618" s="4"/>
    </row>
    <row r="5619" spans="3:3" x14ac:dyDescent="0.25">
      <c r="C5619" s="4"/>
    </row>
    <row r="5620" spans="3:3" x14ac:dyDescent="0.25">
      <c r="C5620" s="4"/>
    </row>
    <row r="5621" spans="3:3" x14ac:dyDescent="0.25">
      <c r="C5621" s="4"/>
    </row>
    <row r="5622" spans="3:3" x14ac:dyDescent="0.25">
      <c r="C5622" s="4"/>
    </row>
    <row r="5623" spans="3:3" x14ac:dyDescent="0.25">
      <c r="C5623" s="4"/>
    </row>
    <row r="5624" spans="3:3" x14ac:dyDescent="0.25">
      <c r="C5624" s="4"/>
    </row>
    <row r="5625" spans="3:3" x14ac:dyDescent="0.25">
      <c r="C5625" s="4"/>
    </row>
    <row r="5626" spans="3:3" x14ac:dyDescent="0.25">
      <c r="C5626" s="4"/>
    </row>
    <row r="5627" spans="3:3" x14ac:dyDescent="0.25">
      <c r="C5627" s="4"/>
    </row>
    <row r="5628" spans="3:3" x14ac:dyDescent="0.25">
      <c r="C5628" s="4"/>
    </row>
    <row r="5629" spans="3:3" x14ac:dyDescent="0.25">
      <c r="C5629" s="4"/>
    </row>
    <row r="5630" spans="3:3" x14ac:dyDescent="0.25">
      <c r="C5630" s="4"/>
    </row>
    <row r="5631" spans="3:3" x14ac:dyDescent="0.25">
      <c r="C5631" s="4"/>
    </row>
    <row r="5632" spans="3:3" x14ac:dyDescent="0.25">
      <c r="C5632" s="4"/>
    </row>
    <row r="5633" spans="3:3" x14ac:dyDescent="0.25">
      <c r="C5633" s="4"/>
    </row>
    <row r="5634" spans="3:3" x14ac:dyDescent="0.25">
      <c r="C5634" s="4"/>
    </row>
    <row r="5635" spans="3:3" x14ac:dyDescent="0.25">
      <c r="C5635" s="4"/>
    </row>
    <row r="5636" spans="3:3" x14ac:dyDescent="0.25">
      <c r="C5636" s="4"/>
    </row>
    <row r="5637" spans="3:3" x14ac:dyDescent="0.25">
      <c r="C5637" s="4"/>
    </row>
    <row r="5638" spans="3:3" x14ac:dyDescent="0.25">
      <c r="C5638" s="4"/>
    </row>
    <row r="5639" spans="3:3" x14ac:dyDescent="0.25">
      <c r="C5639" s="4"/>
    </row>
    <row r="5640" spans="3:3" x14ac:dyDescent="0.25">
      <c r="C5640" s="4"/>
    </row>
    <row r="5641" spans="3:3" x14ac:dyDescent="0.25">
      <c r="C5641" s="4"/>
    </row>
    <row r="5642" spans="3:3" x14ac:dyDescent="0.25">
      <c r="C5642" s="4"/>
    </row>
    <row r="5643" spans="3:3" x14ac:dyDescent="0.25">
      <c r="C5643" s="4"/>
    </row>
    <row r="5644" spans="3:3" x14ac:dyDescent="0.25">
      <c r="C5644" s="4"/>
    </row>
    <row r="5645" spans="3:3" x14ac:dyDescent="0.25">
      <c r="C5645" s="4"/>
    </row>
    <row r="5646" spans="3:3" x14ac:dyDescent="0.25">
      <c r="C5646" s="4"/>
    </row>
    <row r="5647" spans="3:3" x14ac:dyDescent="0.25">
      <c r="C5647" s="4"/>
    </row>
    <row r="5648" spans="3:3" x14ac:dyDescent="0.25">
      <c r="C5648" s="4"/>
    </row>
    <row r="5649" spans="3:3" x14ac:dyDescent="0.25">
      <c r="C5649" s="4"/>
    </row>
    <row r="5650" spans="3:3" x14ac:dyDescent="0.25">
      <c r="C5650" s="4"/>
    </row>
    <row r="5651" spans="3:3" x14ac:dyDescent="0.25">
      <c r="C5651" s="4"/>
    </row>
    <row r="5652" spans="3:3" x14ac:dyDescent="0.25">
      <c r="C5652" s="4"/>
    </row>
    <row r="5653" spans="3:3" x14ac:dyDescent="0.25">
      <c r="C5653" s="4"/>
    </row>
    <row r="5654" spans="3:3" x14ac:dyDescent="0.25">
      <c r="C5654" s="4"/>
    </row>
    <row r="5655" spans="3:3" x14ac:dyDescent="0.25">
      <c r="C5655" s="4"/>
    </row>
    <row r="5656" spans="3:3" x14ac:dyDescent="0.25">
      <c r="C5656" s="4"/>
    </row>
    <row r="5657" spans="3:3" x14ac:dyDescent="0.25">
      <c r="C5657" s="4"/>
    </row>
    <row r="5658" spans="3:3" x14ac:dyDescent="0.25">
      <c r="C5658" s="4"/>
    </row>
    <row r="5659" spans="3:3" x14ac:dyDescent="0.25">
      <c r="C5659" s="4"/>
    </row>
    <row r="5660" spans="3:3" x14ac:dyDescent="0.25">
      <c r="C5660" s="4"/>
    </row>
    <row r="5661" spans="3:3" x14ac:dyDescent="0.25">
      <c r="C5661" s="4"/>
    </row>
    <row r="5662" spans="3:3" x14ac:dyDescent="0.25">
      <c r="C5662" s="4"/>
    </row>
    <row r="5663" spans="3:3" x14ac:dyDescent="0.25">
      <c r="C5663" s="4"/>
    </row>
    <row r="5664" spans="3:3" x14ac:dyDescent="0.25">
      <c r="C5664" s="4"/>
    </row>
    <row r="5665" spans="3:3" x14ac:dyDescent="0.25">
      <c r="C5665" s="4"/>
    </row>
    <row r="5666" spans="3:3" x14ac:dyDescent="0.25">
      <c r="C5666" s="4"/>
    </row>
    <row r="5667" spans="3:3" x14ac:dyDescent="0.25">
      <c r="C5667" s="4"/>
    </row>
    <row r="5668" spans="3:3" x14ac:dyDescent="0.25">
      <c r="C5668" s="4"/>
    </row>
    <row r="5669" spans="3:3" x14ac:dyDescent="0.25">
      <c r="C5669" s="4"/>
    </row>
    <row r="5670" spans="3:3" x14ac:dyDescent="0.25">
      <c r="C5670" s="4"/>
    </row>
    <row r="5671" spans="3:3" x14ac:dyDescent="0.25">
      <c r="C5671" s="4"/>
    </row>
    <row r="5672" spans="3:3" x14ac:dyDescent="0.25">
      <c r="C5672" s="4"/>
    </row>
    <row r="5673" spans="3:3" x14ac:dyDescent="0.25">
      <c r="C5673" s="4"/>
    </row>
    <row r="5674" spans="3:3" x14ac:dyDescent="0.25">
      <c r="C5674" s="4"/>
    </row>
    <row r="5675" spans="3:3" x14ac:dyDescent="0.25">
      <c r="C5675" s="4"/>
    </row>
    <row r="5676" spans="3:3" x14ac:dyDescent="0.25">
      <c r="C5676" s="4"/>
    </row>
    <row r="5677" spans="3:3" x14ac:dyDescent="0.25">
      <c r="C5677" s="4"/>
    </row>
    <row r="5678" spans="3:3" x14ac:dyDescent="0.25">
      <c r="C5678" s="4"/>
    </row>
    <row r="5679" spans="3:3" x14ac:dyDescent="0.25">
      <c r="C5679" s="4"/>
    </row>
    <row r="5680" spans="3:3" x14ac:dyDescent="0.25">
      <c r="C5680" s="4"/>
    </row>
    <row r="5681" spans="3:3" x14ac:dyDescent="0.25">
      <c r="C5681" s="4"/>
    </row>
    <row r="5682" spans="3:3" x14ac:dyDescent="0.25">
      <c r="C5682" s="4"/>
    </row>
    <row r="5683" spans="3:3" x14ac:dyDescent="0.25">
      <c r="C5683" s="4"/>
    </row>
    <row r="5684" spans="3:3" x14ac:dyDescent="0.25">
      <c r="C5684" s="4"/>
    </row>
    <row r="5685" spans="3:3" x14ac:dyDescent="0.25">
      <c r="C5685" s="4"/>
    </row>
    <row r="5686" spans="3:3" x14ac:dyDescent="0.25">
      <c r="C5686" s="4"/>
    </row>
    <row r="5687" spans="3:3" x14ac:dyDescent="0.25">
      <c r="C5687" s="4"/>
    </row>
    <row r="5688" spans="3:3" x14ac:dyDescent="0.25">
      <c r="C5688" s="4"/>
    </row>
    <row r="5689" spans="3:3" x14ac:dyDescent="0.25">
      <c r="C5689" s="4"/>
    </row>
    <row r="5690" spans="3:3" x14ac:dyDescent="0.25">
      <c r="C5690" s="4"/>
    </row>
    <row r="5691" spans="3:3" x14ac:dyDescent="0.25">
      <c r="C5691" s="4"/>
    </row>
    <row r="5692" spans="3:3" x14ac:dyDescent="0.25">
      <c r="C5692" s="4"/>
    </row>
    <row r="5693" spans="3:3" x14ac:dyDescent="0.25">
      <c r="C5693" s="4"/>
    </row>
    <row r="5694" spans="3:3" x14ac:dyDescent="0.25">
      <c r="C5694" s="4"/>
    </row>
    <row r="5695" spans="3:3" x14ac:dyDescent="0.25">
      <c r="C5695" s="4"/>
    </row>
    <row r="5696" spans="3:3" x14ac:dyDescent="0.25">
      <c r="C5696" s="4"/>
    </row>
    <row r="5697" spans="3:3" x14ac:dyDescent="0.25">
      <c r="C5697" s="4"/>
    </row>
    <row r="5698" spans="3:3" x14ac:dyDescent="0.25">
      <c r="C5698" s="4"/>
    </row>
    <row r="5699" spans="3:3" x14ac:dyDescent="0.25">
      <c r="C5699" s="4"/>
    </row>
    <row r="5700" spans="3:3" x14ac:dyDescent="0.25">
      <c r="C5700" s="4"/>
    </row>
    <row r="5701" spans="3:3" x14ac:dyDescent="0.25">
      <c r="C5701" s="4"/>
    </row>
    <row r="5702" spans="3:3" x14ac:dyDescent="0.25">
      <c r="C5702" s="4"/>
    </row>
    <row r="5703" spans="3:3" x14ac:dyDescent="0.25">
      <c r="C5703" s="4"/>
    </row>
    <row r="5704" spans="3:3" x14ac:dyDescent="0.25">
      <c r="C5704" s="4"/>
    </row>
    <row r="5705" spans="3:3" x14ac:dyDescent="0.25">
      <c r="C5705" s="4"/>
    </row>
    <row r="5706" spans="3:3" x14ac:dyDescent="0.25">
      <c r="C5706" s="4"/>
    </row>
    <row r="5707" spans="3:3" x14ac:dyDescent="0.25">
      <c r="C5707" s="4"/>
    </row>
    <row r="5708" spans="3:3" x14ac:dyDescent="0.25">
      <c r="C5708" s="4"/>
    </row>
    <row r="5709" spans="3:3" x14ac:dyDescent="0.25">
      <c r="C5709" s="4"/>
    </row>
    <row r="5710" spans="3:3" x14ac:dyDescent="0.25">
      <c r="C5710" s="4"/>
    </row>
    <row r="5711" spans="3:3" x14ac:dyDescent="0.25">
      <c r="C5711" s="4"/>
    </row>
    <row r="5712" spans="3:3" x14ac:dyDescent="0.25">
      <c r="C5712" s="4"/>
    </row>
    <row r="5713" spans="3:3" x14ac:dyDescent="0.25">
      <c r="C5713" s="4"/>
    </row>
    <row r="5714" spans="3:3" x14ac:dyDescent="0.25">
      <c r="C5714" s="4"/>
    </row>
    <row r="5715" spans="3:3" x14ac:dyDescent="0.25">
      <c r="C5715" s="4"/>
    </row>
    <row r="5716" spans="3:3" x14ac:dyDescent="0.25">
      <c r="C5716" s="4"/>
    </row>
    <row r="5717" spans="3:3" x14ac:dyDescent="0.25">
      <c r="C5717" s="4"/>
    </row>
    <row r="5718" spans="3:3" x14ac:dyDescent="0.25">
      <c r="C5718" s="4"/>
    </row>
    <row r="5719" spans="3:3" x14ac:dyDescent="0.25">
      <c r="C5719" s="4"/>
    </row>
    <row r="5720" spans="3:3" x14ac:dyDescent="0.25">
      <c r="C5720" s="4"/>
    </row>
    <row r="5721" spans="3:3" x14ac:dyDescent="0.25">
      <c r="C5721" s="4"/>
    </row>
    <row r="5722" spans="3:3" x14ac:dyDescent="0.25">
      <c r="C5722" s="4"/>
    </row>
    <row r="5723" spans="3:3" x14ac:dyDescent="0.25">
      <c r="C5723" s="4"/>
    </row>
    <row r="5724" spans="3:3" x14ac:dyDescent="0.25">
      <c r="C5724" s="4"/>
    </row>
    <row r="5725" spans="3:3" x14ac:dyDescent="0.25">
      <c r="C5725" s="4"/>
    </row>
    <row r="5726" spans="3:3" x14ac:dyDescent="0.25">
      <c r="C5726" s="4"/>
    </row>
    <row r="5727" spans="3:3" x14ac:dyDescent="0.25">
      <c r="C5727" s="4"/>
    </row>
    <row r="5728" spans="3:3" x14ac:dyDescent="0.25">
      <c r="C5728" s="4"/>
    </row>
    <row r="5729" spans="3:3" x14ac:dyDescent="0.25">
      <c r="C5729" s="4"/>
    </row>
    <row r="5730" spans="3:3" x14ac:dyDescent="0.25">
      <c r="C5730" s="4"/>
    </row>
    <row r="5731" spans="3:3" x14ac:dyDescent="0.25">
      <c r="C5731" s="4"/>
    </row>
    <row r="5732" spans="3:3" x14ac:dyDescent="0.25">
      <c r="C5732" s="4"/>
    </row>
    <row r="5733" spans="3:3" x14ac:dyDescent="0.25">
      <c r="C5733" s="4"/>
    </row>
    <row r="5734" spans="3:3" x14ac:dyDescent="0.25">
      <c r="C5734" s="4"/>
    </row>
    <row r="5735" spans="3:3" x14ac:dyDescent="0.25">
      <c r="C5735" s="4"/>
    </row>
    <row r="5736" spans="3:3" x14ac:dyDescent="0.25">
      <c r="C5736" s="4"/>
    </row>
    <row r="5737" spans="3:3" x14ac:dyDescent="0.25">
      <c r="C5737" s="4"/>
    </row>
    <row r="5738" spans="3:3" x14ac:dyDescent="0.25">
      <c r="C5738" s="4"/>
    </row>
    <row r="5739" spans="3:3" x14ac:dyDescent="0.25">
      <c r="C5739" s="4"/>
    </row>
    <row r="5740" spans="3:3" x14ac:dyDescent="0.25">
      <c r="C5740" s="4"/>
    </row>
    <row r="5741" spans="3:3" x14ac:dyDescent="0.25">
      <c r="C5741" s="4"/>
    </row>
    <row r="5742" spans="3:3" x14ac:dyDescent="0.25">
      <c r="C5742" s="4"/>
    </row>
    <row r="5743" spans="3:3" x14ac:dyDescent="0.25">
      <c r="C5743" s="4"/>
    </row>
    <row r="5744" spans="3:3" x14ac:dyDescent="0.25">
      <c r="C5744" s="4"/>
    </row>
    <row r="5745" spans="3:3" x14ac:dyDescent="0.25">
      <c r="C5745" s="4"/>
    </row>
    <row r="5746" spans="3:3" x14ac:dyDescent="0.25">
      <c r="C5746" s="4"/>
    </row>
    <row r="5747" spans="3:3" x14ac:dyDescent="0.25">
      <c r="C5747" s="4"/>
    </row>
    <row r="5748" spans="3:3" x14ac:dyDescent="0.25">
      <c r="C5748" s="4"/>
    </row>
    <row r="5749" spans="3:3" x14ac:dyDescent="0.25">
      <c r="C5749" s="4"/>
    </row>
    <row r="5750" spans="3:3" x14ac:dyDescent="0.25">
      <c r="C5750" s="4"/>
    </row>
    <row r="5751" spans="3:3" x14ac:dyDescent="0.25">
      <c r="C5751" s="4"/>
    </row>
    <row r="5752" spans="3:3" x14ac:dyDescent="0.25">
      <c r="C5752" s="4"/>
    </row>
    <row r="5753" spans="3:3" x14ac:dyDescent="0.25">
      <c r="C5753" s="4"/>
    </row>
    <row r="5754" spans="3:3" x14ac:dyDescent="0.25">
      <c r="C5754" s="4"/>
    </row>
    <row r="5755" spans="3:3" x14ac:dyDescent="0.25">
      <c r="C5755" s="4"/>
    </row>
    <row r="5756" spans="3:3" x14ac:dyDescent="0.25">
      <c r="C5756" s="4"/>
    </row>
    <row r="5757" spans="3:3" x14ac:dyDescent="0.25">
      <c r="C5757" s="4"/>
    </row>
    <row r="5758" spans="3:3" x14ac:dyDescent="0.25">
      <c r="C5758" s="4"/>
    </row>
    <row r="5759" spans="3:3" x14ac:dyDescent="0.25">
      <c r="C5759" s="4"/>
    </row>
    <row r="5760" spans="3:3" x14ac:dyDescent="0.25">
      <c r="C5760" s="4"/>
    </row>
    <row r="5761" spans="3:3" x14ac:dyDescent="0.25">
      <c r="C5761" s="4"/>
    </row>
    <row r="5762" spans="3:3" x14ac:dyDescent="0.25">
      <c r="C5762" s="4"/>
    </row>
    <row r="5763" spans="3:3" x14ac:dyDescent="0.25">
      <c r="C5763" s="4"/>
    </row>
    <row r="5764" spans="3:3" x14ac:dyDescent="0.25">
      <c r="C5764" s="4"/>
    </row>
    <row r="5765" spans="3:3" x14ac:dyDescent="0.25">
      <c r="C5765" s="4"/>
    </row>
    <row r="5766" spans="3:3" x14ac:dyDescent="0.25">
      <c r="C5766" s="4"/>
    </row>
    <row r="5767" spans="3:3" x14ac:dyDescent="0.25">
      <c r="C5767" s="4"/>
    </row>
    <row r="5768" spans="3:3" x14ac:dyDescent="0.25">
      <c r="C5768" s="4"/>
    </row>
    <row r="5769" spans="3:3" x14ac:dyDescent="0.25">
      <c r="C5769" s="4"/>
    </row>
    <row r="5770" spans="3:3" x14ac:dyDescent="0.25">
      <c r="C5770" s="4"/>
    </row>
    <row r="5771" spans="3:3" x14ac:dyDescent="0.25">
      <c r="C5771" s="4"/>
    </row>
    <row r="5772" spans="3:3" x14ac:dyDescent="0.25">
      <c r="C5772" s="4"/>
    </row>
    <row r="5773" spans="3:3" x14ac:dyDescent="0.25">
      <c r="C5773" s="4"/>
    </row>
    <row r="5774" spans="3:3" x14ac:dyDescent="0.25">
      <c r="C5774" s="4"/>
    </row>
    <row r="5775" spans="3:3" x14ac:dyDescent="0.25">
      <c r="C5775" s="4"/>
    </row>
    <row r="5776" spans="3:3" x14ac:dyDescent="0.25">
      <c r="C5776" s="4"/>
    </row>
    <row r="5777" spans="3:3" x14ac:dyDescent="0.25">
      <c r="C5777" s="4"/>
    </row>
    <row r="5778" spans="3:3" x14ac:dyDescent="0.25">
      <c r="C5778" s="4"/>
    </row>
    <row r="5779" spans="3:3" x14ac:dyDescent="0.25">
      <c r="C5779" s="4"/>
    </row>
    <row r="5780" spans="3:3" x14ac:dyDescent="0.25">
      <c r="C5780" s="4"/>
    </row>
    <row r="5781" spans="3:3" x14ac:dyDescent="0.25">
      <c r="C5781" s="4"/>
    </row>
    <row r="5782" spans="3:3" x14ac:dyDescent="0.25">
      <c r="C5782" s="4"/>
    </row>
    <row r="5783" spans="3:3" x14ac:dyDescent="0.25">
      <c r="C5783" s="4"/>
    </row>
    <row r="5784" spans="3:3" x14ac:dyDescent="0.25">
      <c r="C5784" s="4"/>
    </row>
    <row r="5785" spans="3:3" x14ac:dyDescent="0.25">
      <c r="C5785" s="4"/>
    </row>
    <row r="5786" spans="3:3" x14ac:dyDescent="0.25">
      <c r="C5786" s="4"/>
    </row>
    <row r="5787" spans="3:3" x14ac:dyDescent="0.25">
      <c r="C5787" s="4"/>
    </row>
    <row r="5788" spans="3:3" x14ac:dyDescent="0.25">
      <c r="C5788" s="4"/>
    </row>
    <row r="5789" spans="3:3" x14ac:dyDescent="0.25">
      <c r="C5789" s="4"/>
    </row>
    <row r="5790" spans="3:3" x14ac:dyDescent="0.25">
      <c r="C5790" s="4"/>
    </row>
    <row r="5791" spans="3:3" x14ac:dyDescent="0.25">
      <c r="C5791" s="4"/>
    </row>
    <row r="5792" spans="3:3" x14ac:dyDescent="0.25">
      <c r="C5792" s="4"/>
    </row>
    <row r="5793" spans="3:3" x14ac:dyDescent="0.25">
      <c r="C5793" s="4"/>
    </row>
    <row r="5794" spans="3:3" x14ac:dyDescent="0.25">
      <c r="C5794" s="4"/>
    </row>
    <row r="5795" spans="3:3" x14ac:dyDescent="0.25">
      <c r="C5795" s="4"/>
    </row>
    <row r="5796" spans="3:3" x14ac:dyDescent="0.25">
      <c r="C5796" s="4"/>
    </row>
    <row r="5797" spans="3:3" x14ac:dyDescent="0.25">
      <c r="C5797" s="4"/>
    </row>
    <row r="5798" spans="3:3" x14ac:dyDescent="0.25">
      <c r="C5798" s="4"/>
    </row>
    <row r="5799" spans="3:3" x14ac:dyDescent="0.25">
      <c r="C5799" s="4"/>
    </row>
    <row r="5800" spans="3:3" x14ac:dyDescent="0.25">
      <c r="C5800" s="4"/>
    </row>
    <row r="5801" spans="3:3" x14ac:dyDescent="0.25">
      <c r="C5801" s="4"/>
    </row>
    <row r="5802" spans="3:3" x14ac:dyDescent="0.25">
      <c r="C5802" s="4"/>
    </row>
    <row r="5803" spans="3:3" x14ac:dyDescent="0.25">
      <c r="C5803" s="4"/>
    </row>
    <row r="5804" spans="3:3" x14ac:dyDescent="0.25">
      <c r="C5804" s="4"/>
    </row>
    <row r="5805" spans="3:3" x14ac:dyDescent="0.25">
      <c r="C5805" s="4"/>
    </row>
    <row r="5806" spans="3:3" x14ac:dyDescent="0.25">
      <c r="C5806" s="4"/>
    </row>
    <row r="5807" spans="3:3" x14ac:dyDescent="0.25">
      <c r="C5807" s="4"/>
    </row>
    <row r="5808" spans="3:3" x14ac:dyDescent="0.25">
      <c r="C5808" s="4"/>
    </row>
    <row r="5809" spans="3:3" x14ac:dyDescent="0.25">
      <c r="C5809" s="4"/>
    </row>
    <row r="5810" spans="3:3" x14ac:dyDescent="0.25">
      <c r="C5810" s="4"/>
    </row>
    <row r="5811" spans="3:3" x14ac:dyDescent="0.25">
      <c r="C5811" s="4"/>
    </row>
    <row r="5812" spans="3:3" x14ac:dyDescent="0.25">
      <c r="C5812" s="4"/>
    </row>
    <row r="5813" spans="3:3" x14ac:dyDescent="0.25">
      <c r="C5813" s="4"/>
    </row>
    <row r="5814" spans="3:3" x14ac:dyDescent="0.25">
      <c r="C5814" s="4"/>
    </row>
    <row r="5815" spans="3:3" x14ac:dyDescent="0.25">
      <c r="C5815" s="4"/>
    </row>
    <row r="5816" spans="3:3" x14ac:dyDescent="0.25">
      <c r="C5816" s="4"/>
    </row>
    <row r="5817" spans="3:3" x14ac:dyDescent="0.25">
      <c r="C5817" s="4"/>
    </row>
    <row r="5818" spans="3:3" x14ac:dyDescent="0.25">
      <c r="C5818" s="4"/>
    </row>
    <row r="5819" spans="3:3" x14ac:dyDescent="0.25">
      <c r="C5819" s="4"/>
    </row>
    <row r="5820" spans="3:3" x14ac:dyDescent="0.25">
      <c r="C5820" s="4"/>
    </row>
    <row r="5821" spans="3:3" x14ac:dyDescent="0.25">
      <c r="C5821" s="4"/>
    </row>
    <row r="5822" spans="3:3" x14ac:dyDescent="0.25">
      <c r="C5822" s="4"/>
    </row>
    <row r="5823" spans="3:3" x14ac:dyDescent="0.25">
      <c r="C5823" s="4"/>
    </row>
    <row r="5824" spans="3:3" x14ac:dyDescent="0.25">
      <c r="C5824" s="4"/>
    </row>
    <row r="5825" spans="3:3" x14ac:dyDescent="0.25">
      <c r="C5825" s="4"/>
    </row>
    <row r="5826" spans="3:3" x14ac:dyDescent="0.25">
      <c r="C5826" s="4"/>
    </row>
    <row r="5827" spans="3:3" x14ac:dyDescent="0.25">
      <c r="C5827" s="4"/>
    </row>
    <row r="5828" spans="3:3" x14ac:dyDescent="0.25">
      <c r="C5828" s="4"/>
    </row>
    <row r="5829" spans="3:3" x14ac:dyDescent="0.25">
      <c r="C5829" s="4"/>
    </row>
    <row r="5830" spans="3:3" x14ac:dyDescent="0.25">
      <c r="C5830" s="4"/>
    </row>
    <row r="5831" spans="3:3" x14ac:dyDescent="0.25">
      <c r="C5831" s="4"/>
    </row>
    <row r="5832" spans="3:3" x14ac:dyDescent="0.25">
      <c r="C5832" s="4"/>
    </row>
    <row r="5833" spans="3:3" x14ac:dyDescent="0.25">
      <c r="C5833" s="4"/>
    </row>
    <row r="5834" spans="3:3" x14ac:dyDescent="0.25">
      <c r="C5834" s="4"/>
    </row>
    <row r="5835" spans="3:3" x14ac:dyDescent="0.25">
      <c r="C5835" s="4"/>
    </row>
    <row r="5836" spans="3:3" x14ac:dyDescent="0.25">
      <c r="C5836" s="4"/>
    </row>
    <row r="5837" spans="3:3" x14ac:dyDescent="0.25">
      <c r="C5837" s="4"/>
    </row>
    <row r="5838" spans="3:3" x14ac:dyDescent="0.25">
      <c r="C5838" s="4"/>
    </row>
    <row r="5839" spans="3:3" x14ac:dyDescent="0.25">
      <c r="C5839" s="4"/>
    </row>
    <row r="5840" spans="3:3" x14ac:dyDescent="0.25">
      <c r="C5840" s="4"/>
    </row>
    <row r="5841" spans="3:3" x14ac:dyDescent="0.25">
      <c r="C5841" s="4"/>
    </row>
    <row r="5842" spans="3:3" x14ac:dyDescent="0.25">
      <c r="C5842" s="4"/>
    </row>
    <row r="5843" spans="3:3" x14ac:dyDescent="0.25">
      <c r="C5843" s="4"/>
    </row>
    <row r="5844" spans="3:3" x14ac:dyDescent="0.25">
      <c r="C5844" s="4"/>
    </row>
    <row r="5845" spans="3:3" x14ac:dyDescent="0.25">
      <c r="C5845" s="4"/>
    </row>
    <row r="5846" spans="3:3" x14ac:dyDescent="0.25">
      <c r="C5846" s="4"/>
    </row>
    <row r="5847" spans="3:3" x14ac:dyDescent="0.25">
      <c r="C5847" s="4"/>
    </row>
    <row r="5848" spans="3:3" x14ac:dyDescent="0.25">
      <c r="C5848" s="4"/>
    </row>
    <row r="5849" spans="3:3" x14ac:dyDescent="0.25">
      <c r="C5849" s="4"/>
    </row>
    <row r="5850" spans="3:3" x14ac:dyDescent="0.25">
      <c r="C5850" s="4"/>
    </row>
    <row r="5851" spans="3:3" x14ac:dyDescent="0.25">
      <c r="C5851" s="4"/>
    </row>
    <row r="5852" spans="3:3" x14ac:dyDescent="0.25">
      <c r="C5852" s="4"/>
    </row>
    <row r="5853" spans="3:3" x14ac:dyDescent="0.25">
      <c r="C5853" s="4"/>
    </row>
    <row r="5854" spans="3:3" x14ac:dyDescent="0.25">
      <c r="C5854" s="4"/>
    </row>
    <row r="5855" spans="3:3" x14ac:dyDescent="0.25">
      <c r="C5855" s="4"/>
    </row>
    <row r="5856" spans="3:3" x14ac:dyDescent="0.25">
      <c r="C5856" s="4"/>
    </row>
    <row r="5857" spans="3:3" x14ac:dyDescent="0.25">
      <c r="C5857" s="4"/>
    </row>
    <row r="5858" spans="3:3" x14ac:dyDescent="0.25">
      <c r="C5858" s="4"/>
    </row>
    <row r="5859" spans="3:3" x14ac:dyDescent="0.25">
      <c r="C5859" s="4"/>
    </row>
    <row r="5860" spans="3:3" x14ac:dyDescent="0.25">
      <c r="C5860" s="4"/>
    </row>
    <row r="5861" spans="3:3" x14ac:dyDescent="0.25">
      <c r="C5861" s="4"/>
    </row>
    <row r="5862" spans="3:3" x14ac:dyDescent="0.25">
      <c r="C5862" s="4"/>
    </row>
    <row r="5863" spans="3:3" x14ac:dyDescent="0.25">
      <c r="C5863" s="4"/>
    </row>
    <row r="5864" spans="3:3" x14ac:dyDescent="0.25">
      <c r="C5864" s="4"/>
    </row>
    <row r="5865" spans="3:3" x14ac:dyDescent="0.25">
      <c r="C5865" s="4"/>
    </row>
    <row r="5866" spans="3:3" x14ac:dyDescent="0.25">
      <c r="C5866" s="4"/>
    </row>
    <row r="5867" spans="3:3" x14ac:dyDescent="0.25">
      <c r="C5867" s="4"/>
    </row>
    <row r="5868" spans="3:3" x14ac:dyDescent="0.25">
      <c r="C5868" s="4"/>
    </row>
    <row r="5869" spans="3:3" x14ac:dyDescent="0.25">
      <c r="C5869" s="4"/>
    </row>
    <row r="5870" spans="3:3" x14ac:dyDescent="0.25">
      <c r="C5870" s="4"/>
    </row>
    <row r="5871" spans="3:3" x14ac:dyDescent="0.25">
      <c r="C5871" s="4"/>
    </row>
    <row r="5872" spans="3:3" x14ac:dyDescent="0.25">
      <c r="C5872" s="4"/>
    </row>
    <row r="5873" spans="3:3" x14ac:dyDescent="0.25">
      <c r="C5873" s="4"/>
    </row>
    <row r="5874" spans="3:3" x14ac:dyDescent="0.25">
      <c r="C5874" s="4"/>
    </row>
    <row r="5875" spans="3:3" x14ac:dyDescent="0.25">
      <c r="C5875" s="4"/>
    </row>
    <row r="5876" spans="3:3" x14ac:dyDescent="0.25">
      <c r="C5876" s="4"/>
    </row>
    <row r="5877" spans="3:3" x14ac:dyDescent="0.25">
      <c r="C5877" s="4"/>
    </row>
    <row r="5878" spans="3:3" x14ac:dyDescent="0.25">
      <c r="C5878" s="4"/>
    </row>
    <row r="5879" spans="3:3" x14ac:dyDescent="0.25">
      <c r="C5879" s="4"/>
    </row>
    <row r="5880" spans="3:3" x14ac:dyDescent="0.25">
      <c r="C5880" s="4"/>
    </row>
    <row r="5881" spans="3:3" x14ac:dyDescent="0.25">
      <c r="C5881" s="4"/>
    </row>
    <row r="5882" spans="3:3" x14ac:dyDescent="0.25">
      <c r="C5882" s="4"/>
    </row>
    <row r="5883" spans="3:3" x14ac:dyDescent="0.25">
      <c r="C5883" s="4"/>
    </row>
    <row r="5884" spans="3:3" x14ac:dyDescent="0.25">
      <c r="C5884" s="4"/>
    </row>
    <row r="5885" spans="3:3" x14ac:dyDescent="0.25">
      <c r="C5885" s="4"/>
    </row>
    <row r="5886" spans="3:3" x14ac:dyDescent="0.25">
      <c r="C5886" s="4"/>
    </row>
    <row r="5887" spans="3:3" x14ac:dyDescent="0.25">
      <c r="C5887" s="4"/>
    </row>
    <row r="5888" spans="3:3" x14ac:dyDescent="0.25">
      <c r="C5888" s="4"/>
    </row>
    <row r="5889" spans="3:3" x14ac:dyDescent="0.25">
      <c r="C5889" s="4"/>
    </row>
    <row r="5890" spans="3:3" x14ac:dyDescent="0.25">
      <c r="C5890" s="4"/>
    </row>
    <row r="5891" spans="3:3" x14ac:dyDescent="0.25">
      <c r="C5891" s="4"/>
    </row>
    <row r="5892" spans="3:3" x14ac:dyDescent="0.25">
      <c r="C5892" s="4"/>
    </row>
    <row r="5893" spans="3:3" x14ac:dyDescent="0.25">
      <c r="C5893" s="4"/>
    </row>
    <row r="5894" spans="3:3" x14ac:dyDescent="0.25">
      <c r="C5894" s="4"/>
    </row>
    <row r="5895" spans="3:3" x14ac:dyDescent="0.25">
      <c r="C5895" s="4"/>
    </row>
    <row r="5896" spans="3:3" x14ac:dyDescent="0.25">
      <c r="C5896" s="4"/>
    </row>
    <row r="5897" spans="3:3" x14ac:dyDescent="0.25">
      <c r="C5897" s="4"/>
    </row>
    <row r="5898" spans="3:3" x14ac:dyDescent="0.25">
      <c r="C5898" s="4"/>
    </row>
    <row r="5899" spans="3:3" x14ac:dyDescent="0.25">
      <c r="C5899" s="4"/>
    </row>
    <row r="5900" spans="3:3" x14ac:dyDescent="0.25">
      <c r="C5900" s="4"/>
    </row>
    <row r="5901" spans="3:3" x14ac:dyDescent="0.25">
      <c r="C5901" s="4"/>
    </row>
    <row r="5902" spans="3:3" x14ac:dyDescent="0.25">
      <c r="C5902" s="4"/>
    </row>
    <row r="5903" spans="3:3" x14ac:dyDescent="0.25">
      <c r="C5903" s="4"/>
    </row>
    <row r="5904" spans="3:3" x14ac:dyDescent="0.25">
      <c r="C5904" s="4"/>
    </row>
    <row r="5905" spans="3:3" x14ac:dyDescent="0.25">
      <c r="C5905" s="4"/>
    </row>
    <row r="5906" spans="3:3" x14ac:dyDescent="0.25">
      <c r="C5906" s="4"/>
    </row>
    <row r="5907" spans="3:3" x14ac:dyDescent="0.25">
      <c r="C5907" s="4"/>
    </row>
    <row r="5908" spans="3:3" x14ac:dyDescent="0.25">
      <c r="C5908" s="4"/>
    </row>
    <row r="5909" spans="3:3" x14ac:dyDescent="0.25">
      <c r="C5909" s="4"/>
    </row>
    <row r="5910" spans="3:3" x14ac:dyDescent="0.25">
      <c r="C5910" s="4"/>
    </row>
    <row r="5911" spans="3:3" x14ac:dyDescent="0.25">
      <c r="C5911" s="4"/>
    </row>
    <row r="5912" spans="3:3" x14ac:dyDescent="0.25">
      <c r="C5912" s="4"/>
    </row>
    <row r="5913" spans="3:3" x14ac:dyDescent="0.25">
      <c r="C5913" s="4"/>
    </row>
    <row r="5914" spans="3:3" x14ac:dyDescent="0.25">
      <c r="C5914" s="4"/>
    </row>
    <row r="5915" spans="3:3" x14ac:dyDescent="0.25">
      <c r="C5915" s="4"/>
    </row>
    <row r="5916" spans="3:3" x14ac:dyDescent="0.25">
      <c r="C5916" s="4"/>
    </row>
    <row r="5917" spans="3:3" x14ac:dyDescent="0.25">
      <c r="C5917" s="4"/>
    </row>
    <row r="5918" spans="3:3" x14ac:dyDescent="0.25">
      <c r="C5918" s="4"/>
    </row>
    <row r="5919" spans="3:3" x14ac:dyDescent="0.25">
      <c r="C5919" s="4"/>
    </row>
    <row r="5920" spans="3:3" x14ac:dyDescent="0.25">
      <c r="C5920" s="4"/>
    </row>
    <row r="5921" spans="3:3" x14ac:dyDescent="0.25">
      <c r="C5921" s="4"/>
    </row>
    <row r="5922" spans="3:3" x14ac:dyDescent="0.25">
      <c r="C5922" s="4"/>
    </row>
    <row r="5923" spans="3:3" x14ac:dyDescent="0.25">
      <c r="C5923" s="4"/>
    </row>
    <row r="5924" spans="3:3" x14ac:dyDescent="0.25">
      <c r="C5924" s="4"/>
    </row>
    <row r="5925" spans="3:3" x14ac:dyDescent="0.25">
      <c r="C5925" s="4"/>
    </row>
    <row r="5926" spans="3:3" x14ac:dyDescent="0.25">
      <c r="C5926" s="4"/>
    </row>
    <row r="5927" spans="3:3" x14ac:dyDescent="0.25">
      <c r="C5927" s="4"/>
    </row>
    <row r="5928" spans="3:3" x14ac:dyDescent="0.25">
      <c r="C5928" s="4"/>
    </row>
    <row r="5929" spans="3:3" x14ac:dyDescent="0.25">
      <c r="C5929" s="4"/>
    </row>
    <row r="5930" spans="3:3" x14ac:dyDescent="0.25">
      <c r="C5930" s="4"/>
    </row>
    <row r="5931" spans="3:3" x14ac:dyDescent="0.25">
      <c r="C5931" s="4"/>
    </row>
    <row r="5932" spans="3:3" x14ac:dyDescent="0.25">
      <c r="C5932" s="4"/>
    </row>
    <row r="5933" spans="3:3" x14ac:dyDescent="0.25">
      <c r="C5933" s="4"/>
    </row>
    <row r="5934" spans="3:3" x14ac:dyDescent="0.25">
      <c r="C5934" s="4"/>
    </row>
    <row r="5935" spans="3:3" x14ac:dyDescent="0.25">
      <c r="C5935" s="4"/>
    </row>
    <row r="5936" spans="3:3" x14ac:dyDescent="0.25">
      <c r="C5936" s="4"/>
    </row>
    <row r="5937" spans="3:3" x14ac:dyDescent="0.25">
      <c r="C5937" s="4"/>
    </row>
    <row r="5938" spans="3:3" x14ac:dyDescent="0.25">
      <c r="C5938" s="4"/>
    </row>
    <row r="5939" spans="3:3" x14ac:dyDescent="0.25">
      <c r="C5939" s="4"/>
    </row>
    <row r="5940" spans="3:3" x14ac:dyDescent="0.25">
      <c r="C5940" s="4"/>
    </row>
    <row r="5941" spans="3:3" x14ac:dyDescent="0.25">
      <c r="C5941" s="4"/>
    </row>
    <row r="5942" spans="3:3" x14ac:dyDescent="0.25">
      <c r="C5942" s="4"/>
    </row>
    <row r="5943" spans="3:3" x14ac:dyDescent="0.25">
      <c r="C5943" s="4"/>
    </row>
    <row r="5944" spans="3:3" x14ac:dyDescent="0.25">
      <c r="C5944" s="4"/>
    </row>
    <row r="5945" spans="3:3" x14ac:dyDescent="0.25">
      <c r="C5945" s="4"/>
    </row>
    <row r="5946" spans="3:3" x14ac:dyDescent="0.25">
      <c r="C5946" s="4"/>
    </row>
    <row r="5947" spans="3:3" x14ac:dyDescent="0.25">
      <c r="C5947" s="4"/>
    </row>
    <row r="5948" spans="3:3" x14ac:dyDescent="0.25">
      <c r="C5948" s="4"/>
    </row>
    <row r="5949" spans="3:3" x14ac:dyDescent="0.25">
      <c r="C5949" s="4"/>
    </row>
    <row r="5950" spans="3:3" x14ac:dyDescent="0.25">
      <c r="C5950" s="4"/>
    </row>
    <row r="5951" spans="3:3" x14ac:dyDescent="0.25">
      <c r="C5951" s="4"/>
    </row>
    <row r="5952" spans="3:3" x14ac:dyDescent="0.25">
      <c r="C5952" s="4"/>
    </row>
    <row r="5953" spans="3:3" x14ac:dyDescent="0.25">
      <c r="C5953" s="4"/>
    </row>
    <row r="5954" spans="3:3" x14ac:dyDescent="0.25">
      <c r="C5954" s="4"/>
    </row>
    <row r="5955" spans="3:3" x14ac:dyDescent="0.25">
      <c r="C5955" s="4"/>
    </row>
    <row r="5956" spans="3:3" x14ac:dyDescent="0.25">
      <c r="C5956" s="4"/>
    </row>
    <row r="5957" spans="3:3" x14ac:dyDescent="0.25">
      <c r="C5957" s="4"/>
    </row>
    <row r="5958" spans="3:3" x14ac:dyDescent="0.25">
      <c r="C5958" s="4"/>
    </row>
    <row r="5959" spans="3:3" x14ac:dyDescent="0.25">
      <c r="C5959" s="4"/>
    </row>
    <row r="5960" spans="3:3" x14ac:dyDescent="0.25">
      <c r="C5960" s="4"/>
    </row>
    <row r="5961" spans="3:3" x14ac:dyDescent="0.25">
      <c r="C5961" s="4"/>
    </row>
    <row r="5962" spans="3:3" x14ac:dyDescent="0.25">
      <c r="C5962" s="4"/>
    </row>
    <row r="5963" spans="3:3" x14ac:dyDescent="0.25">
      <c r="C5963" s="4"/>
    </row>
    <row r="5964" spans="3:3" x14ac:dyDescent="0.25">
      <c r="C5964" s="4"/>
    </row>
    <row r="5965" spans="3:3" x14ac:dyDescent="0.25">
      <c r="C5965" s="4"/>
    </row>
    <row r="5966" spans="3:3" x14ac:dyDescent="0.25">
      <c r="C5966" s="4"/>
    </row>
    <row r="5967" spans="3:3" x14ac:dyDescent="0.25">
      <c r="C5967" s="4"/>
    </row>
    <row r="5968" spans="3:3" x14ac:dyDescent="0.25">
      <c r="C5968" s="4"/>
    </row>
    <row r="5969" spans="3:3" x14ac:dyDescent="0.25">
      <c r="C5969" s="4"/>
    </row>
    <row r="5970" spans="3:3" x14ac:dyDescent="0.25">
      <c r="C5970" s="4"/>
    </row>
    <row r="5971" spans="3:3" x14ac:dyDescent="0.25">
      <c r="C5971" s="4"/>
    </row>
    <row r="5972" spans="3:3" x14ac:dyDescent="0.25">
      <c r="C5972" s="4"/>
    </row>
    <row r="5973" spans="3:3" x14ac:dyDescent="0.25">
      <c r="C5973" s="4"/>
    </row>
    <row r="5974" spans="3:3" x14ac:dyDescent="0.25">
      <c r="C5974" s="4"/>
    </row>
    <row r="5975" spans="3:3" x14ac:dyDescent="0.25">
      <c r="C5975" s="4"/>
    </row>
    <row r="5976" spans="3:3" x14ac:dyDescent="0.25">
      <c r="C5976" s="4"/>
    </row>
    <row r="5977" spans="3:3" x14ac:dyDescent="0.25">
      <c r="C5977" s="4"/>
    </row>
    <row r="5978" spans="3:3" x14ac:dyDescent="0.25">
      <c r="C5978" s="4"/>
    </row>
    <row r="5979" spans="3:3" x14ac:dyDescent="0.25">
      <c r="C5979" s="4"/>
    </row>
    <row r="5980" spans="3:3" x14ac:dyDescent="0.25">
      <c r="C5980" s="4"/>
    </row>
    <row r="5981" spans="3:3" x14ac:dyDescent="0.25">
      <c r="C5981" s="4"/>
    </row>
    <row r="5982" spans="3:3" x14ac:dyDescent="0.25">
      <c r="C5982" s="4"/>
    </row>
    <row r="5983" spans="3:3" x14ac:dyDescent="0.25">
      <c r="C5983" s="4"/>
    </row>
    <row r="5984" spans="3:3" x14ac:dyDescent="0.25">
      <c r="C5984" s="4"/>
    </row>
    <row r="5985" spans="3:3" x14ac:dyDescent="0.25">
      <c r="C5985" s="4"/>
    </row>
    <row r="5986" spans="3:3" x14ac:dyDescent="0.25">
      <c r="C5986" s="4"/>
    </row>
    <row r="5987" spans="3:3" x14ac:dyDescent="0.25">
      <c r="C5987" s="4"/>
    </row>
    <row r="5988" spans="3:3" x14ac:dyDescent="0.25">
      <c r="C5988" s="4"/>
    </row>
    <row r="5989" spans="3:3" x14ac:dyDescent="0.25">
      <c r="C5989" s="4"/>
    </row>
    <row r="5990" spans="3:3" x14ac:dyDescent="0.25">
      <c r="C5990" s="4"/>
    </row>
    <row r="5991" spans="3:3" x14ac:dyDescent="0.25">
      <c r="C5991" s="4"/>
    </row>
    <row r="5992" spans="3:3" x14ac:dyDescent="0.25">
      <c r="C5992" s="4"/>
    </row>
    <row r="5993" spans="3:3" x14ac:dyDescent="0.25">
      <c r="C5993" s="4"/>
    </row>
    <row r="5994" spans="3:3" x14ac:dyDescent="0.25">
      <c r="C5994" s="4"/>
    </row>
    <row r="5995" spans="3:3" x14ac:dyDescent="0.25">
      <c r="C5995" s="4"/>
    </row>
    <row r="5996" spans="3:3" x14ac:dyDescent="0.25">
      <c r="C5996" s="4"/>
    </row>
    <row r="5997" spans="3:3" x14ac:dyDescent="0.25">
      <c r="C5997" s="4"/>
    </row>
    <row r="5998" spans="3:3" x14ac:dyDescent="0.25">
      <c r="C5998" s="4"/>
    </row>
    <row r="5999" spans="3:3" x14ac:dyDescent="0.25">
      <c r="C5999" s="4"/>
    </row>
    <row r="6000" spans="3:3" x14ac:dyDescent="0.25">
      <c r="C6000" s="4"/>
    </row>
    <row r="6001" spans="3:3" x14ac:dyDescent="0.25">
      <c r="C6001" s="4"/>
    </row>
    <row r="6002" spans="3:3" x14ac:dyDescent="0.25">
      <c r="C6002" s="4"/>
    </row>
    <row r="6003" spans="3:3" x14ac:dyDescent="0.25">
      <c r="C6003" s="4"/>
    </row>
    <row r="6004" spans="3:3" x14ac:dyDescent="0.25">
      <c r="C6004" s="4"/>
    </row>
    <row r="6005" spans="3:3" x14ac:dyDescent="0.25">
      <c r="C6005" s="4"/>
    </row>
    <row r="6006" spans="3:3" x14ac:dyDescent="0.25">
      <c r="C6006" s="4"/>
    </row>
    <row r="6007" spans="3:3" x14ac:dyDescent="0.25">
      <c r="C6007" s="4"/>
    </row>
    <row r="6008" spans="3:3" x14ac:dyDescent="0.25">
      <c r="C6008" s="4"/>
    </row>
    <row r="6009" spans="3:3" x14ac:dyDescent="0.25">
      <c r="C6009" s="4"/>
    </row>
    <row r="6010" spans="3:3" x14ac:dyDescent="0.25">
      <c r="C6010" s="4"/>
    </row>
    <row r="6011" spans="3:3" x14ac:dyDescent="0.25">
      <c r="C6011" s="4"/>
    </row>
    <row r="6012" spans="3:3" x14ac:dyDescent="0.25">
      <c r="C6012" s="4"/>
    </row>
    <row r="6013" spans="3:3" x14ac:dyDescent="0.25">
      <c r="C6013" s="4"/>
    </row>
    <row r="6014" spans="3:3" x14ac:dyDescent="0.25">
      <c r="C6014" s="4"/>
    </row>
    <row r="6015" spans="3:3" x14ac:dyDescent="0.25">
      <c r="C6015" s="4"/>
    </row>
    <row r="6016" spans="3:3" x14ac:dyDescent="0.25">
      <c r="C6016" s="4"/>
    </row>
    <row r="6017" spans="3:3" x14ac:dyDescent="0.25">
      <c r="C6017" s="4"/>
    </row>
    <row r="6018" spans="3:3" x14ac:dyDescent="0.25">
      <c r="C6018" s="4"/>
    </row>
    <row r="6019" spans="3:3" x14ac:dyDescent="0.25">
      <c r="C6019" s="4"/>
    </row>
    <row r="6020" spans="3:3" x14ac:dyDescent="0.25">
      <c r="C6020" s="4"/>
    </row>
    <row r="6021" spans="3:3" x14ac:dyDescent="0.25">
      <c r="C6021" s="4"/>
    </row>
    <row r="6022" spans="3:3" x14ac:dyDescent="0.25">
      <c r="C6022" s="4"/>
    </row>
    <row r="6023" spans="3:3" x14ac:dyDescent="0.25">
      <c r="C6023" s="4"/>
    </row>
    <row r="6024" spans="3:3" x14ac:dyDescent="0.25">
      <c r="C6024" s="4"/>
    </row>
    <row r="6025" spans="3:3" x14ac:dyDescent="0.25">
      <c r="C6025" s="4"/>
    </row>
    <row r="6026" spans="3:3" x14ac:dyDescent="0.25">
      <c r="C6026" s="4"/>
    </row>
    <row r="6027" spans="3:3" x14ac:dyDescent="0.25">
      <c r="C6027" s="4"/>
    </row>
    <row r="6028" spans="3:3" x14ac:dyDescent="0.25">
      <c r="C6028" s="4"/>
    </row>
    <row r="6029" spans="3:3" x14ac:dyDescent="0.25">
      <c r="C6029" s="4"/>
    </row>
    <row r="6030" spans="3:3" x14ac:dyDescent="0.25">
      <c r="C6030" s="4"/>
    </row>
    <row r="6031" spans="3:3" x14ac:dyDescent="0.25">
      <c r="C6031" s="4"/>
    </row>
    <row r="6032" spans="3:3" x14ac:dyDescent="0.25">
      <c r="C6032" s="4"/>
    </row>
    <row r="6033" spans="3:3" x14ac:dyDescent="0.25">
      <c r="C6033" s="4"/>
    </row>
    <row r="6034" spans="3:3" x14ac:dyDescent="0.25">
      <c r="C6034" s="4"/>
    </row>
    <row r="6035" spans="3:3" x14ac:dyDescent="0.25">
      <c r="C6035" s="4"/>
    </row>
    <row r="6036" spans="3:3" x14ac:dyDescent="0.25">
      <c r="C6036" s="4"/>
    </row>
    <row r="6037" spans="3:3" x14ac:dyDescent="0.25">
      <c r="C6037" s="4"/>
    </row>
    <row r="6038" spans="3:3" x14ac:dyDescent="0.25">
      <c r="C6038" s="4"/>
    </row>
    <row r="6039" spans="3:3" x14ac:dyDescent="0.25">
      <c r="C6039" s="4"/>
    </row>
    <row r="6040" spans="3:3" x14ac:dyDescent="0.25">
      <c r="C6040" s="4"/>
    </row>
    <row r="6041" spans="3:3" x14ac:dyDescent="0.25">
      <c r="C6041" s="4"/>
    </row>
    <row r="6042" spans="3:3" x14ac:dyDescent="0.25">
      <c r="C6042" s="4"/>
    </row>
    <row r="6043" spans="3:3" x14ac:dyDescent="0.25">
      <c r="C6043" s="4"/>
    </row>
    <row r="6044" spans="3:3" x14ac:dyDescent="0.25">
      <c r="C6044" s="4"/>
    </row>
    <row r="6045" spans="3:3" x14ac:dyDescent="0.25">
      <c r="C6045" s="4"/>
    </row>
    <row r="6046" spans="3:3" x14ac:dyDescent="0.25">
      <c r="C6046" s="4"/>
    </row>
    <row r="6047" spans="3:3" x14ac:dyDescent="0.25">
      <c r="C6047" s="4"/>
    </row>
    <row r="6048" spans="3:3" x14ac:dyDescent="0.25">
      <c r="C6048" s="4"/>
    </row>
    <row r="6049" spans="3:3" x14ac:dyDescent="0.25">
      <c r="C6049" s="4"/>
    </row>
    <row r="6050" spans="3:3" x14ac:dyDescent="0.25">
      <c r="C6050" s="4"/>
    </row>
    <row r="6051" spans="3:3" x14ac:dyDescent="0.25">
      <c r="C6051" s="4"/>
    </row>
    <row r="6052" spans="3:3" x14ac:dyDescent="0.25">
      <c r="C6052" s="4"/>
    </row>
    <row r="6053" spans="3:3" x14ac:dyDescent="0.25">
      <c r="C6053" s="4"/>
    </row>
    <row r="6054" spans="3:3" x14ac:dyDescent="0.25">
      <c r="C6054" s="4"/>
    </row>
    <row r="6055" spans="3:3" x14ac:dyDescent="0.25">
      <c r="C6055" s="4"/>
    </row>
    <row r="6056" spans="3:3" x14ac:dyDescent="0.25">
      <c r="C6056" s="4"/>
    </row>
    <row r="6057" spans="3:3" x14ac:dyDescent="0.25">
      <c r="C6057" s="4"/>
    </row>
    <row r="6058" spans="3:3" x14ac:dyDescent="0.25">
      <c r="C6058" s="4"/>
    </row>
    <row r="6059" spans="3:3" x14ac:dyDescent="0.25">
      <c r="C6059" s="4"/>
    </row>
    <row r="6060" spans="3:3" x14ac:dyDescent="0.25">
      <c r="C6060" s="4"/>
    </row>
    <row r="6061" spans="3:3" x14ac:dyDescent="0.25">
      <c r="C6061" s="4"/>
    </row>
    <row r="6062" spans="3:3" x14ac:dyDescent="0.25">
      <c r="C6062" s="4"/>
    </row>
    <row r="6063" spans="3:3" x14ac:dyDescent="0.25">
      <c r="C6063" s="4"/>
    </row>
    <row r="6064" spans="3:3" x14ac:dyDescent="0.25">
      <c r="C6064" s="4"/>
    </row>
    <row r="6065" spans="3:3" x14ac:dyDescent="0.25">
      <c r="C6065" s="4"/>
    </row>
    <row r="6066" spans="3:3" x14ac:dyDescent="0.25">
      <c r="C6066" s="4"/>
    </row>
    <row r="6067" spans="3:3" x14ac:dyDescent="0.25">
      <c r="C6067" s="4"/>
    </row>
    <row r="6068" spans="3:3" x14ac:dyDescent="0.25">
      <c r="C6068" s="4"/>
    </row>
    <row r="6069" spans="3:3" x14ac:dyDescent="0.25">
      <c r="C6069" s="4"/>
    </row>
    <row r="6070" spans="3:3" x14ac:dyDescent="0.25">
      <c r="C6070" s="4"/>
    </row>
    <row r="6071" spans="3:3" x14ac:dyDescent="0.25">
      <c r="C6071" s="4"/>
    </row>
    <row r="6072" spans="3:3" x14ac:dyDescent="0.25">
      <c r="C6072" s="4"/>
    </row>
    <row r="6073" spans="3:3" x14ac:dyDescent="0.25">
      <c r="C6073" s="4"/>
    </row>
    <row r="6074" spans="3:3" x14ac:dyDescent="0.25">
      <c r="C6074" s="4"/>
    </row>
    <row r="6075" spans="3:3" x14ac:dyDescent="0.25">
      <c r="C6075" s="4"/>
    </row>
    <row r="6076" spans="3:3" x14ac:dyDescent="0.25">
      <c r="C6076" s="4"/>
    </row>
    <row r="6077" spans="3:3" x14ac:dyDescent="0.25">
      <c r="C6077" s="4"/>
    </row>
    <row r="6078" spans="3:3" x14ac:dyDescent="0.25">
      <c r="C6078" s="4"/>
    </row>
    <row r="6079" spans="3:3" x14ac:dyDescent="0.25">
      <c r="C6079" s="4"/>
    </row>
    <row r="6080" spans="3:3" x14ac:dyDescent="0.25">
      <c r="C6080" s="4"/>
    </row>
    <row r="6081" spans="3:3" x14ac:dyDescent="0.25">
      <c r="C6081" s="4"/>
    </row>
    <row r="6082" spans="3:3" x14ac:dyDescent="0.25">
      <c r="C6082" s="4"/>
    </row>
    <row r="6083" spans="3:3" x14ac:dyDescent="0.25">
      <c r="C6083" s="4"/>
    </row>
    <row r="6084" spans="3:3" x14ac:dyDescent="0.25">
      <c r="C6084" s="4"/>
    </row>
    <row r="6085" spans="3:3" x14ac:dyDescent="0.25">
      <c r="C6085" s="4"/>
    </row>
    <row r="6086" spans="3:3" x14ac:dyDescent="0.25">
      <c r="C6086" s="4"/>
    </row>
    <row r="6087" spans="3:3" x14ac:dyDescent="0.25">
      <c r="C6087" s="4"/>
    </row>
    <row r="6088" spans="3:3" x14ac:dyDescent="0.25">
      <c r="C6088" s="4"/>
    </row>
    <row r="6089" spans="3:3" x14ac:dyDescent="0.25">
      <c r="C6089" s="4"/>
    </row>
    <row r="6090" spans="3:3" x14ac:dyDescent="0.25">
      <c r="C6090" s="4"/>
    </row>
    <row r="6091" spans="3:3" x14ac:dyDescent="0.25">
      <c r="C6091" s="4"/>
    </row>
    <row r="6092" spans="3:3" x14ac:dyDescent="0.25">
      <c r="C6092" s="4"/>
    </row>
    <row r="6093" spans="3:3" x14ac:dyDescent="0.25">
      <c r="C6093" s="4"/>
    </row>
    <row r="6094" spans="3:3" x14ac:dyDescent="0.25">
      <c r="C6094" s="4"/>
    </row>
    <row r="6095" spans="3:3" x14ac:dyDescent="0.25">
      <c r="C6095" s="4"/>
    </row>
    <row r="6096" spans="3:3" x14ac:dyDescent="0.25">
      <c r="C6096" s="4"/>
    </row>
    <row r="6097" spans="3:3" x14ac:dyDescent="0.25">
      <c r="C6097" s="4"/>
    </row>
    <row r="6098" spans="3:3" x14ac:dyDescent="0.25">
      <c r="C6098" s="4"/>
    </row>
    <row r="6099" spans="3:3" x14ac:dyDescent="0.25">
      <c r="C6099" s="4"/>
    </row>
    <row r="6100" spans="3:3" x14ac:dyDescent="0.25">
      <c r="C6100" s="4"/>
    </row>
    <row r="6101" spans="3:3" x14ac:dyDescent="0.25">
      <c r="C6101" s="4"/>
    </row>
    <row r="6102" spans="3:3" x14ac:dyDescent="0.25">
      <c r="C6102" s="4"/>
    </row>
    <row r="6103" spans="3:3" x14ac:dyDescent="0.25">
      <c r="C6103" s="4"/>
    </row>
    <row r="6104" spans="3:3" x14ac:dyDescent="0.25">
      <c r="C6104" s="4"/>
    </row>
    <row r="6105" spans="3:3" x14ac:dyDescent="0.25">
      <c r="C6105" s="4"/>
    </row>
    <row r="6106" spans="3:3" x14ac:dyDescent="0.25">
      <c r="C6106" s="4"/>
    </row>
    <row r="6107" spans="3:3" x14ac:dyDescent="0.25">
      <c r="C6107" s="4"/>
    </row>
    <row r="6108" spans="3:3" x14ac:dyDescent="0.25">
      <c r="C6108" s="4"/>
    </row>
    <row r="6109" spans="3:3" x14ac:dyDescent="0.25">
      <c r="C6109" s="4"/>
    </row>
    <row r="6110" spans="3:3" x14ac:dyDescent="0.25">
      <c r="C6110" s="4"/>
    </row>
    <row r="6111" spans="3:3" x14ac:dyDescent="0.25">
      <c r="C6111" s="4"/>
    </row>
    <row r="6112" spans="3:3" x14ac:dyDescent="0.25">
      <c r="C6112" s="4"/>
    </row>
    <row r="6113" spans="3:3" x14ac:dyDescent="0.25">
      <c r="C6113" s="4"/>
    </row>
    <row r="6114" spans="3:3" x14ac:dyDescent="0.25">
      <c r="C6114" s="4"/>
    </row>
    <row r="6115" spans="3:3" x14ac:dyDescent="0.25">
      <c r="C6115" s="4"/>
    </row>
    <row r="6116" spans="3:3" x14ac:dyDescent="0.25">
      <c r="C6116" s="4"/>
    </row>
    <row r="6117" spans="3:3" x14ac:dyDescent="0.25">
      <c r="C6117" s="4"/>
    </row>
    <row r="6118" spans="3:3" x14ac:dyDescent="0.25">
      <c r="C6118" s="4"/>
    </row>
    <row r="6119" spans="3:3" x14ac:dyDescent="0.25">
      <c r="C6119" s="4"/>
    </row>
    <row r="6120" spans="3:3" x14ac:dyDescent="0.25">
      <c r="C6120" s="4"/>
    </row>
    <row r="6121" spans="3:3" x14ac:dyDescent="0.25">
      <c r="C6121" s="4"/>
    </row>
    <row r="6122" spans="3:3" x14ac:dyDescent="0.25">
      <c r="C6122" s="4"/>
    </row>
    <row r="6123" spans="3:3" x14ac:dyDescent="0.25">
      <c r="C6123" s="4"/>
    </row>
    <row r="6124" spans="3:3" x14ac:dyDescent="0.25">
      <c r="C6124" s="4"/>
    </row>
    <row r="6125" spans="3:3" x14ac:dyDescent="0.25">
      <c r="C6125" s="4"/>
    </row>
    <row r="6126" spans="3:3" x14ac:dyDescent="0.25">
      <c r="C6126" s="4"/>
    </row>
    <row r="6127" spans="3:3" x14ac:dyDescent="0.25">
      <c r="C6127" s="4"/>
    </row>
    <row r="6128" spans="3:3" x14ac:dyDescent="0.25">
      <c r="C6128" s="4"/>
    </row>
    <row r="6129" spans="3:3" x14ac:dyDescent="0.25">
      <c r="C6129" s="4"/>
    </row>
    <row r="6130" spans="3:3" x14ac:dyDescent="0.25">
      <c r="C6130" s="4"/>
    </row>
    <row r="6131" spans="3:3" x14ac:dyDescent="0.25">
      <c r="C6131" s="4"/>
    </row>
    <row r="6132" spans="3:3" x14ac:dyDescent="0.25">
      <c r="C6132" s="4"/>
    </row>
    <row r="6133" spans="3:3" x14ac:dyDescent="0.25">
      <c r="C6133" s="4"/>
    </row>
    <row r="6134" spans="3:3" x14ac:dyDescent="0.25">
      <c r="C6134" s="4"/>
    </row>
    <row r="6135" spans="3:3" x14ac:dyDescent="0.25">
      <c r="C6135" s="4"/>
    </row>
    <row r="6136" spans="3:3" x14ac:dyDescent="0.25">
      <c r="C6136" s="4"/>
    </row>
    <row r="6137" spans="3:3" x14ac:dyDescent="0.25">
      <c r="C6137" s="4"/>
    </row>
    <row r="6138" spans="3:3" x14ac:dyDescent="0.25">
      <c r="C6138" s="4"/>
    </row>
    <row r="6139" spans="3:3" x14ac:dyDescent="0.25">
      <c r="C6139" s="4"/>
    </row>
    <row r="6140" spans="3:3" x14ac:dyDescent="0.25">
      <c r="C6140" s="4"/>
    </row>
    <row r="6141" spans="3:3" x14ac:dyDescent="0.25">
      <c r="C6141" s="4"/>
    </row>
    <row r="6142" spans="3:3" x14ac:dyDescent="0.25">
      <c r="C6142" s="4"/>
    </row>
    <row r="6143" spans="3:3" x14ac:dyDescent="0.25">
      <c r="C6143" s="4"/>
    </row>
    <row r="6144" spans="3:3" x14ac:dyDescent="0.25">
      <c r="C6144" s="4"/>
    </row>
    <row r="6145" spans="3:3" x14ac:dyDescent="0.25">
      <c r="C6145" s="4"/>
    </row>
    <row r="6146" spans="3:3" x14ac:dyDescent="0.25">
      <c r="C6146" s="4"/>
    </row>
    <row r="6147" spans="3:3" x14ac:dyDescent="0.25">
      <c r="C6147" s="4"/>
    </row>
    <row r="6148" spans="3:3" x14ac:dyDescent="0.25">
      <c r="C6148" s="4"/>
    </row>
    <row r="6149" spans="3:3" x14ac:dyDescent="0.25">
      <c r="C6149" s="4"/>
    </row>
    <row r="6150" spans="3:3" x14ac:dyDescent="0.25">
      <c r="C6150" s="4"/>
    </row>
    <row r="6151" spans="3:3" x14ac:dyDescent="0.25">
      <c r="C6151" s="4"/>
    </row>
    <row r="6152" spans="3:3" x14ac:dyDescent="0.25">
      <c r="C6152" s="4"/>
    </row>
    <row r="6153" spans="3:3" x14ac:dyDescent="0.25">
      <c r="C6153" s="4"/>
    </row>
    <row r="6154" spans="3:3" x14ac:dyDescent="0.25">
      <c r="C6154" s="4"/>
    </row>
    <row r="6155" spans="3:3" x14ac:dyDescent="0.25">
      <c r="C6155" s="4"/>
    </row>
    <row r="6156" spans="3:3" x14ac:dyDescent="0.25">
      <c r="C6156" s="4"/>
    </row>
    <row r="6157" spans="3:3" x14ac:dyDescent="0.25">
      <c r="C6157" s="4"/>
    </row>
    <row r="6158" spans="3:3" x14ac:dyDescent="0.25">
      <c r="C6158" s="4"/>
    </row>
    <row r="6159" spans="3:3" x14ac:dyDescent="0.25">
      <c r="C6159" s="4"/>
    </row>
    <row r="6160" spans="3:3" x14ac:dyDescent="0.25">
      <c r="C6160" s="4"/>
    </row>
    <row r="6161" spans="3:3" x14ac:dyDescent="0.25">
      <c r="C6161" s="4"/>
    </row>
    <row r="6162" spans="3:3" x14ac:dyDescent="0.25">
      <c r="C6162" s="4"/>
    </row>
    <row r="6163" spans="3:3" x14ac:dyDescent="0.25">
      <c r="C6163" s="4"/>
    </row>
    <row r="6164" spans="3:3" x14ac:dyDescent="0.25">
      <c r="C6164" s="4"/>
    </row>
    <row r="6165" spans="3:3" x14ac:dyDescent="0.25">
      <c r="C6165" s="4"/>
    </row>
    <row r="6166" spans="3:3" x14ac:dyDescent="0.25">
      <c r="C6166" s="4"/>
    </row>
    <row r="6167" spans="3:3" x14ac:dyDescent="0.25">
      <c r="C6167" s="4"/>
    </row>
    <row r="6168" spans="3:3" x14ac:dyDescent="0.25">
      <c r="C6168" s="4"/>
    </row>
    <row r="6169" spans="3:3" x14ac:dyDescent="0.25">
      <c r="C6169" s="4"/>
    </row>
    <row r="6170" spans="3:3" x14ac:dyDescent="0.25">
      <c r="C6170" s="4"/>
    </row>
    <row r="6171" spans="3:3" x14ac:dyDescent="0.25">
      <c r="C6171" s="4"/>
    </row>
    <row r="6172" spans="3:3" x14ac:dyDescent="0.25">
      <c r="C6172" s="4"/>
    </row>
    <row r="6173" spans="3:3" x14ac:dyDescent="0.25">
      <c r="C6173" s="4"/>
    </row>
    <row r="6174" spans="3:3" x14ac:dyDescent="0.25">
      <c r="C6174" s="4"/>
    </row>
    <row r="6175" spans="3:3" x14ac:dyDescent="0.25">
      <c r="C6175" s="4"/>
    </row>
    <row r="6176" spans="3:3" x14ac:dyDescent="0.25">
      <c r="C6176" s="4"/>
    </row>
    <row r="6177" spans="3:3" x14ac:dyDescent="0.25">
      <c r="C6177" s="4"/>
    </row>
    <row r="6178" spans="3:3" x14ac:dyDescent="0.25">
      <c r="C6178" s="4"/>
    </row>
    <row r="6179" spans="3:3" x14ac:dyDescent="0.25">
      <c r="C6179" s="4"/>
    </row>
    <row r="6180" spans="3:3" x14ac:dyDescent="0.25">
      <c r="C6180" s="4"/>
    </row>
    <row r="6181" spans="3:3" x14ac:dyDescent="0.25">
      <c r="C6181" s="4"/>
    </row>
    <row r="6182" spans="3:3" x14ac:dyDescent="0.25">
      <c r="C6182" s="4"/>
    </row>
    <row r="6183" spans="3:3" x14ac:dyDescent="0.25">
      <c r="C6183" s="4"/>
    </row>
    <row r="6184" spans="3:3" x14ac:dyDescent="0.25">
      <c r="C6184" s="4"/>
    </row>
    <row r="6185" spans="3:3" x14ac:dyDescent="0.25">
      <c r="C6185" s="4"/>
    </row>
    <row r="6186" spans="3:3" x14ac:dyDescent="0.25">
      <c r="C6186" s="4"/>
    </row>
    <row r="6187" spans="3:3" x14ac:dyDescent="0.25">
      <c r="C6187" s="4"/>
    </row>
    <row r="6188" spans="3:3" x14ac:dyDescent="0.25">
      <c r="C6188" s="4"/>
    </row>
    <row r="6189" spans="3:3" x14ac:dyDescent="0.25">
      <c r="C6189" s="4"/>
    </row>
    <row r="6190" spans="3:3" x14ac:dyDescent="0.25">
      <c r="C6190" s="4"/>
    </row>
    <row r="6191" spans="3:3" x14ac:dyDescent="0.25">
      <c r="C6191" s="4"/>
    </row>
    <row r="6192" spans="3:3" x14ac:dyDescent="0.25">
      <c r="C6192" s="4"/>
    </row>
    <row r="6193" spans="3:3" x14ac:dyDescent="0.25">
      <c r="C6193" s="4"/>
    </row>
    <row r="6194" spans="3:3" x14ac:dyDescent="0.25">
      <c r="C6194" s="4"/>
    </row>
    <row r="6195" spans="3:3" x14ac:dyDescent="0.25">
      <c r="C6195" s="4"/>
    </row>
    <row r="6196" spans="3:3" x14ac:dyDescent="0.25">
      <c r="C6196" s="4"/>
    </row>
    <row r="6197" spans="3:3" x14ac:dyDescent="0.25">
      <c r="C6197" s="4"/>
    </row>
    <row r="6198" spans="3:3" x14ac:dyDescent="0.25">
      <c r="C6198" s="4"/>
    </row>
    <row r="6199" spans="3:3" x14ac:dyDescent="0.25">
      <c r="C6199" s="4"/>
    </row>
    <row r="6200" spans="3:3" x14ac:dyDescent="0.25">
      <c r="C6200" s="4"/>
    </row>
    <row r="6201" spans="3:3" x14ac:dyDescent="0.25">
      <c r="C6201" s="4"/>
    </row>
    <row r="6202" spans="3:3" x14ac:dyDescent="0.25">
      <c r="C6202" s="4"/>
    </row>
    <row r="6203" spans="3:3" x14ac:dyDescent="0.25">
      <c r="C6203" s="4"/>
    </row>
    <row r="6204" spans="3:3" x14ac:dyDescent="0.25">
      <c r="C6204" s="4"/>
    </row>
    <row r="6205" spans="3:3" x14ac:dyDescent="0.25">
      <c r="C6205" s="4"/>
    </row>
    <row r="6206" spans="3:3" x14ac:dyDescent="0.25">
      <c r="C6206" s="4"/>
    </row>
    <row r="6207" spans="3:3" x14ac:dyDescent="0.25">
      <c r="C6207" s="4"/>
    </row>
    <row r="6208" spans="3:3" x14ac:dyDescent="0.25">
      <c r="C6208" s="4"/>
    </row>
    <row r="6209" spans="3:3" x14ac:dyDescent="0.25">
      <c r="C6209" s="4"/>
    </row>
    <row r="6210" spans="3:3" x14ac:dyDescent="0.25">
      <c r="C6210" s="4"/>
    </row>
    <row r="6211" spans="3:3" x14ac:dyDescent="0.25">
      <c r="C6211" s="4"/>
    </row>
    <row r="6212" spans="3:3" x14ac:dyDescent="0.25">
      <c r="C6212" s="4"/>
    </row>
    <row r="6213" spans="3:3" x14ac:dyDescent="0.25">
      <c r="C6213" s="4"/>
    </row>
    <row r="6214" spans="3:3" x14ac:dyDescent="0.25">
      <c r="C6214" s="4"/>
    </row>
    <row r="6215" spans="3:3" x14ac:dyDescent="0.25">
      <c r="C6215" s="4"/>
    </row>
    <row r="6216" spans="3:3" x14ac:dyDescent="0.25">
      <c r="C6216" s="4"/>
    </row>
    <row r="6217" spans="3:3" x14ac:dyDescent="0.25">
      <c r="C6217" s="4"/>
    </row>
    <row r="6218" spans="3:3" x14ac:dyDescent="0.25">
      <c r="C6218" s="4"/>
    </row>
    <row r="6219" spans="3:3" x14ac:dyDescent="0.25">
      <c r="C6219" s="4"/>
    </row>
    <row r="6220" spans="3:3" x14ac:dyDescent="0.25">
      <c r="C6220" s="4"/>
    </row>
    <row r="6221" spans="3:3" x14ac:dyDescent="0.25">
      <c r="C6221" s="4"/>
    </row>
    <row r="6222" spans="3:3" x14ac:dyDescent="0.25">
      <c r="C6222" s="4"/>
    </row>
    <row r="6223" spans="3:3" x14ac:dyDescent="0.25">
      <c r="C6223" s="4"/>
    </row>
    <row r="6224" spans="3:3" x14ac:dyDescent="0.25">
      <c r="C6224" s="4"/>
    </row>
    <row r="6225" spans="3:3" x14ac:dyDescent="0.25">
      <c r="C6225" s="4"/>
    </row>
    <row r="6226" spans="3:3" x14ac:dyDescent="0.25">
      <c r="C6226" s="4"/>
    </row>
    <row r="6227" spans="3:3" x14ac:dyDescent="0.25">
      <c r="C6227" s="4"/>
    </row>
    <row r="6228" spans="3:3" x14ac:dyDescent="0.25">
      <c r="C6228" s="4"/>
    </row>
    <row r="6229" spans="3:3" x14ac:dyDescent="0.25">
      <c r="C6229" s="4"/>
    </row>
    <row r="6230" spans="3:3" x14ac:dyDescent="0.25">
      <c r="C6230" s="4"/>
    </row>
    <row r="6231" spans="3:3" x14ac:dyDescent="0.25">
      <c r="C6231" s="4"/>
    </row>
    <row r="6232" spans="3:3" x14ac:dyDescent="0.25">
      <c r="C6232" s="4"/>
    </row>
    <row r="6233" spans="3:3" x14ac:dyDescent="0.25">
      <c r="C6233" s="4"/>
    </row>
    <row r="6234" spans="3:3" x14ac:dyDescent="0.25">
      <c r="C6234" s="4"/>
    </row>
    <row r="6235" spans="3:3" x14ac:dyDescent="0.25">
      <c r="C6235" s="4"/>
    </row>
    <row r="6236" spans="3:3" x14ac:dyDescent="0.25">
      <c r="C6236" s="4"/>
    </row>
    <row r="6237" spans="3:3" x14ac:dyDescent="0.25">
      <c r="C6237" s="4"/>
    </row>
    <row r="6238" spans="3:3" x14ac:dyDescent="0.25">
      <c r="C6238" s="4"/>
    </row>
    <row r="6239" spans="3:3" x14ac:dyDescent="0.25">
      <c r="C6239" s="4"/>
    </row>
    <row r="6240" spans="3:3" x14ac:dyDescent="0.25">
      <c r="C6240" s="4"/>
    </row>
    <row r="6241" spans="3:3" x14ac:dyDescent="0.25">
      <c r="C6241" s="4"/>
    </row>
    <row r="6242" spans="3:3" x14ac:dyDescent="0.25">
      <c r="C6242" s="4"/>
    </row>
    <row r="6243" spans="3:3" x14ac:dyDescent="0.25">
      <c r="C6243" s="4"/>
    </row>
    <row r="6244" spans="3:3" x14ac:dyDescent="0.25">
      <c r="C6244" s="4"/>
    </row>
    <row r="6245" spans="3:3" x14ac:dyDescent="0.25">
      <c r="C6245" s="4"/>
    </row>
    <row r="6246" spans="3:3" x14ac:dyDescent="0.25">
      <c r="C6246" s="4"/>
    </row>
    <row r="6247" spans="3:3" x14ac:dyDescent="0.25">
      <c r="C6247" s="4"/>
    </row>
    <row r="6248" spans="3:3" x14ac:dyDescent="0.25">
      <c r="C6248" s="4"/>
    </row>
    <row r="6249" spans="3:3" x14ac:dyDescent="0.25">
      <c r="C6249" s="4"/>
    </row>
    <row r="6250" spans="3:3" x14ac:dyDescent="0.25">
      <c r="C6250" s="4"/>
    </row>
    <row r="6251" spans="3:3" x14ac:dyDescent="0.25">
      <c r="C6251" s="4"/>
    </row>
    <row r="6252" spans="3:3" x14ac:dyDescent="0.25">
      <c r="C6252" s="4"/>
    </row>
    <row r="6253" spans="3:3" x14ac:dyDescent="0.25">
      <c r="C6253" s="4"/>
    </row>
    <row r="6254" spans="3:3" x14ac:dyDescent="0.25">
      <c r="C6254" s="4"/>
    </row>
    <row r="6255" spans="3:3" x14ac:dyDescent="0.25">
      <c r="C6255" s="4"/>
    </row>
    <row r="6256" spans="3:3" x14ac:dyDescent="0.25">
      <c r="C6256" s="4"/>
    </row>
    <row r="6257" spans="3:3" x14ac:dyDescent="0.25">
      <c r="C6257" s="4"/>
    </row>
    <row r="6258" spans="3:3" x14ac:dyDescent="0.25">
      <c r="C6258" s="4"/>
    </row>
    <row r="6259" spans="3:3" x14ac:dyDescent="0.25">
      <c r="C6259" s="4"/>
    </row>
    <row r="6260" spans="3:3" x14ac:dyDescent="0.25">
      <c r="C6260" s="4"/>
    </row>
    <row r="6261" spans="3:3" x14ac:dyDescent="0.25">
      <c r="C6261" s="4"/>
    </row>
    <row r="6262" spans="3:3" x14ac:dyDescent="0.25">
      <c r="C6262" s="4"/>
    </row>
    <row r="6263" spans="3:3" x14ac:dyDescent="0.25">
      <c r="C6263" s="4"/>
    </row>
    <row r="6264" spans="3:3" x14ac:dyDescent="0.25">
      <c r="C6264" s="4"/>
    </row>
    <row r="6265" spans="3:3" x14ac:dyDescent="0.25">
      <c r="C6265" s="4"/>
    </row>
    <row r="6266" spans="3:3" x14ac:dyDescent="0.25">
      <c r="C6266" s="4"/>
    </row>
    <row r="6267" spans="3:3" x14ac:dyDescent="0.25">
      <c r="C6267" s="4"/>
    </row>
    <row r="6268" spans="3:3" x14ac:dyDescent="0.25">
      <c r="C6268" s="4"/>
    </row>
    <row r="6269" spans="3:3" x14ac:dyDescent="0.25">
      <c r="C6269" s="4"/>
    </row>
    <row r="6270" spans="3:3" x14ac:dyDescent="0.25">
      <c r="C6270" s="4"/>
    </row>
    <row r="6271" spans="3:3" x14ac:dyDescent="0.25">
      <c r="C6271" s="4"/>
    </row>
    <row r="6272" spans="3:3" x14ac:dyDescent="0.25">
      <c r="C6272" s="4"/>
    </row>
    <row r="6273" spans="3:3" x14ac:dyDescent="0.25">
      <c r="C6273" s="4"/>
    </row>
    <row r="6274" spans="3:3" x14ac:dyDescent="0.25">
      <c r="C6274" s="4"/>
    </row>
    <row r="6275" spans="3:3" x14ac:dyDescent="0.25">
      <c r="C6275" s="4"/>
    </row>
    <row r="6276" spans="3:3" x14ac:dyDescent="0.25">
      <c r="C6276" s="4"/>
    </row>
    <row r="6277" spans="3:3" x14ac:dyDescent="0.25">
      <c r="C6277" s="4"/>
    </row>
    <row r="6278" spans="3:3" x14ac:dyDescent="0.25">
      <c r="C6278" s="4"/>
    </row>
    <row r="6279" spans="3:3" x14ac:dyDescent="0.25">
      <c r="C6279" s="4"/>
    </row>
    <row r="6280" spans="3:3" x14ac:dyDescent="0.25">
      <c r="C6280" s="4"/>
    </row>
    <row r="6281" spans="3:3" x14ac:dyDescent="0.25">
      <c r="C6281" s="4"/>
    </row>
    <row r="6282" spans="3:3" x14ac:dyDescent="0.25">
      <c r="C6282" s="4"/>
    </row>
    <row r="6283" spans="3:3" x14ac:dyDescent="0.25">
      <c r="C6283" s="4"/>
    </row>
    <row r="6284" spans="3:3" x14ac:dyDescent="0.25">
      <c r="C6284" s="4"/>
    </row>
    <row r="6285" spans="3:3" x14ac:dyDescent="0.25">
      <c r="C6285" s="4"/>
    </row>
    <row r="6286" spans="3:3" x14ac:dyDescent="0.25">
      <c r="C6286" s="4"/>
    </row>
    <row r="6287" spans="3:3" x14ac:dyDescent="0.25">
      <c r="C6287" s="4"/>
    </row>
    <row r="6288" spans="3:3" x14ac:dyDescent="0.25">
      <c r="C6288" s="4"/>
    </row>
    <row r="6289" spans="3:3" x14ac:dyDescent="0.25">
      <c r="C6289" s="4"/>
    </row>
    <row r="6290" spans="3:3" x14ac:dyDescent="0.25">
      <c r="C6290" s="4"/>
    </row>
    <row r="6291" spans="3:3" x14ac:dyDescent="0.25">
      <c r="C6291" s="4"/>
    </row>
    <row r="6292" spans="3:3" x14ac:dyDescent="0.25">
      <c r="C6292" s="4"/>
    </row>
    <row r="6293" spans="3:3" x14ac:dyDescent="0.25">
      <c r="C6293" s="4"/>
    </row>
    <row r="6294" spans="3:3" x14ac:dyDescent="0.25">
      <c r="C6294" s="4"/>
    </row>
    <row r="6295" spans="3:3" x14ac:dyDescent="0.25">
      <c r="C6295" s="4"/>
    </row>
    <row r="6296" spans="3:3" x14ac:dyDescent="0.25">
      <c r="C6296" s="4"/>
    </row>
    <row r="6297" spans="3:3" x14ac:dyDescent="0.25">
      <c r="C6297" s="4"/>
    </row>
    <row r="6298" spans="3:3" x14ac:dyDescent="0.25">
      <c r="C6298" s="4"/>
    </row>
    <row r="6299" spans="3:3" x14ac:dyDescent="0.25">
      <c r="C6299" s="4"/>
    </row>
    <row r="6300" spans="3:3" x14ac:dyDescent="0.25">
      <c r="C6300" s="4"/>
    </row>
    <row r="6301" spans="3:3" x14ac:dyDescent="0.25">
      <c r="C6301" s="4"/>
    </row>
    <row r="6302" spans="3:3" x14ac:dyDescent="0.25">
      <c r="C6302" s="4"/>
    </row>
    <row r="6303" spans="3:3" x14ac:dyDescent="0.25">
      <c r="C6303" s="4"/>
    </row>
    <row r="6304" spans="3:3" x14ac:dyDescent="0.25">
      <c r="C6304" s="4"/>
    </row>
    <row r="6305" spans="3:3" x14ac:dyDescent="0.25">
      <c r="C6305" s="4"/>
    </row>
    <row r="6306" spans="3:3" x14ac:dyDescent="0.25">
      <c r="C6306" s="4"/>
    </row>
    <row r="6307" spans="3:3" x14ac:dyDescent="0.25">
      <c r="C6307" s="4"/>
    </row>
    <row r="6308" spans="3:3" x14ac:dyDescent="0.25">
      <c r="C6308" s="4"/>
    </row>
    <row r="6309" spans="3:3" x14ac:dyDescent="0.25">
      <c r="C6309" s="4"/>
    </row>
    <row r="6310" spans="3:3" x14ac:dyDescent="0.25">
      <c r="C6310" s="4"/>
    </row>
    <row r="6311" spans="3:3" x14ac:dyDescent="0.25">
      <c r="C6311" s="4"/>
    </row>
    <row r="6312" spans="3:3" x14ac:dyDescent="0.25">
      <c r="C6312" s="4"/>
    </row>
    <row r="6313" spans="3:3" x14ac:dyDescent="0.25">
      <c r="C6313" s="4"/>
    </row>
    <row r="6314" spans="3:3" x14ac:dyDescent="0.25">
      <c r="C6314" s="4"/>
    </row>
    <row r="6315" spans="3:3" x14ac:dyDescent="0.25">
      <c r="C6315" s="4"/>
    </row>
    <row r="6316" spans="3:3" x14ac:dyDescent="0.25">
      <c r="C6316" s="4"/>
    </row>
    <row r="6317" spans="3:3" x14ac:dyDescent="0.25">
      <c r="C6317" s="4"/>
    </row>
    <row r="6318" spans="3:3" x14ac:dyDescent="0.25">
      <c r="C6318" s="4"/>
    </row>
    <row r="6319" spans="3:3" x14ac:dyDescent="0.25">
      <c r="C6319" s="4"/>
    </row>
    <row r="6320" spans="3:3" x14ac:dyDescent="0.25">
      <c r="C6320" s="4"/>
    </row>
    <row r="6321" spans="3:3" x14ac:dyDescent="0.25">
      <c r="C6321" s="4"/>
    </row>
    <row r="6322" spans="3:3" x14ac:dyDescent="0.25">
      <c r="C6322" s="4"/>
    </row>
    <row r="6323" spans="3:3" x14ac:dyDescent="0.25">
      <c r="C6323" s="4"/>
    </row>
    <row r="6324" spans="3:3" x14ac:dyDescent="0.25">
      <c r="C6324" s="4"/>
    </row>
    <row r="6325" spans="3:3" x14ac:dyDescent="0.25">
      <c r="C6325" s="4"/>
    </row>
    <row r="6326" spans="3:3" x14ac:dyDescent="0.25">
      <c r="C6326" s="4"/>
    </row>
    <row r="6327" spans="3:3" x14ac:dyDescent="0.25">
      <c r="C6327" s="4"/>
    </row>
    <row r="6328" spans="3:3" x14ac:dyDescent="0.25">
      <c r="C6328" s="4"/>
    </row>
    <row r="6329" spans="3:3" x14ac:dyDescent="0.25">
      <c r="C6329" s="4"/>
    </row>
    <row r="6330" spans="3:3" x14ac:dyDescent="0.25">
      <c r="C6330" s="4"/>
    </row>
    <row r="6331" spans="3:3" x14ac:dyDescent="0.25">
      <c r="C6331" s="4"/>
    </row>
    <row r="6332" spans="3:3" x14ac:dyDescent="0.25">
      <c r="C6332" s="4"/>
    </row>
    <row r="6333" spans="3:3" x14ac:dyDescent="0.25">
      <c r="C6333" s="4"/>
    </row>
    <row r="6334" spans="3:3" x14ac:dyDescent="0.25">
      <c r="C6334" s="4"/>
    </row>
    <row r="6335" spans="3:3" x14ac:dyDescent="0.25">
      <c r="C6335" s="4"/>
    </row>
    <row r="6336" spans="3:3" x14ac:dyDescent="0.25">
      <c r="C6336" s="4"/>
    </row>
    <row r="6337" spans="3:3" x14ac:dyDescent="0.25">
      <c r="C6337" s="4"/>
    </row>
    <row r="6338" spans="3:3" x14ac:dyDescent="0.25">
      <c r="C6338" s="4"/>
    </row>
    <row r="6339" spans="3:3" x14ac:dyDescent="0.25">
      <c r="C6339" s="4"/>
    </row>
    <row r="6340" spans="3:3" x14ac:dyDescent="0.25">
      <c r="C6340" s="4"/>
    </row>
    <row r="6341" spans="3:3" x14ac:dyDescent="0.25">
      <c r="C6341" s="4"/>
    </row>
    <row r="6342" spans="3:3" x14ac:dyDescent="0.25">
      <c r="C6342" s="4"/>
    </row>
    <row r="6343" spans="3:3" x14ac:dyDescent="0.25">
      <c r="C6343" s="4"/>
    </row>
    <row r="6344" spans="3:3" x14ac:dyDescent="0.25">
      <c r="C6344" s="4"/>
    </row>
    <row r="6345" spans="3:3" x14ac:dyDescent="0.25">
      <c r="C6345" s="4"/>
    </row>
    <row r="6346" spans="3:3" x14ac:dyDescent="0.25">
      <c r="C6346" s="4"/>
    </row>
    <row r="6347" spans="3:3" x14ac:dyDescent="0.25">
      <c r="C6347" s="4"/>
    </row>
    <row r="6348" spans="3:3" x14ac:dyDescent="0.25">
      <c r="C6348" s="4"/>
    </row>
    <row r="6349" spans="3:3" x14ac:dyDescent="0.25">
      <c r="C6349" s="4"/>
    </row>
    <row r="6350" spans="3:3" x14ac:dyDescent="0.25">
      <c r="C6350" s="4"/>
    </row>
    <row r="6351" spans="3:3" x14ac:dyDescent="0.25">
      <c r="C6351" s="4"/>
    </row>
    <row r="6352" spans="3:3" x14ac:dyDescent="0.25">
      <c r="C6352" s="4"/>
    </row>
    <row r="6353" spans="3:3" x14ac:dyDescent="0.25">
      <c r="C6353" s="4"/>
    </row>
    <row r="6354" spans="3:3" x14ac:dyDescent="0.25">
      <c r="C6354" s="4"/>
    </row>
    <row r="6355" spans="3:3" x14ac:dyDescent="0.25">
      <c r="C6355" s="4"/>
    </row>
    <row r="6356" spans="3:3" x14ac:dyDescent="0.25">
      <c r="C6356" s="4"/>
    </row>
    <row r="6357" spans="3:3" x14ac:dyDescent="0.25">
      <c r="C6357" s="4"/>
    </row>
    <row r="6358" spans="3:3" x14ac:dyDescent="0.25">
      <c r="C6358" s="4"/>
    </row>
    <row r="6359" spans="3:3" x14ac:dyDescent="0.25">
      <c r="C6359" s="4"/>
    </row>
    <row r="6360" spans="3:3" x14ac:dyDescent="0.25">
      <c r="C6360" s="4"/>
    </row>
    <row r="6361" spans="3:3" x14ac:dyDescent="0.25">
      <c r="C6361" s="4"/>
    </row>
    <row r="6362" spans="3:3" x14ac:dyDescent="0.25">
      <c r="C6362" s="4"/>
    </row>
    <row r="6363" spans="3:3" x14ac:dyDescent="0.25">
      <c r="C6363" s="4"/>
    </row>
    <row r="6364" spans="3:3" x14ac:dyDescent="0.25">
      <c r="C6364" s="4"/>
    </row>
    <row r="6365" spans="3:3" x14ac:dyDescent="0.25">
      <c r="C6365" s="4"/>
    </row>
    <row r="6366" spans="3:3" x14ac:dyDescent="0.25">
      <c r="C6366" s="4"/>
    </row>
    <row r="6367" spans="3:3" x14ac:dyDescent="0.25">
      <c r="C6367" s="4"/>
    </row>
    <row r="6368" spans="3:3" x14ac:dyDescent="0.25">
      <c r="C6368" s="4"/>
    </row>
    <row r="6369" spans="3:3" x14ac:dyDescent="0.25">
      <c r="C6369" s="4"/>
    </row>
    <row r="6370" spans="3:3" x14ac:dyDescent="0.25">
      <c r="C6370" s="4"/>
    </row>
    <row r="6371" spans="3:3" x14ac:dyDescent="0.25">
      <c r="C6371" s="4"/>
    </row>
    <row r="6372" spans="3:3" x14ac:dyDescent="0.25">
      <c r="C6372" s="4"/>
    </row>
    <row r="6373" spans="3:3" x14ac:dyDescent="0.25">
      <c r="C6373" s="4"/>
    </row>
    <row r="6374" spans="3:3" x14ac:dyDescent="0.25">
      <c r="C6374" s="4"/>
    </row>
    <row r="6375" spans="3:3" x14ac:dyDescent="0.25">
      <c r="C6375" s="4"/>
    </row>
    <row r="6376" spans="3:3" x14ac:dyDescent="0.25">
      <c r="C6376" s="4"/>
    </row>
    <row r="6377" spans="3:3" x14ac:dyDescent="0.25">
      <c r="C6377" s="4"/>
    </row>
    <row r="6378" spans="3:3" x14ac:dyDescent="0.25">
      <c r="C6378" s="4"/>
    </row>
    <row r="6379" spans="3:3" x14ac:dyDescent="0.25">
      <c r="C6379" s="4"/>
    </row>
    <row r="6380" spans="3:3" x14ac:dyDescent="0.25">
      <c r="C6380" s="4"/>
    </row>
    <row r="6381" spans="3:3" x14ac:dyDescent="0.25">
      <c r="C6381" s="4"/>
    </row>
    <row r="6382" spans="3:3" x14ac:dyDescent="0.25">
      <c r="C6382" s="4"/>
    </row>
    <row r="6383" spans="3:3" x14ac:dyDescent="0.25">
      <c r="C6383" s="4"/>
    </row>
    <row r="6384" spans="3:3" x14ac:dyDescent="0.25">
      <c r="C6384" s="4"/>
    </row>
    <row r="6385" spans="3:3" x14ac:dyDescent="0.25">
      <c r="C6385" s="4"/>
    </row>
    <row r="6386" spans="3:3" x14ac:dyDescent="0.25">
      <c r="C6386" s="4"/>
    </row>
    <row r="6387" spans="3:3" x14ac:dyDescent="0.25">
      <c r="C6387" s="4"/>
    </row>
    <row r="6388" spans="3:3" x14ac:dyDescent="0.25">
      <c r="C6388" s="4"/>
    </row>
    <row r="6389" spans="3:3" x14ac:dyDescent="0.25">
      <c r="C6389" s="4"/>
    </row>
    <row r="6390" spans="3:3" x14ac:dyDescent="0.25">
      <c r="C6390" s="4"/>
    </row>
    <row r="6391" spans="3:3" x14ac:dyDescent="0.25">
      <c r="C6391" s="4"/>
    </row>
    <row r="6392" spans="3:3" x14ac:dyDescent="0.25">
      <c r="C6392" s="4"/>
    </row>
    <row r="6393" spans="3:3" x14ac:dyDescent="0.25">
      <c r="C6393" s="4"/>
    </row>
    <row r="6394" spans="3:3" x14ac:dyDescent="0.25">
      <c r="C6394" s="4"/>
    </row>
    <row r="6395" spans="3:3" x14ac:dyDescent="0.25">
      <c r="C6395" s="4"/>
    </row>
    <row r="6396" spans="3:3" x14ac:dyDescent="0.25">
      <c r="C6396" s="4"/>
    </row>
    <row r="6397" spans="3:3" x14ac:dyDescent="0.25">
      <c r="C6397" s="4"/>
    </row>
    <row r="6398" spans="3:3" x14ac:dyDescent="0.25">
      <c r="C6398" s="4"/>
    </row>
    <row r="6399" spans="3:3" x14ac:dyDescent="0.25">
      <c r="C6399" s="4"/>
    </row>
    <row r="6400" spans="3:3" x14ac:dyDescent="0.25">
      <c r="C6400" s="4"/>
    </row>
    <row r="6401" spans="3:3" x14ac:dyDescent="0.25">
      <c r="C6401" s="4"/>
    </row>
    <row r="6402" spans="3:3" x14ac:dyDescent="0.25">
      <c r="C6402" s="4"/>
    </row>
    <row r="6403" spans="3:3" x14ac:dyDescent="0.25">
      <c r="C6403" s="4"/>
    </row>
    <row r="6404" spans="3:3" x14ac:dyDescent="0.25">
      <c r="C6404" s="4"/>
    </row>
    <row r="6405" spans="3:3" x14ac:dyDescent="0.25">
      <c r="C6405" s="4"/>
    </row>
    <row r="6406" spans="3:3" x14ac:dyDescent="0.25">
      <c r="C6406" s="4"/>
    </row>
    <row r="6407" spans="3:3" x14ac:dyDescent="0.25">
      <c r="C6407" s="4"/>
    </row>
    <row r="6408" spans="3:3" x14ac:dyDescent="0.25">
      <c r="C6408" s="4"/>
    </row>
    <row r="6409" spans="3:3" x14ac:dyDescent="0.25">
      <c r="C6409" s="4"/>
    </row>
    <row r="6410" spans="3:3" x14ac:dyDescent="0.25">
      <c r="C6410" s="4"/>
    </row>
    <row r="6411" spans="3:3" x14ac:dyDescent="0.25">
      <c r="C6411" s="4"/>
    </row>
    <row r="6412" spans="3:3" x14ac:dyDescent="0.25">
      <c r="C6412" s="4"/>
    </row>
    <row r="6413" spans="3:3" x14ac:dyDescent="0.25">
      <c r="C6413" s="4"/>
    </row>
    <row r="6414" spans="3:3" x14ac:dyDescent="0.25">
      <c r="C6414" s="4"/>
    </row>
    <row r="6415" spans="3:3" x14ac:dyDescent="0.25">
      <c r="C6415" s="4"/>
    </row>
    <row r="6416" spans="3:3" x14ac:dyDescent="0.25">
      <c r="C6416" s="4"/>
    </row>
    <row r="6417" spans="3:3" x14ac:dyDescent="0.25">
      <c r="C6417" s="4"/>
    </row>
    <row r="6418" spans="3:3" x14ac:dyDescent="0.25">
      <c r="C6418" s="4"/>
    </row>
    <row r="6419" spans="3:3" x14ac:dyDescent="0.25">
      <c r="C6419" s="4"/>
    </row>
    <row r="6420" spans="3:3" x14ac:dyDescent="0.25">
      <c r="C6420" s="4"/>
    </row>
    <row r="6421" spans="3:3" x14ac:dyDescent="0.25">
      <c r="C6421" s="4"/>
    </row>
    <row r="6422" spans="3:3" x14ac:dyDescent="0.25">
      <c r="C6422" s="4"/>
    </row>
    <row r="6423" spans="3:3" x14ac:dyDescent="0.25">
      <c r="C6423" s="4"/>
    </row>
    <row r="6424" spans="3:3" x14ac:dyDescent="0.25">
      <c r="C6424" s="4"/>
    </row>
    <row r="6425" spans="3:3" x14ac:dyDescent="0.25">
      <c r="C6425" s="4"/>
    </row>
    <row r="6426" spans="3:3" x14ac:dyDescent="0.25">
      <c r="C6426" s="4"/>
    </row>
    <row r="6427" spans="3:3" x14ac:dyDescent="0.25">
      <c r="C6427" s="4"/>
    </row>
    <row r="6428" spans="3:3" x14ac:dyDescent="0.25">
      <c r="C6428" s="4"/>
    </row>
    <row r="6429" spans="3:3" x14ac:dyDescent="0.25">
      <c r="C6429" s="4"/>
    </row>
    <row r="6430" spans="3:3" x14ac:dyDescent="0.25">
      <c r="C6430" s="4"/>
    </row>
    <row r="6431" spans="3:3" x14ac:dyDescent="0.25">
      <c r="C6431" s="4"/>
    </row>
    <row r="6432" spans="3:3" x14ac:dyDescent="0.25">
      <c r="C6432" s="4"/>
    </row>
    <row r="6433" spans="3:3" x14ac:dyDescent="0.25">
      <c r="C6433" s="4"/>
    </row>
    <row r="6434" spans="3:3" x14ac:dyDescent="0.25">
      <c r="C6434" s="4"/>
    </row>
    <row r="6435" spans="3:3" x14ac:dyDescent="0.25">
      <c r="C6435" s="4"/>
    </row>
    <row r="6436" spans="3:3" x14ac:dyDescent="0.25">
      <c r="C6436" s="4"/>
    </row>
    <row r="6437" spans="3:3" x14ac:dyDescent="0.25">
      <c r="C6437" s="4"/>
    </row>
    <row r="6438" spans="3:3" x14ac:dyDescent="0.25">
      <c r="C6438" s="4"/>
    </row>
    <row r="6439" spans="3:3" x14ac:dyDescent="0.25">
      <c r="C6439" s="4"/>
    </row>
    <row r="6440" spans="3:3" x14ac:dyDescent="0.25">
      <c r="C6440" s="4"/>
    </row>
    <row r="6441" spans="3:3" x14ac:dyDescent="0.25">
      <c r="C6441" s="4"/>
    </row>
    <row r="6442" spans="3:3" x14ac:dyDescent="0.25">
      <c r="C6442" s="4"/>
    </row>
    <row r="6443" spans="3:3" x14ac:dyDescent="0.25">
      <c r="C6443" s="4"/>
    </row>
    <row r="6444" spans="3:3" x14ac:dyDescent="0.25">
      <c r="C6444" s="4"/>
    </row>
    <row r="6445" spans="3:3" x14ac:dyDescent="0.25">
      <c r="C6445" s="4"/>
    </row>
    <row r="6446" spans="3:3" x14ac:dyDescent="0.25">
      <c r="C6446" s="4"/>
    </row>
    <row r="6447" spans="3:3" x14ac:dyDescent="0.25">
      <c r="C6447" s="4"/>
    </row>
    <row r="6448" spans="3:3" x14ac:dyDescent="0.25">
      <c r="C6448" s="4"/>
    </row>
    <row r="6449" spans="3:3" x14ac:dyDescent="0.25">
      <c r="C6449" s="4"/>
    </row>
    <row r="6450" spans="3:3" x14ac:dyDescent="0.25">
      <c r="C6450" s="4"/>
    </row>
    <row r="6451" spans="3:3" x14ac:dyDescent="0.25">
      <c r="C6451" s="4"/>
    </row>
    <row r="6452" spans="3:3" x14ac:dyDescent="0.25">
      <c r="C6452" s="4"/>
    </row>
    <row r="6453" spans="3:3" x14ac:dyDescent="0.25">
      <c r="C6453" s="4"/>
    </row>
    <row r="6454" spans="3:3" x14ac:dyDescent="0.25">
      <c r="C6454" s="4"/>
    </row>
    <row r="6455" spans="3:3" x14ac:dyDescent="0.25">
      <c r="C6455" s="4"/>
    </row>
    <row r="6456" spans="3:3" x14ac:dyDescent="0.25">
      <c r="C6456" s="4"/>
    </row>
    <row r="6457" spans="3:3" x14ac:dyDescent="0.25">
      <c r="C6457" s="4"/>
    </row>
    <row r="6458" spans="3:3" x14ac:dyDescent="0.25">
      <c r="C6458" s="4"/>
    </row>
    <row r="6459" spans="3:3" x14ac:dyDescent="0.25">
      <c r="C6459" s="4"/>
    </row>
    <row r="6460" spans="3:3" x14ac:dyDescent="0.25">
      <c r="C6460" s="4"/>
    </row>
    <row r="6461" spans="3:3" x14ac:dyDescent="0.25">
      <c r="C6461" s="4"/>
    </row>
    <row r="6462" spans="3:3" x14ac:dyDescent="0.25">
      <c r="C6462" s="4"/>
    </row>
    <row r="6463" spans="3:3" x14ac:dyDescent="0.25">
      <c r="C6463" s="4"/>
    </row>
    <row r="6464" spans="3:3" x14ac:dyDescent="0.25">
      <c r="C6464" s="4"/>
    </row>
    <row r="6465" spans="3:3" x14ac:dyDescent="0.25">
      <c r="C6465" s="4"/>
    </row>
    <row r="6466" spans="3:3" x14ac:dyDescent="0.25">
      <c r="C6466" s="4"/>
    </row>
    <row r="6467" spans="3:3" x14ac:dyDescent="0.25">
      <c r="C6467" s="4"/>
    </row>
    <row r="6468" spans="3:3" x14ac:dyDescent="0.25">
      <c r="C6468" s="4"/>
    </row>
    <row r="6469" spans="3:3" x14ac:dyDescent="0.25">
      <c r="C6469" s="4"/>
    </row>
    <row r="6470" spans="3:3" x14ac:dyDescent="0.25">
      <c r="C6470" s="4"/>
    </row>
    <row r="6471" spans="3:3" x14ac:dyDescent="0.25">
      <c r="C6471" s="4"/>
    </row>
    <row r="6472" spans="3:3" x14ac:dyDescent="0.25">
      <c r="C6472" s="4"/>
    </row>
    <row r="6473" spans="3:3" x14ac:dyDescent="0.25">
      <c r="C6473" s="4"/>
    </row>
    <row r="6474" spans="3:3" x14ac:dyDescent="0.25">
      <c r="C6474" s="4"/>
    </row>
    <row r="6475" spans="3:3" x14ac:dyDescent="0.25">
      <c r="C6475" s="4"/>
    </row>
    <row r="6476" spans="3:3" x14ac:dyDescent="0.25">
      <c r="C6476" s="4"/>
    </row>
    <row r="6477" spans="3:3" x14ac:dyDescent="0.25">
      <c r="C6477" s="4"/>
    </row>
    <row r="6478" spans="3:3" x14ac:dyDescent="0.25">
      <c r="C6478" s="4"/>
    </row>
    <row r="6479" spans="3:3" x14ac:dyDescent="0.25">
      <c r="C6479" s="4"/>
    </row>
    <row r="6480" spans="3:3" x14ac:dyDescent="0.25">
      <c r="C6480" s="4"/>
    </row>
    <row r="6481" spans="3:3" x14ac:dyDescent="0.25">
      <c r="C6481" s="4"/>
    </row>
    <row r="6482" spans="3:3" x14ac:dyDescent="0.25">
      <c r="C6482" s="4"/>
    </row>
    <row r="6483" spans="3:3" x14ac:dyDescent="0.25">
      <c r="C6483" s="4"/>
    </row>
    <row r="6484" spans="3:3" x14ac:dyDescent="0.25">
      <c r="C6484" s="4"/>
    </row>
    <row r="6485" spans="3:3" x14ac:dyDescent="0.25">
      <c r="C6485" s="4"/>
    </row>
    <row r="6486" spans="3:3" x14ac:dyDescent="0.25">
      <c r="C6486" s="4"/>
    </row>
    <row r="6487" spans="3:3" x14ac:dyDescent="0.25">
      <c r="C6487" s="4"/>
    </row>
    <row r="6488" spans="3:3" x14ac:dyDescent="0.25">
      <c r="C6488" s="4"/>
    </row>
    <row r="6489" spans="3:3" x14ac:dyDescent="0.25">
      <c r="C6489" s="4"/>
    </row>
    <row r="6490" spans="3:3" x14ac:dyDescent="0.25">
      <c r="C6490" s="4"/>
    </row>
    <row r="6491" spans="3:3" x14ac:dyDescent="0.25">
      <c r="C6491" s="4"/>
    </row>
    <row r="6492" spans="3:3" x14ac:dyDescent="0.25">
      <c r="C6492" s="4"/>
    </row>
    <row r="6493" spans="3:3" x14ac:dyDescent="0.25">
      <c r="C6493" s="4"/>
    </row>
    <row r="6494" spans="3:3" x14ac:dyDescent="0.25">
      <c r="C6494" s="4"/>
    </row>
    <row r="6495" spans="3:3" x14ac:dyDescent="0.25">
      <c r="C6495" s="4"/>
    </row>
    <row r="6496" spans="3:3" x14ac:dyDescent="0.25">
      <c r="C6496" s="4"/>
    </row>
    <row r="6497" spans="3:3" x14ac:dyDescent="0.25">
      <c r="C6497" s="4"/>
    </row>
    <row r="6498" spans="3:3" x14ac:dyDescent="0.25">
      <c r="C6498" s="4"/>
    </row>
    <row r="6499" spans="3:3" x14ac:dyDescent="0.25">
      <c r="C6499" s="4"/>
    </row>
    <row r="6500" spans="3:3" x14ac:dyDescent="0.25">
      <c r="C6500" s="4"/>
    </row>
    <row r="6501" spans="3:3" x14ac:dyDescent="0.25">
      <c r="C6501" s="4"/>
    </row>
    <row r="6502" spans="3:3" x14ac:dyDescent="0.25">
      <c r="C6502" s="4"/>
    </row>
    <row r="6503" spans="3:3" x14ac:dyDescent="0.25">
      <c r="C6503" s="4"/>
    </row>
    <row r="6504" spans="3:3" x14ac:dyDescent="0.25">
      <c r="C6504" s="4"/>
    </row>
    <row r="6505" spans="3:3" x14ac:dyDescent="0.25">
      <c r="C6505" s="4"/>
    </row>
    <row r="6506" spans="3:3" x14ac:dyDescent="0.25">
      <c r="C6506" s="4"/>
    </row>
    <row r="6507" spans="3:3" x14ac:dyDescent="0.25">
      <c r="C6507" s="4"/>
    </row>
    <row r="6508" spans="3:3" x14ac:dyDescent="0.25">
      <c r="C6508" s="4"/>
    </row>
    <row r="6509" spans="3:3" x14ac:dyDescent="0.25">
      <c r="C6509" s="4"/>
    </row>
    <row r="6510" spans="3:3" x14ac:dyDescent="0.25">
      <c r="C6510" s="4"/>
    </row>
    <row r="6511" spans="3:3" x14ac:dyDescent="0.25">
      <c r="C6511" s="4"/>
    </row>
    <row r="6512" spans="3:3" x14ac:dyDescent="0.25">
      <c r="C6512" s="4"/>
    </row>
    <row r="6513" spans="3:3" x14ac:dyDescent="0.25">
      <c r="C6513" s="4"/>
    </row>
    <row r="6514" spans="3:3" x14ac:dyDescent="0.25">
      <c r="C6514" s="4"/>
    </row>
    <row r="6515" spans="3:3" x14ac:dyDescent="0.25">
      <c r="C6515" s="4"/>
    </row>
    <row r="6516" spans="3:3" x14ac:dyDescent="0.25">
      <c r="C6516" s="4"/>
    </row>
    <row r="6517" spans="3:3" x14ac:dyDescent="0.25">
      <c r="C6517" s="4"/>
    </row>
    <row r="6518" spans="3:3" x14ac:dyDescent="0.25">
      <c r="C6518" s="4"/>
    </row>
    <row r="6519" spans="3:3" x14ac:dyDescent="0.25">
      <c r="C6519" s="4"/>
    </row>
    <row r="6520" spans="3:3" x14ac:dyDescent="0.25">
      <c r="C6520" s="4"/>
    </row>
    <row r="6521" spans="3:3" x14ac:dyDescent="0.25">
      <c r="C6521" s="4"/>
    </row>
    <row r="6522" spans="3:3" x14ac:dyDescent="0.25">
      <c r="C6522" s="4"/>
    </row>
    <row r="6523" spans="3:3" x14ac:dyDescent="0.25">
      <c r="C6523" s="4"/>
    </row>
    <row r="6524" spans="3:3" x14ac:dyDescent="0.25">
      <c r="C6524" s="4"/>
    </row>
    <row r="6525" spans="3:3" x14ac:dyDescent="0.25">
      <c r="C6525" s="4"/>
    </row>
    <row r="6526" spans="3:3" x14ac:dyDescent="0.25">
      <c r="C6526" s="4"/>
    </row>
    <row r="6527" spans="3:3" x14ac:dyDescent="0.25">
      <c r="C6527" s="4"/>
    </row>
    <row r="6528" spans="3:3" x14ac:dyDescent="0.25">
      <c r="C6528" s="4"/>
    </row>
    <row r="6529" spans="3:3" x14ac:dyDescent="0.25">
      <c r="C6529" s="4"/>
    </row>
    <row r="6530" spans="3:3" x14ac:dyDescent="0.25">
      <c r="C6530" s="4"/>
    </row>
    <row r="6531" spans="3:3" x14ac:dyDescent="0.25">
      <c r="C6531" s="4"/>
    </row>
    <row r="6532" spans="3:3" x14ac:dyDescent="0.25">
      <c r="C6532" s="4"/>
    </row>
    <row r="6533" spans="3:3" x14ac:dyDescent="0.25">
      <c r="C6533" s="4"/>
    </row>
    <row r="6534" spans="3:3" x14ac:dyDescent="0.25">
      <c r="C6534" s="4"/>
    </row>
    <row r="6535" spans="3:3" x14ac:dyDescent="0.25">
      <c r="C6535" s="4"/>
    </row>
    <row r="6536" spans="3:3" x14ac:dyDescent="0.25">
      <c r="C6536" s="4"/>
    </row>
    <row r="6537" spans="3:3" x14ac:dyDescent="0.25">
      <c r="C6537" s="4"/>
    </row>
    <row r="6538" spans="3:3" x14ac:dyDescent="0.25">
      <c r="C6538" s="4"/>
    </row>
    <row r="6539" spans="3:3" x14ac:dyDescent="0.25">
      <c r="C6539" s="4"/>
    </row>
    <row r="6540" spans="3:3" x14ac:dyDescent="0.25">
      <c r="C6540" s="4"/>
    </row>
    <row r="6541" spans="3:3" x14ac:dyDescent="0.25">
      <c r="C6541" s="4"/>
    </row>
    <row r="6542" spans="3:3" x14ac:dyDescent="0.25">
      <c r="C6542" s="4"/>
    </row>
    <row r="6543" spans="3:3" x14ac:dyDescent="0.25">
      <c r="C6543" s="4"/>
    </row>
    <row r="6544" spans="3:3" x14ac:dyDescent="0.25">
      <c r="C6544" s="4"/>
    </row>
    <row r="6545" spans="3:3" x14ac:dyDescent="0.25">
      <c r="C6545" s="4"/>
    </row>
    <row r="6546" spans="3:3" x14ac:dyDescent="0.25">
      <c r="C6546" s="4"/>
    </row>
    <row r="6547" spans="3:3" x14ac:dyDescent="0.25">
      <c r="C6547" s="4"/>
    </row>
    <row r="6548" spans="3:3" x14ac:dyDescent="0.25">
      <c r="C6548" s="4"/>
    </row>
    <row r="6549" spans="3:3" x14ac:dyDescent="0.25">
      <c r="C6549" s="4"/>
    </row>
    <row r="6550" spans="3:3" x14ac:dyDescent="0.25">
      <c r="C6550" s="4"/>
    </row>
    <row r="6551" spans="3:3" x14ac:dyDescent="0.25">
      <c r="C6551" s="4"/>
    </row>
    <row r="6552" spans="3:3" x14ac:dyDescent="0.25">
      <c r="C6552" s="4"/>
    </row>
    <row r="6553" spans="3:3" x14ac:dyDescent="0.25">
      <c r="C6553" s="4"/>
    </row>
    <row r="6554" spans="3:3" x14ac:dyDescent="0.25">
      <c r="C6554" s="4"/>
    </row>
    <row r="6555" spans="3:3" x14ac:dyDescent="0.25">
      <c r="C6555" s="4"/>
    </row>
    <row r="6556" spans="3:3" x14ac:dyDescent="0.25">
      <c r="C6556" s="4"/>
    </row>
    <row r="6557" spans="3:3" x14ac:dyDescent="0.25">
      <c r="C6557" s="4"/>
    </row>
    <row r="6558" spans="3:3" x14ac:dyDescent="0.25">
      <c r="C6558" s="4"/>
    </row>
    <row r="6559" spans="3:3" x14ac:dyDescent="0.25">
      <c r="C6559" s="4"/>
    </row>
    <row r="6560" spans="3:3" x14ac:dyDescent="0.25">
      <c r="C6560" s="4"/>
    </row>
    <row r="6561" spans="3:3" x14ac:dyDescent="0.25">
      <c r="C6561" s="4"/>
    </row>
    <row r="6562" spans="3:3" x14ac:dyDescent="0.25">
      <c r="C6562" s="4"/>
    </row>
    <row r="6563" spans="3:3" x14ac:dyDescent="0.25">
      <c r="C6563" s="4"/>
    </row>
    <row r="6564" spans="3:3" x14ac:dyDescent="0.25">
      <c r="C6564" s="4"/>
    </row>
    <row r="6565" spans="3:3" x14ac:dyDescent="0.25">
      <c r="C6565" s="4"/>
    </row>
    <row r="6566" spans="3:3" x14ac:dyDescent="0.25">
      <c r="C6566" s="4"/>
    </row>
    <row r="6567" spans="3:3" x14ac:dyDescent="0.25">
      <c r="C6567" s="4"/>
    </row>
    <row r="6568" spans="3:3" x14ac:dyDescent="0.25">
      <c r="C6568" s="4"/>
    </row>
    <row r="6569" spans="3:3" x14ac:dyDescent="0.25">
      <c r="C6569" s="4"/>
    </row>
    <row r="6570" spans="3:3" x14ac:dyDescent="0.25">
      <c r="C6570" s="4"/>
    </row>
    <row r="6571" spans="3:3" x14ac:dyDescent="0.25">
      <c r="C6571" s="4"/>
    </row>
    <row r="6572" spans="3:3" x14ac:dyDescent="0.25">
      <c r="C6572" s="4"/>
    </row>
    <row r="6573" spans="3:3" x14ac:dyDescent="0.25">
      <c r="C6573" s="4"/>
    </row>
    <row r="6574" spans="3:3" x14ac:dyDescent="0.25">
      <c r="C6574" s="4"/>
    </row>
    <row r="6575" spans="3:3" x14ac:dyDescent="0.25">
      <c r="C6575" s="4"/>
    </row>
    <row r="6576" spans="3:3" x14ac:dyDescent="0.25">
      <c r="C6576" s="4"/>
    </row>
    <row r="6577" spans="3:3" x14ac:dyDescent="0.25">
      <c r="C6577" s="4"/>
    </row>
    <row r="6578" spans="3:3" x14ac:dyDescent="0.25">
      <c r="C6578" s="4"/>
    </row>
    <row r="6579" spans="3:3" x14ac:dyDescent="0.25">
      <c r="C6579" s="4"/>
    </row>
    <row r="6580" spans="3:3" x14ac:dyDescent="0.25">
      <c r="C6580" s="4"/>
    </row>
    <row r="6581" spans="3:3" x14ac:dyDescent="0.25">
      <c r="C6581" s="4"/>
    </row>
    <row r="6582" spans="3:3" x14ac:dyDescent="0.25">
      <c r="C6582" s="4"/>
    </row>
    <row r="6583" spans="3:3" x14ac:dyDescent="0.25">
      <c r="C6583" s="4"/>
    </row>
    <row r="6584" spans="3:3" x14ac:dyDescent="0.25">
      <c r="C6584" s="4"/>
    </row>
    <row r="6585" spans="3:3" x14ac:dyDescent="0.25">
      <c r="C6585" s="4"/>
    </row>
    <row r="6586" spans="3:3" x14ac:dyDescent="0.25">
      <c r="C6586" s="4"/>
    </row>
    <row r="6587" spans="3:3" x14ac:dyDescent="0.25">
      <c r="C6587" s="4"/>
    </row>
    <row r="6588" spans="3:3" x14ac:dyDescent="0.25">
      <c r="C6588" s="4"/>
    </row>
    <row r="6589" spans="3:3" x14ac:dyDescent="0.25">
      <c r="C6589" s="4"/>
    </row>
    <row r="6590" spans="3:3" x14ac:dyDescent="0.25">
      <c r="C6590" s="4"/>
    </row>
    <row r="6591" spans="3:3" x14ac:dyDescent="0.25">
      <c r="C6591" s="4"/>
    </row>
    <row r="6592" spans="3:3" x14ac:dyDescent="0.25">
      <c r="C6592" s="4"/>
    </row>
    <row r="6593" spans="3:3" x14ac:dyDescent="0.25">
      <c r="C6593" s="4"/>
    </row>
    <row r="6594" spans="3:3" x14ac:dyDescent="0.25">
      <c r="C6594" s="4"/>
    </row>
    <row r="6595" spans="3:3" x14ac:dyDescent="0.25">
      <c r="C6595" s="4"/>
    </row>
    <row r="6596" spans="3:3" x14ac:dyDescent="0.25">
      <c r="C6596" s="4"/>
    </row>
    <row r="6597" spans="3:3" x14ac:dyDescent="0.25">
      <c r="C6597" s="4"/>
    </row>
    <row r="6598" spans="3:3" x14ac:dyDescent="0.25">
      <c r="C6598" s="4"/>
    </row>
    <row r="6599" spans="3:3" x14ac:dyDescent="0.25">
      <c r="C6599" s="4"/>
    </row>
    <row r="6600" spans="3:3" x14ac:dyDescent="0.25">
      <c r="C6600" s="4"/>
    </row>
    <row r="6601" spans="3:3" x14ac:dyDescent="0.25">
      <c r="C6601" s="4"/>
    </row>
    <row r="6602" spans="3:3" x14ac:dyDescent="0.25">
      <c r="C6602" s="4"/>
    </row>
    <row r="6603" spans="3:3" x14ac:dyDescent="0.25">
      <c r="C6603" s="4"/>
    </row>
    <row r="6604" spans="3:3" x14ac:dyDescent="0.25">
      <c r="C6604" s="4"/>
    </row>
    <row r="6605" spans="3:3" x14ac:dyDescent="0.25">
      <c r="C6605" s="4"/>
    </row>
    <row r="6606" spans="3:3" x14ac:dyDescent="0.25">
      <c r="C6606" s="4"/>
    </row>
    <row r="6607" spans="3:3" x14ac:dyDescent="0.25">
      <c r="C6607" s="4"/>
    </row>
    <row r="6608" spans="3:3" x14ac:dyDescent="0.25">
      <c r="C6608" s="4"/>
    </row>
    <row r="6609" spans="3:3" x14ac:dyDescent="0.25">
      <c r="C6609" s="4"/>
    </row>
    <row r="6610" spans="3:3" x14ac:dyDescent="0.25">
      <c r="C6610" s="4"/>
    </row>
    <row r="6611" spans="3:3" x14ac:dyDescent="0.25">
      <c r="C6611" s="4"/>
    </row>
    <row r="6612" spans="3:3" x14ac:dyDescent="0.25">
      <c r="C6612" s="4"/>
    </row>
    <row r="6613" spans="3:3" x14ac:dyDescent="0.25">
      <c r="C6613" s="4"/>
    </row>
    <row r="6614" spans="3:3" x14ac:dyDescent="0.25">
      <c r="C6614" s="4"/>
    </row>
    <row r="6615" spans="3:3" x14ac:dyDescent="0.25">
      <c r="C6615" s="4"/>
    </row>
    <row r="6616" spans="3:3" x14ac:dyDescent="0.25">
      <c r="C6616" s="4"/>
    </row>
    <row r="6617" spans="3:3" x14ac:dyDescent="0.25">
      <c r="C6617" s="4"/>
    </row>
    <row r="6618" spans="3:3" x14ac:dyDescent="0.25">
      <c r="C6618" s="4"/>
    </row>
    <row r="6619" spans="3:3" x14ac:dyDescent="0.25">
      <c r="C6619" s="4"/>
    </row>
    <row r="6620" spans="3:3" x14ac:dyDescent="0.25">
      <c r="C6620" s="4"/>
    </row>
    <row r="6621" spans="3:3" x14ac:dyDescent="0.25">
      <c r="C6621" s="4"/>
    </row>
    <row r="6622" spans="3:3" x14ac:dyDescent="0.25">
      <c r="C6622" s="4"/>
    </row>
    <row r="6623" spans="3:3" x14ac:dyDescent="0.25">
      <c r="C6623" s="4"/>
    </row>
    <row r="6624" spans="3:3" x14ac:dyDescent="0.25">
      <c r="C6624" s="4"/>
    </row>
    <row r="6625" spans="3:3" x14ac:dyDescent="0.25">
      <c r="C6625" s="4"/>
    </row>
    <row r="6626" spans="3:3" x14ac:dyDescent="0.25">
      <c r="C6626" s="4"/>
    </row>
    <row r="6627" spans="3:3" x14ac:dyDescent="0.25">
      <c r="C6627" s="4"/>
    </row>
    <row r="6628" spans="3:3" x14ac:dyDescent="0.25">
      <c r="C6628" s="4"/>
    </row>
    <row r="6629" spans="3:3" x14ac:dyDescent="0.25">
      <c r="C6629" s="4"/>
    </row>
    <row r="6630" spans="3:3" x14ac:dyDescent="0.25">
      <c r="C6630" s="4"/>
    </row>
    <row r="6631" spans="3:3" x14ac:dyDescent="0.25">
      <c r="C6631" s="4"/>
    </row>
    <row r="6632" spans="3:3" x14ac:dyDescent="0.25">
      <c r="C6632" s="4"/>
    </row>
    <row r="6633" spans="3:3" x14ac:dyDescent="0.25">
      <c r="C6633" s="4"/>
    </row>
    <row r="6634" spans="3:3" x14ac:dyDescent="0.25">
      <c r="C6634" s="4"/>
    </row>
    <row r="6635" spans="3:3" x14ac:dyDescent="0.25">
      <c r="C6635" s="4"/>
    </row>
    <row r="6636" spans="3:3" x14ac:dyDescent="0.25">
      <c r="C6636" s="4"/>
    </row>
    <row r="6637" spans="3:3" x14ac:dyDescent="0.25">
      <c r="C6637" s="4"/>
    </row>
    <row r="6638" spans="3:3" x14ac:dyDescent="0.25">
      <c r="C6638" s="4"/>
    </row>
    <row r="6639" spans="3:3" x14ac:dyDescent="0.25">
      <c r="C6639" s="4"/>
    </row>
    <row r="6640" spans="3:3" x14ac:dyDescent="0.25">
      <c r="C6640" s="4"/>
    </row>
    <row r="6641" spans="3:3" x14ac:dyDescent="0.25">
      <c r="C6641" s="4"/>
    </row>
    <row r="6642" spans="3:3" x14ac:dyDescent="0.25">
      <c r="C6642" s="4"/>
    </row>
    <row r="6643" spans="3:3" x14ac:dyDescent="0.25">
      <c r="C6643" s="4"/>
    </row>
    <row r="6644" spans="3:3" x14ac:dyDescent="0.25">
      <c r="C6644" s="4"/>
    </row>
    <row r="6645" spans="3:3" x14ac:dyDescent="0.25">
      <c r="C6645" s="4"/>
    </row>
    <row r="6646" spans="3:3" x14ac:dyDescent="0.25">
      <c r="C6646" s="4"/>
    </row>
    <row r="6647" spans="3:3" x14ac:dyDescent="0.25">
      <c r="C6647" s="4"/>
    </row>
    <row r="6648" spans="3:3" x14ac:dyDescent="0.25">
      <c r="C6648" s="4"/>
    </row>
    <row r="6649" spans="3:3" x14ac:dyDescent="0.25">
      <c r="C6649" s="4"/>
    </row>
    <row r="6650" spans="3:3" x14ac:dyDescent="0.25">
      <c r="C6650" s="4"/>
    </row>
    <row r="6651" spans="3:3" x14ac:dyDescent="0.25">
      <c r="C6651" s="4"/>
    </row>
    <row r="6652" spans="3:3" x14ac:dyDescent="0.25">
      <c r="C6652" s="4"/>
    </row>
    <row r="6653" spans="3:3" x14ac:dyDescent="0.25">
      <c r="C6653" s="4"/>
    </row>
    <row r="6654" spans="3:3" x14ac:dyDescent="0.25">
      <c r="C6654" s="4"/>
    </row>
    <row r="6655" spans="3:3" x14ac:dyDescent="0.25">
      <c r="C6655" s="4"/>
    </row>
    <row r="6656" spans="3:3" x14ac:dyDescent="0.25">
      <c r="C6656" s="4"/>
    </row>
    <row r="6657" spans="3:3" x14ac:dyDescent="0.25">
      <c r="C6657" s="4"/>
    </row>
    <row r="6658" spans="3:3" x14ac:dyDescent="0.25">
      <c r="C6658" s="4"/>
    </row>
    <row r="6659" spans="3:3" x14ac:dyDescent="0.25">
      <c r="C6659" s="4"/>
    </row>
    <row r="6660" spans="3:3" x14ac:dyDescent="0.25">
      <c r="C6660" s="4"/>
    </row>
    <row r="6661" spans="3:3" x14ac:dyDescent="0.25">
      <c r="C6661" s="4"/>
    </row>
    <row r="6662" spans="3:3" x14ac:dyDescent="0.25">
      <c r="C6662" s="4"/>
    </row>
    <row r="6663" spans="3:3" x14ac:dyDescent="0.25">
      <c r="C6663" s="4"/>
    </row>
    <row r="6664" spans="3:3" x14ac:dyDescent="0.25">
      <c r="C6664" s="4"/>
    </row>
    <row r="6665" spans="3:3" x14ac:dyDescent="0.25">
      <c r="C6665" s="4"/>
    </row>
    <row r="6666" spans="3:3" x14ac:dyDescent="0.25">
      <c r="C6666" s="4"/>
    </row>
    <row r="6667" spans="3:3" x14ac:dyDescent="0.25">
      <c r="C6667" s="4"/>
    </row>
    <row r="6668" spans="3:3" x14ac:dyDescent="0.25">
      <c r="C6668" s="4"/>
    </row>
    <row r="6669" spans="3:3" x14ac:dyDescent="0.25">
      <c r="C6669" s="4"/>
    </row>
    <row r="6670" spans="3:3" x14ac:dyDescent="0.25">
      <c r="C6670" s="4"/>
    </row>
    <row r="6671" spans="3:3" x14ac:dyDescent="0.25">
      <c r="C6671" s="4"/>
    </row>
    <row r="6672" spans="3:3" x14ac:dyDescent="0.25">
      <c r="C6672" s="4"/>
    </row>
    <row r="6673" spans="3:3" x14ac:dyDescent="0.25">
      <c r="C6673" s="4"/>
    </row>
    <row r="6674" spans="3:3" x14ac:dyDescent="0.25">
      <c r="C6674" s="4"/>
    </row>
    <row r="6675" spans="3:3" x14ac:dyDescent="0.25">
      <c r="C6675" s="4"/>
    </row>
    <row r="6676" spans="3:3" x14ac:dyDescent="0.25">
      <c r="C6676" s="4"/>
    </row>
    <row r="6677" spans="3:3" x14ac:dyDescent="0.25">
      <c r="C6677" s="4"/>
    </row>
    <row r="6678" spans="3:3" x14ac:dyDescent="0.25">
      <c r="C6678" s="4"/>
    </row>
    <row r="6679" spans="3:3" x14ac:dyDescent="0.25">
      <c r="C6679" s="4"/>
    </row>
    <row r="6680" spans="3:3" x14ac:dyDescent="0.25">
      <c r="C6680" s="4"/>
    </row>
    <row r="6681" spans="3:3" x14ac:dyDescent="0.25">
      <c r="C6681" s="4"/>
    </row>
    <row r="6682" spans="3:3" x14ac:dyDescent="0.25">
      <c r="C6682" s="4"/>
    </row>
    <row r="6683" spans="3:3" x14ac:dyDescent="0.25">
      <c r="C6683" s="4"/>
    </row>
    <row r="6684" spans="3:3" x14ac:dyDescent="0.25">
      <c r="C6684" s="4"/>
    </row>
    <row r="6685" spans="3:3" x14ac:dyDescent="0.25">
      <c r="C6685" s="4"/>
    </row>
    <row r="6686" spans="3:3" x14ac:dyDescent="0.25">
      <c r="C6686" s="4"/>
    </row>
    <row r="6687" spans="3:3" x14ac:dyDescent="0.25">
      <c r="C6687" s="4"/>
    </row>
    <row r="6688" spans="3:3" x14ac:dyDescent="0.25">
      <c r="C6688" s="4"/>
    </row>
    <row r="6689" spans="3:3" x14ac:dyDescent="0.25">
      <c r="C6689" s="4"/>
    </row>
    <row r="6690" spans="3:3" x14ac:dyDescent="0.25">
      <c r="C6690" s="4"/>
    </row>
    <row r="6691" spans="3:3" x14ac:dyDescent="0.25">
      <c r="C6691" s="4"/>
    </row>
    <row r="6692" spans="3:3" x14ac:dyDescent="0.25">
      <c r="C6692" s="4"/>
    </row>
    <row r="6693" spans="3:3" x14ac:dyDescent="0.25">
      <c r="C6693" s="4"/>
    </row>
    <row r="6694" spans="3:3" x14ac:dyDescent="0.25">
      <c r="C6694" s="4"/>
    </row>
    <row r="6695" spans="3:3" x14ac:dyDescent="0.25">
      <c r="C6695" s="4"/>
    </row>
    <row r="6696" spans="3:3" x14ac:dyDescent="0.25">
      <c r="C6696" s="4"/>
    </row>
    <row r="6697" spans="3:3" x14ac:dyDescent="0.25">
      <c r="C6697" s="4"/>
    </row>
    <row r="6698" spans="3:3" x14ac:dyDescent="0.25">
      <c r="C6698" s="4"/>
    </row>
    <row r="6699" spans="3:3" x14ac:dyDescent="0.25">
      <c r="C6699" s="4"/>
    </row>
    <row r="6700" spans="3:3" x14ac:dyDescent="0.25">
      <c r="C6700" s="4"/>
    </row>
    <row r="6701" spans="3:3" x14ac:dyDescent="0.25">
      <c r="C6701" s="4"/>
    </row>
    <row r="6702" spans="3:3" x14ac:dyDescent="0.25">
      <c r="C6702" s="4"/>
    </row>
    <row r="6703" spans="3:3" x14ac:dyDescent="0.25">
      <c r="C6703" s="4"/>
    </row>
    <row r="6704" spans="3:3" x14ac:dyDescent="0.25">
      <c r="C6704" s="4"/>
    </row>
    <row r="6705" spans="3:3" x14ac:dyDescent="0.25">
      <c r="C6705" s="4"/>
    </row>
    <row r="6706" spans="3:3" x14ac:dyDescent="0.25">
      <c r="C6706" s="4"/>
    </row>
    <row r="6707" spans="3:3" x14ac:dyDescent="0.25">
      <c r="C6707" s="4"/>
    </row>
    <row r="6708" spans="3:3" x14ac:dyDescent="0.25">
      <c r="C6708" s="4"/>
    </row>
    <row r="6709" spans="3:3" x14ac:dyDescent="0.25">
      <c r="C6709" s="4"/>
    </row>
    <row r="6710" spans="3:3" x14ac:dyDescent="0.25">
      <c r="C6710" s="4"/>
    </row>
    <row r="6711" spans="3:3" x14ac:dyDescent="0.25">
      <c r="C6711" s="4"/>
    </row>
    <row r="6712" spans="3:3" x14ac:dyDescent="0.25">
      <c r="C6712" s="4"/>
    </row>
    <row r="6713" spans="3:3" x14ac:dyDescent="0.25">
      <c r="C6713" s="4"/>
    </row>
    <row r="6714" spans="3:3" x14ac:dyDescent="0.25">
      <c r="C6714" s="4"/>
    </row>
    <row r="6715" spans="3:3" x14ac:dyDescent="0.25">
      <c r="C6715" s="4"/>
    </row>
    <row r="6716" spans="3:3" x14ac:dyDescent="0.25">
      <c r="C6716" s="4"/>
    </row>
    <row r="6717" spans="3:3" x14ac:dyDescent="0.25">
      <c r="C6717" s="4"/>
    </row>
    <row r="6718" spans="3:3" x14ac:dyDescent="0.25">
      <c r="C6718" s="4"/>
    </row>
    <row r="6719" spans="3:3" x14ac:dyDescent="0.25">
      <c r="C6719" s="4"/>
    </row>
    <row r="6720" spans="3:3" x14ac:dyDescent="0.25">
      <c r="C6720" s="4"/>
    </row>
    <row r="6721" spans="3:3" x14ac:dyDescent="0.25">
      <c r="C6721" s="4"/>
    </row>
    <row r="6722" spans="3:3" x14ac:dyDescent="0.25">
      <c r="C6722" s="4"/>
    </row>
    <row r="6723" spans="3:3" x14ac:dyDescent="0.25">
      <c r="C6723" s="4"/>
    </row>
    <row r="6724" spans="3:3" x14ac:dyDescent="0.25">
      <c r="C6724" s="4"/>
    </row>
    <row r="6725" spans="3:3" x14ac:dyDescent="0.25">
      <c r="C6725" s="4"/>
    </row>
    <row r="6726" spans="3:3" x14ac:dyDescent="0.25">
      <c r="C6726" s="4"/>
    </row>
    <row r="6727" spans="3:3" x14ac:dyDescent="0.25">
      <c r="C6727" s="4"/>
    </row>
    <row r="6728" spans="3:3" x14ac:dyDescent="0.25">
      <c r="C6728" s="4"/>
    </row>
    <row r="6729" spans="3:3" x14ac:dyDescent="0.25">
      <c r="C6729" s="4"/>
    </row>
    <row r="6730" spans="3:3" x14ac:dyDescent="0.25">
      <c r="C6730" s="4"/>
    </row>
    <row r="6731" spans="3:3" x14ac:dyDescent="0.25">
      <c r="C6731" s="4"/>
    </row>
    <row r="6732" spans="3:3" x14ac:dyDescent="0.25">
      <c r="C6732" s="4"/>
    </row>
    <row r="6733" spans="3:3" x14ac:dyDescent="0.25">
      <c r="C6733" s="4"/>
    </row>
    <row r="6734" spans="3:3" x14ac:dyDescent="0.25">
      <c r="C6734" s="4"/>
    </row>
    <row r="6735" spans="3:3" x14ac:dyDescent="0.25">
      <c r="C6735" s="4"/>
    </row>
    <row r="6736" spans="3:3" x14ac:dyDescent="0.25">
      <c r="C6736" s="4"/>
    </row>
    <row r="6737" spans="3:3" x14ac:dyDescent="0.25">
      <c r="C6737" s="4"/>
    </row>
    <row r="6738" spans="3:3" x14ac:dyDescent="0.25">
      <c r="C6738" s="4"/>
    </row>
    <row r="6739" spans="3:3" x14ac:dyDescent="0.25">
      <c r="C6739" s="4"/>
    </row>
    <row r="6740" spans="3:3" x14ac:dyDescent="0.25">
      <c r="C6740" s="4"/>
    </row>
    <row r="6741" spans="3:3" x14ac:dyDescent="0.25">
      <c r="C6741" s="4"/>
    </row>
    <row r="6742" spans="3:3" x14ac:dyDescent="0.25">
      <c r="C6742" s="4"/>
    </row>
    <row r="6743" spans="3:3" x14ac:dyDescent="0.25">
      <c r="C6743" s="4"/>
    </row>
    <row r="6744" spans="3:3" x14ac:dyDescent="0.25">
      <c r="C6744" s="4"/>
    </row>
    <row r="6745" spans="3:3" x14ac:dyDescent="0.25">
      <c r="C6745" s="4"/>
    </row>
    <row r="6746" spans="3:3" x14ac:dyDescent="0.25">
      <c r="C6746" s="4"/>
    </row>
    <row r="6747" spans="3:3" x14ac:dyDescent="0.25">
      <c r="C6747" s="4"/>
    </row>
    <row r="6748" spans="3:3" x14ac:dyDescent="0.25">
      <c r="C6748" s="4"/>
    </row>
    <row r="6749" spans="3:3" x14ac:dyDescent="0.25">
      <c r="C6749" s="4"/>
    </row>
    <row r="6750" spans="3:3" x14ac:dyDescent="0.25">
      <c r="C6750" s="4"/>
    </row>
    <row r="6751" spans="3:3" x14ac:dyDescent="0.25">
      <c r="C6751" s="4"/>
    </row>
    <row r="6752" spans="3:3" x14ac:dyDescent="0.25">
      <c r="C6752" s="4"/>
    </row>
    <row r="6753" spans="3:3" x14ac:dyDescent="0.25">
      <c r="C6753" s="4"/>
    </row>
    <row r="6754" spans="3:3" x14ac:dyDescent="0.25">
      <c r="C6754" s="4"/>
    </row>
    <row r="6755" spans="3:3" x14ac:dyDescent="0.25">
      <c r="C6755" s="4"/>
    </row>
    <row r="6756" spans="3:3" x14ac:dyDescent="0.25">
      <c r="C6756" s="4"/>
    </row>
    <row r="6757" spans="3:3" x14ac:dyDescent="0.25">
      <c r="C6757" s="4"/>
    </row>
    <row r="6758" spans="3:3" x14ac:dyDescent="0.25">
      <c r="C6758" s="4"/>
    </row>
    <row r="6759" spans="3:3" x14ac:dyDescent="0.25">
      <c r="C6759" s="4"/>
    </row>
    <row r="6760" spans="3:3" x14ac:dyDescent="0.25">
      <c r="C6760" s="4"/>
    </row>
    <row r="6761" spans="3:3" x14ac:dyDescent="0.25">
      <c r="C6761" s="4"/>
    </row>
    <row r="6762" spans="3:3" x14ac:dyDescent="0.25">
      <c r="C6762" s="4"/>
    </row>
    <row r="6763" spans="3:3" x14ac:dyDescent="0.25">
      <c r="C6763" s="4"/>
    </row>
    <row r="6764" spans="3:3" x14ac:dyDescent="0.25">
      <c r="C6764" s="4"/>
    </row>
    <row r="6765" spans="3:3" x14ac:dyDescent="0.25">
      <c r="C6765" s="4"/>
    </row>
    <row r="6766" spans="3:3" x14ac:dyDescent="0.25">
      <c r="C6766" s="4"/>
    </row>
    <row r="6767" spans="3:3" x14ac:dyDescent="0.25">
      <c r="C6767" s="4"/>
    </row>
    <row r="6768" spans="3:3" x14ac:dyDescent="0.25">
      <c r="C6768" s="4"/>
    </row>
    <row r="6769" spans="3:3" x14ac:dyDescent="0.25">
      <c r="C6769" s="4"/>
    </row>
    <row r="6770" spans="3:3" x14ac:dyDescent="0.25">
      <c r="C6770" s="4"/>
    </row>
    <row r="6771" spans="3:3" x14ac:dyDescent="0.25">
      <c r="C6771" s="4"/>
    </row>
    <row r="6772" spans="3:3" x14ac:dyDescent="0.25">
      <c r="C6772" s="4"/>
    </row>
    <row r="6773" spans="3:3" x14ac:dyDescent="0.25">
      <c r="C6773" s="4"/>
    </row>
    <row r="6774" spans="3:3" x14ac:dyDescent="0.25">
      <c r="C6774" s="4"/>
    </row>
    <row r="6775" spans="3:3" x14ac:dyDescent="0.25">
      <c r="C6775" s="4"/>
    </row>
    <row r="6776" spans="3:3" x14ac:dyDescent="0.25">
      <c r="C6776" s="4"/>
    </row>
    <row r="6777" spans="3:3" x14ac:dyDescent="0.25">
      <c r="C6777" s="4"/>
    </row>
    <row r="6778" spans="3:3" x14ac:dyDescent="0.25">
      <c r="C6778" s="4"/>
    </row>
    <row r="6779" spans="3:3" x14ac:dyDescent="0.25">
      <c r="C6779" s="4"/>
    </row>
    <row r="6780" spans="3:3" x14ac:dyDescent="0.25">
      <c r="C6780" s="4"/>
    </row>
    <row r="6781" spans="3:3" x14ac:dyDescent="0.25">
      <c r="C6781" s="4"/>
    </row>
    <row r="6782" spans="3:3" x14ac:dyDescent="0.25">
      <c r="C6782" s="4"/>
    </row>
    <row r="6783" spans="3:3" x14ac:dyDescent="0.25">
      <c r="C6783" s="4"/>
    </row>
    <row r="6784" spans="3:3" x14ac:dyDescent="0.25">
      <c r="C6784" s="4"/>
    </row>
    <row r="6785" spans="3:3" x14ac:dyDescent="0.25">
      <c r="C6785" s="4"/>
    </row>
    <row r="6786" spans="3:3" x14ac:dyDescent="0.25">
      <c r="C6786" s="4"/>
    </row>
    <row r="6787" spans="3:3" x14ac:dyDescent="0.25">
      <c r="C6787" s="4"/>
    </row>
    <row r="6788" spans="3:3" x14ac:dyDescent="0.25">
      <c r="C6788" s="4"/>
    </row>
    <row r="6789" spans="3:3" x14ac:dyDescent="0.25">
      <c r="C6789" s="4"/>
    </row>
    <row r="6790" spans="3:3" x14ac:dyDescent="0.25">
      <c r="C6790" s="4"/>
    </row>
    <row r="6791" spans="3:3" x14ac:dyDescent="0.25">
      <c r="C6791" s="4"/>
    </row>
    <row r="6792" spans="3:3" x14ac:dyDescent="0.25">
      <c r="C6792" s="4"/>
    </row>
    <row r="6793" spans="3:3" x14ac:dyDescent="0.25">
      <c r="C6793" s="4"/>
    </row>
    <row r="6794" spans="3:3" x14ac:dyDescent="0.25">
      <c r="C6794" s="4"/>
    </row>
    <row r="6795" spans="3:3" x14ac:dyDescent="0.25">
      <c r="C6795" s="4"/>
    </row>
    <row r="6796" spans="3:3" x14ac:dyDescent="0.25">
      <c r="C6796" s="4"/>
    </row>
    <row r="6797" spans="3:3" x14ac:dyDescent="0.25">
      <c r="C6797" s="4"/>
    </row>
    <row r="6798" spans="3:3" x14ac:dyDescent="0.25">
      <c r="C6798" s="4"/>
    </row>
    <row r="6799" spans="3:3" x14ac:dyDescent="0.25">
      <c r="C6799" s="4"/>
    </row>
    <row r="6800" spans="3:3" x14ac:dyDescent="0.25">
      <c r="C6800" s="4"/>
    </row>
    <row r="6801" spans="3:3" x14ac:dyDescent="0.25">
      <c r="C6801" s="4"/>
    </row>
    <row r="6802" spans="3:3" x14ac:dyDescent="0.25">
      <c r="C6802" s="4"/>
    </row>
    <row r="6803" spans="3:3" x14ac:dyDescent="0.25">
      <c r="C6803" s="4"/>
    </row>
    <row r="6804" spans="3:3" x14ac:dyDescent="0.25">
      <c r="C6804" s="4"/>
    </row>
    <row r="6805" spans="3:3" x14ac:dyDescent="0.25">
      <c r="C6805" s="4"/>
    </row>
    <row r="6806" spans="3:3" x14ac:dyDescent="0.25">
      <c r="C6806" s="4"/>
    </row>
    <row r="6807" spans="3:3" x14ac:dyDescent="0.25">
      <c r="C6807" s="4"/>
    </row>
    <row r="6808" spans="3:3" x14ac:dyDescent="0.25">
      <c r="C6808" s="4"/>
    </row>
    <row r="6809" spans="3:3" x14ac:dyDescent="0.25">
      <c r="C6809" s="4"/>
    </row>
    <row r="6810" spans="3:3" x14ac:dyDescent="0.25">
      <c r="C6810" s="4"/>
    </row>
    <row r="6811" spans="3:3" x14ac:dyDescent="0.25">
      <c r="C6811" s="4"/>
    </row>
    <row r="6812" spans="3:3" x14ac:dyDescent="0.25">
      <c r="C6812" s="4"/>
    </row>
    <row r="6813" spans="3:3" x14ac:dyDescent="0.25">
      <c r="C6813" s="4"/>
    </row>
    <row r="6814" spans="3:3" x14ac:dyDescent="0.25">
      <c r="C6814" s="4"/>
    </row>
    <row r="6815" spans="3:3" x14ac:dyDescent="0.25">
      <c r="C6815" s="4"/>
    </row>
    <row r="6816" spans="3:3" x14ac:dyDescent="0.25">
      <c r="C6816" s="4"/>
    </row>
    <row r="6817" spans="3:3" x14ac:dyDescent="0.25">
      <c r="C6817" s="4"/>
    </row>
    <row r="6818" spans="3:3" x14ac:dyDescent="0.25">
      <c r="C6818" s="4"/>
    </row>
    <row r="6819" spans="3:3" x14ac:dyDescent="0.25">
      <c r="C6819" s="4"/>
    </row>
    <row r="6820" spans="3:3" x14ac:dyDescent="0.25">
      <c r="C6820" s="4"/>
    </row>
    <row r="6821" spans="3:3" x14ac:dyDescent="0.25">
      <c r="C6821" s="4"/>
    </row>
    <row r="6822" spans="3:3" x14ac:dyDescent="0.25">
      <c r="C6822" s="4"/>
    </row>
    <row r="6823" spans="3:3" x14ac:dyDescent="0.25">
      <c r="C6823" s="4"/>
    </row>
    <row r="6824" spans="3:3" x14ac:dyDescent="0.25">
      <c r="C6824" s="4"/>
    </row>
    <row r="6825" spans="3:3" x14ac:dyDescent="0.25">
      <c r="C6825" s="4"/>
    </row>
    <row r="6826" spans="3:3" x14ac:dyDescent="0.25">
      <c r="C6826" s="4"/>
    </row>
    <row r="6827" spans="3:3" x14ac:dyDescent="0.25">
      <c r="C6827" s="4"/>
    </row>
    <row r="6828" spans="3:3" x14ac:dyDescent="0.25">
      <c r="C6828" s="4"/>
    </row>
    <row r="6829" spans="3:3" x14ac:dyDescent="0.25">
      <c r="C6829" s="4"/>
    </row>
    <row r="6830" spans="3:3" x14ac:dyDescent="0.25">
      <c r="C6830" s="4"/>
    </row>
    <row r="6831" spans="3:3" x14ac:dyDescent="0.25">
      <c r="C6831" s="4"/>
    </row>
    <row r="6832" spans="3:3" x14ac:dyDescent="0.25">
      <c r="C6832" s="4"/>
    </row>
    <row r="6833" spans="3:3" x14ac:dyDescent="0.25">
      <c r="C6833" s="4"/>
    </row>
    <row r="6834" spans="3:3" x14ac:dyDescent="0.25">
      <c r="C6834" s="4"/>
    </row>
    <row r="6835" spans="3:3" x14ac:dyDescent="0.25">
      <c r="C6835" s="4"/>
    </row>
    <row r="6836" spans="3:3" x14ac:dyDescent="0.25">
      <c r="C6836" s="4"/>
    </row>
    <row r="6837" spans="3:3" x14ac:dyDescent="0.25">
      <c r="C6837" s="4"/>
    </row>
    <row r="6838" spans="3:3" x14ac:dyDescent="0.25">
      <c r="C6838" s="4"/>
    </row>
    <row r="6839" spans="3:3" x14ac:dyDescent="0.25">
      <c r="C6839" s="4"/>
    </row>
    <row r="6840" spans="3:3" x14ac:dyDescent="0.25">
      <c r="C6840" s="4"/>
    </row>
    <row r="6841" spans="3:3" x14ac:dyDescent="0.25">
      <c r="C6841" s="4"/>
    </row>
    <row r="6842" spans="3:3" x14ac:dyDescent="0.25">
      <c r="C6842" s="4"/>
    </row>
    <row r="6843" spans="3:3" x14ac:dyDescent="0.25">
      <c r="C6843" s="4"/>
    </row>
    <row r="6844" spans="3:3" x14ac:dyDescent="0.25">
      <c r="C6844" s="4"/>
    </row>
    <row r="6845" spans="3:3" x14ac:dyDescent="0.25">
      <c r="C6845" s="4"/>
    </row>
    <row r="6846" spans="3:3" x14ac:dyDescent="0.25">
      <c r="C6846" s="4"/>
    </row>
    <row r="6847" spans="3:3" x14ac:dyDescent="0.25">
      <c r="C6847" s="4"/>
    </row>
    <row r="6848" spans="3:3" x14ac:dyDescent="0.25">
      <c r="C6848" s="4"/>
    </row>
    <row r="6849" spans="3:3" x14ac:dyDescent="0.25">
      <c r="C6849" s="4"/>
    </row>
    <row r="6850" spans="3:3" x14ac:dyDescent="0.25">
      <c r="C6850" s="4"/>
    </row>
    <row r="6851" spans="3:3" x14ac:dyDescent="0.25">
      <c r="C6851" s="4"/>
    </row>
    <row r="6852" spans="3:3" x14ac:dyDescent="0.25">
      <c r="C6852" s="4"/>
    </row>
    <row r="6853" spans="3:3" x14ac:dyDescent="0.25">
      <c r="C6853" s="4"/>
    </row>
    <row r="6854" spans="3:3" x14ac:dyDescent="0.25">
      <c r="C6854" s="4"/>
    </row>
    <row r="6855" spans="3:3" x14ac:dyDescent="0.25">
      <c r="C6855" s="4"/>
    </row>
    <row r="6856" spans="3:3" x14ac:dyDescent="0.25">
      <c r="C6856" s="4"/>
    </row>
    <row r="6857" spans="3:3" x14ac:dyDescent="0.25">
      <c r="C6857" s="4"/>
    </row>
    <row r="6858" spans="3:3" x14ac:dyDescent="0.25">
      <c r="C6858" s="4"/>
    </row>
    <row r="6859" spans="3:3" x14ac:dyDescent="0.25">
      <c r="C6859" s="4"/>
    </row>
    <row r="6860" spans="3:3" x14ac:dyDescent="0.25">
      <c r="C6860" s="4"/>
    </row>
    <row r="6861" spans="3:3" x14ac:dyDescent="0.25">
      <c r="C6861" s="4"/>
    </row>
    <row r="6862" spans="3:3" x14ac:dyDescent="0.25">
      <c r="C6862" s="4"/>
    </row>
    <row r="6863" spans="3:3" x14ac:dyDescent="0.25">
      <c r="C6863" s="4"/>
    </row>
    <row r="6864" spans="3:3" x14ac:dyDescent="0.25">
      <c r="C6864" s="4"/>
    </row>
    <row r="6865" spans="3:3" x14ac:dyDescent="0.25">
      <c r="C6865" s="4"/>
    </row>
    <row r="6866" spans="3:3" x14ac:dyDescent="0.25">
      <c r="C6866" s="4"/>
    </row>
    <row r="6867" spans="3:3" x14ac:dyDescent="0.25">
      <c r="C6867" s="4"/>
    </row>
    <row r="6868" spans="3:3" x14ac:dyDescent="0.25">
      <c r="C6868" s="4"/>
    </row>
    <row r="6869" spans="3:3" x14ac:dyDescent="0.25">
      <c r="C6869" s="4"/>
    </row>
    <row r="6870" spans="3:3" x14ac:dyDescent="0.25">
      <c r="C6870" s="4"/>
    </row>
    <row r="6871" spans="3:3" x14ac:dyDescent="0.25">
      <c r="C6871" s="4"/>
    </row>
    <row r="6872" spans="3:3" x14ac:dyDescent="0.25">
      <c r="C6872" s="4"/>
    </row>
    <row r="6873" spans="3:3" x14ac:dyDescent="0.25">
      <c r="C6873" s="4"/>
    </row>
    <row r="6874" spans="3:3" x14ac:dyDescent="0.25">
      <c r="C6874" s="4"/>
    </row>
    <row r="6875" spans="3:3" x14ac:dyDescent="0.25">
      <c r="C6875" s="4"/>
    </row>
    <row r="6876" spans="3:3" x14ac:dyDescent="0.25">
      <c r="C6876" s="4"/>
    </row>
    <row r="6877" spans="3:3" x14ac:dyDescent="0.25">
      <c r="C6877" s="4"/>
    </row>
    <row r="6878" spans="3:3" x14ac:dyDescent="0.25">
      <c r="C6878" s="4"/>
    </row>
    <row r="6879" spans="3:3" x14ac:dyDescent="0.25">
      <c r="C6879" s="4"/>
    </row>
    <row r="6880" spans="3:3" x14ac:dyDescent="0.25">
      <c r="C6880" s="4"/>
    </row>
    <row r="6881" spans="3:3" x14ac:dyDescent="0.25">
      <c r="C6881" s="4"/>
    </row>
    <row r="6882" spans="3:3" x14ac:dyDescent="0.25">
      <c r="C6882" s="4"/>
    </row>
    <row r="6883" spans="3:3" x14ac:dyDescent="0.25">
      <c r="C6883" s="4"/>
    </row>
    <row r="6884" spans="3:3" x14ac:dyDescent="0.25">
      <c r="C6884" s="4"/>
    </row>
    <row r="6885" spans="3:3" x14ac:dyDescent="0.25">
      <c r="C6885" s="4"/>
    </row>
    <row r="6886" spans="3:3" x14ac:dyDescent="0.25">
      <c r="C6886" s="4"/>
    </row>
    <row r="6887" spans="3:3" x14ac:dyDescent="0.25">
      <c r="C6887" s="4"/>
    </row>
    <row r="6888" spans="3:3" x14ac:dyDescent="0.25">
      <c r="C6888" s="4"/>
    </row>
    <row r="6889" spans="3:3" x14ac:dyDescent="0.25">
      <c r="C6889" s="4"/>
    </row>
    <row r="6890" spans="3:3" x14ac:dyDescent="0.25">
      <c r="C6890" s="4"/>
    </row>
    <row r="6891" spans="3:3" x14ac:dyDescent="0.25">
      <c r="C6891" s="4"/>
    </row>
    <row r="6892" spans="3:3" x14ac:dyDescent="0.25">
      <c r="C6892" s="4"/>
    </row>
    <row r="6893" spans="3:3" x14ac:dyDescent="0.25">
      <c r="C6893" s="4"/>
    </row>
    <row r="6894" spans="3:3" x14ac:dyDescent="0.25">
      <c r="C6894" s="4"/>
    </row>
    <row r="6895" spans="3:3" x14ac:dyDescent="0.25">
      <c r="C6895" s="4"/>
    </row>
    <row r="6896" spans="3:3" x14ac:dyDescent="0.25">
      <c r="C6896" s="4"/>
    </row>
    <row r="6897" spans="3:3" x14ac:dyDescent="0.25">
      <c r="C6897" s="4"/>
    </row>
    <row r="6898" spans="3:3" x14ac:dyDescent="0.25">
      <c r="C6898" s="4"/>
    </row>
    <row r="6899" spans="3:3" x14ac:dyDescent="0.25">
      <c r="C6899" s="4"/>
    </row>
    <row r="6900" spans="3:3" x14ac:dyDescent="0.25">
      <c r="C6900" s="4"/>
    </row>
    <row r="6901" spans="3:3" x14ac:dyDescent="0.25">
      <c r="C6901" s="4"/>
    </row>
    <row r="6902" spans="3:3" x14ac:dyDescent="0.25">
      <c r="C6902" s="4"/>
    </row>
    <row r="6903" spans="3:3" x14ac:dyDescent="0.25">
      <c r="C6903" s="4"/>
    </row>
    <row r="6904" spans="3:3" x14ac:dyDescent="0.25">
      <c r="C6904" s="4"/>
    </row>
    <row r="6905" spans="3:3" x14ac:dyDescent="0.25">
      <c r="C6905" s="4"/>
    </row>
    <row r="6906" spans="3:3" x14ac:dyDescent="0.25">
      <c r="C6906" s="4"/>
    </row>
    <row r="6907" spans="3:3" x14ac:dyDescent="0.25">
      <c r="C6907" s="4"/>
    </row>
    <row r="6908" spans="3:3" x14ac:dyDescent="0.25">
      <c r="C6908" s="4"/>
    </row>
    <row r="6909" spans="3:3" x14ac:dyDescent="0.25">
      <c r="C6909" s="4"/>
    </row>
    <row r="6910" spans="3:3" x14ac:dyDescent="0.25">
      <c r="C6910" s="4"/>
    </row>
    <row r="6911" spans="3:3" x14ac:dyDescent="0.25">
      <c r="C6911" s="4"/>
    </row>
    <row r="6912" spans="3:3" x14ac:dyDescent="0.25">
      <c r="C6912" s="4"/>
    </row>
    <row r="6913" spans="3:3" x14ac:dyDescent="0.25">
      <c r="C6913" s="4"/>
    </row>
    <row r="6914" spans="3:3" x14ac:dyDescent="0.25">
      <c r="C6914" s="4"/>
    </row>
    <row r="6915" spans="3:3" x14ac:dyDescent="0.25">
      <c r="C6915" s="4"/>
    </row>
    <row r="6916" spans="3:3" x14ac:dyDescent="0.25">
      <c r="C6916" s="4"/>
    </row>
    <row r="6917" spans="3:3" x14ac:dyDescent="0.25">
      <c r="C6917" s="4"/>
    </row>
    <row r="6918" spans="3:3" x14ac:dyDescent="0.25">
      <c r="C6918" s="4"/>
    </row>
    <row r="6919" spans="3:3" x14ac:dyDescent="0.25">
      <c r="C6919" s="4"/>
    </row>
    <row r="6920" spans="3:3" x14ac:dyDescent="0.25">
      <c r="C6920" s="4"/>
    </row>
    <row r="6921" spans="3:3" x14ac:dyDescent="0.25">
      <c r="C6921" s="4"/>
    </row>
    <row r="6922" spans="3:3" x14ac:dyDescent="0.25">
      <c r="C6922" s="4"/>
    </row>
    <row r="6923" spans="3:3" x14ac:dyDescent="0.25">
      <c r="C6923" s="4"/>
    </row>
    <row r="6924" spans="3:3" x14ac:dyDescent="0.25">
      <c r="C6924" s="4"/>
    </row>
    <row r="6925" spans="3:3" x14ac:dyDescent="0.25">
      <c r="C6925" s="4"/>
    </row>
    <row r="6926" spans="3:3" x14ac:dyDescent="0.25">
      <c r="C6926" s="4"/>
    </row>
    <row r="6927" spans="3:3" x14ac:dyDescent="0.25">
      <c r="C6927" s="4"/>
    </row>
    <row r="6928" spans="3:3" x14ac:dyDescent="0.25">
      <c r="C6928" s="4"/>
    </row>
    <row r="6929" spans="3:3" x14ac:dyDescent="0.25">
      <c r="C6929" s="4"/>
    </row>
    <row r="6930" spans="3:3" x14ac:dyDescent="0.25">
      <c r="C6930" s="4"/>
    </row>
    <row r="6931" spans="3:3" x14ac:dyDescent="0.25">
      <c r="C6931" s="4"/>
    </row>
    <row r="6932" spans="3:3" x14ac:dyDescent="0.25">
      <c r="C6932" s="4"/>
    </row>
    <row r="6933" spans="3:3" x14ac:dyDescent="0.25">
      <c r="C6933" s="4"/>
    </row>
    <row r="6934" spans="3:3" x14ac:dyDescent="0.25">
      <c r="C6934" s="4"/>
    </row>
    <row r="6935" spans="3:3" x14ac:dyDescent="0.25">
      <c r="C6935" s="4"/>
    </row>
    <row r="6936" spans="3:3" x14ac:dyDescent="0.25">
      <c r="C6936" s="4"/>
    </row>
    <row r="6937" spans="3:3" x14ac:dyDescent="0.25">
      <c r="C6937" s="4"/>
    </row>
    <row r="6938" spans="3:3" x14ac:dyDescent="0.25">
      <c r="C6938" s="4"/>
    </row>
    <row r="6939" spans="3:3" x14ac:dyDescent="0.25">
      <c r="C6939" s="4"/>
    </row>
    <row r="6940" spans="3:3" x14ac:dyDescent="0.25">
      <c r="C6940" s="4"/>
    </row>
    <row r="6941" spans="3:3" x14ac:dyDescent="0.25">
      <c r="C6941" s="4"/>
    </row>
    <row r="6942" spans="3:3" x14ac:dyDescent="0.25">
      <c r="C6942" s="4"/>
    </row>
    <row r="6943" spans="3:3" x14ac:dyDescent="0.25">
      <c r="C6943" s="4"/>
    </row>
    <row r="6944" spans="3:3" x14ac:dyDescent="0.25">
      <c r="C6944" s="4"/>
    </row>
    <row r="6945" spans="3:3" x14ac:dyDescent="0.25">
      <c r="C6945" s="4"/>
    </row>
    <row r="6946" spans="3:3" x14ac:dyDescent="0.25">
      <c r="C6946" s="4"/>
    </row>
    <row r="6947" spans="3:3" x14ac:dyDescent="0.25">
      <c r="C6947" s="4"/>
    </row>
    <row r="6948" spans="3:3" x14ac:dyDescent="0.25">
      <c r="C6948" s="4"/>
    </row>
    <row r="6949" spans="3:3" x14ac:dyDescent="0.25">
      <c r="C6949" s="4"/>
    </row>
    <row r="6950" spans="3:3" x14ac:dyDescent="0.25">
      <c r="C6950" s="4"/>
    </row>
    <row r="6951" spans="3:3" x14ac:dyDescent="0.25">
      <c r="C6951" s="4"/>
    </row>
    <row r="6952" spans="3:3" x14ac:dyDescent="0.25">
      <c r="C6952" s="4"/>
    </row>
    <row r="6953" spans="3:3" x14ac:dyDescent="0.25">
      <c r="C6953" s="4"/>
    </row>
    <row r="6954" spans="3:3" x14ac:dyDescent="0.25">
      <c r="C6954" s="4"/>
    </row>
    <row r="6955" spans="3:3" x14ac:dyDescent="0.25">
      <c r="C6955" s="4"/>
    </row>
    <row r="6956" spans="3:3" x14ac:dyDescent="0.25">
      <c r="C6956" s="4"/>
    </row>
    <row r="6957" spans="3:3" x14ac:dyDescent="0.25">
      <c r="C6957" s="4"/>
    </row>
    <row r="6958" spans="3:3" x14ac:dyDescent="0.25">
      <c r="C6958" s="4"/>
    </row>
    <row r="6959" spans="3:3" x14ac:dyDescent="0.25">
      <c r="C6959" s="4"/>
    </row>
    <row r="6960" spans="3:3" x14ac:dyDescent="0.25">
      <c r="C6960" s="4"/>
    </row>
    <row r="6961" spans="3:3" x14ac:dyDescent="0.25">
      <c r="C6961" s="4"/>
    </row>
    <row r="6962" spans="3:3" x14ac:dyDescent="0.25">
      <c r="C6962" s="4"/>
    </row>
    <row r="6963" spans="3:3" x14ac:dyDescent="0.25">
      <c r="C6963" s="4"/>
    </row>
    <row r="6964" spans="3:3" x14ac:dyDescent="0.25">
      <c r="C6964" s="4"/>
    </row>
    <row r="6965" spans="3:3" x14ac:dyDescent="0.25">
      <c r="C6965" s="4"/>
    </row>
    <row r="6966" spans="3:3" x14ac:dyDescent="0.25">
      <c r="C6966" s="4"/>
    </row>
    <row r="6967" spans="3:3" x14ac:dyDescent="0.25">
      <c r="C6967" s="4"/>
    </row>
    <row r="6968" spans="3:3" x14ac:dyDescent="0.25">
      <c r="C6968" s="4"/>
    </row>
    <row r="6969" spans="3:3" x14ac:dyDescent="0.25">
      <c r="C6969" s="4"/>
    </row>
    <row r="6970" spans="3:3" x14ac:dyDescent="0.25">
      <c r="C6970" s="4"/>
    </row>
    <row r="6971" spans="3:3" x14ac:dyDescent="0.25">
      <c r="C6971" s="4"/>
    </row>
    <row r="6972" spans="3:3" x14ac:dyDescent="0.25">
      <c r="C6972" s="4"/>
    </row>
    <row r="6973" spans="3:3" x14ac:dyDescent="0.25">
      <c r="C6973" s="4"/>
    </row>
    <row r="6974" spans="3:3" x14ac:dyDescent="0.25">
      <c r="C6974" s="4"/>
    </row>
    <row r="6975" spans="3:3" x14ac:dyDescent="0.25">
      <c r="C6975" s="4"/>
    </row>
    <row r="6976" spans="3:3" x14ac:dyDescent="0.25">
      <c r="C6976" s="4"/>
    </row>
    <row r="6977" spans="3:3" x14ac:dyDescent="0.25">
      <c r="C6977" s="4"/>
    </row>
    <row r="6978" spans="3:3" x14ac:dyDescent="0.25">
      <c r="C6978" s="4"/>
    </row>
    <row r="6979" spans="3:3" x14ac:dyDescent="0.25">
      <c r="C6979" s="4"/>
    </row>
    <row r="6980" spans="3:3" x14ac:dyDescent="0.25">
      <c r="C6980" s="4"/>
    </row>
    <row r="6981" spans="3:3" x14ac:dyDescent="0.25">
      <c r="C6981" s="4"/>
    </row>
    <row r="6982" spans="3:3" x14ac:dyDescent="0.25">
      <c r="C6982" s="4"/>
    </row>
    <row r="6983" spans="3:3" x14ac:dyDescent="0.25">
      <c r="C6983" s="4"/>
    </row>
    <row r="6984" spans="3:3" x14ac:dyDescent="0.25">
      <c r="C6984" s="4"/>
    </row>
    <row r="6985" spans="3:3" x14ac:dyDescent="0.25">
      <c r="C6985" s="4"/>
    </row>
    <row r="6986" spans="3:3" x14ac:dyDescent="0.25">
      <c r="C6986" s="4"/>
    </row>
    <row r="6987" spans="3:3" x14ac:dyDescent="0.25">
      <c r="C6987" s="4"/>
    </row>
    <row r="6988" spans="3:3" x14ac:dyDescent="0.25">
      <c r="C6988" s="4"/>
    </row>
    <row r="6989" spans="3:3" x14ac:dyDescent="0.25">
      <c r="C6989" s="4"/>
    </row>
    <row r="6990" spans="3:3" x14ac:dyDescent="0.25">
      <c r="C6990" s="4"/>
    </row>
    <row r="6991" spans="3:3" x14ac:dyDescent="0.25">
      <c r="C6991" s="4"/>
    </row>
    <row r="6992" spans="3:3" x14ac:dyDescent="0.25">
      <c r="C6992" s="4"/>
    </row>
    <row r="6993" spans="3:3" x14ac:dyDescent="0.25">
      <c r="C6993" s="4"/>
    </row>
    <row r="6994" spans="3:3" x14ac:dyDescent="0.25">
      <c r="C6994" s="4"/>
    </row>
    <row r="6995" spans="3:3" x14ac:dyDescent="0.25">
      <c r="C6995" s="4"/>
    </row>
    <row r="6996" spans="3:3" x14ac:dyDescent="0.25">
      <c r="C6996" s="4"/>
    </row>
    <row r="6997" spans="3:3" x14ac:dyDescent="0.25">
      <c r="C6997" s="4"/>
    </row>
    <row r="6998" spans="3:3" x14ac:dyDescent="0.25">
      <c r="C6998" s="4"/>
    </row>
    <row r="6999" spans="3:3" x14ac:dyDescent="0.25">
      <c r="C6999" s="4"/>
    </row>
    <row r="7000" spans="3:3" x14ac:dyDescent="0.25">
      <c r="C7000" s="4"/>
    </row>
    <row r="7001" spans="3:3" x14ac:dyDescent="0.25">
      <c r="C7001" s="4"/>
    </row>
    <row r="7002" spans="3:3" x14ac:dyDescent="0.25">
      <c r="C7002" s="4"/>
    </row>
    <row r="7003" spans="3:3" x14ac:dyDescent="0.25">
      <c r="C7003" s="4"/>
    </row>
    <row r="7004" spans="3:3" x14ac:dyDescent="0.25">
      <c r="C7004" s="4"/>
    </row>
    <row r="7005" spans="3:3" x14ac:dyDescent="0.25">
      <c r="C7005" s="4"/>
    </row>
    <row r="7006" spans="3:3" x14ac:dyDescent="0.25">
      <c r="C7006" s="4"/>
    </row>
    <row r="7007" spans="3:3" x14ac:dyDescent="0.25">
      <c r="C7007" s="4"/>
    </row>
    <row r="7008" spans="3:3" x14ac:dyDescent="0.25">
      <c r="C7008" s="4"/>
    </row>
    <row r="7009" spans="3:3" x14ac:dyDescent="0.25">
      <c r="C7009" s="4"/>
    </row>
    <row r="7010" spans="3:3" x14ac:dyDescent="0.25">
      <c r="C7010" s="4"/>
    </row>
    <row r="7011" spans="3:3" x14ac:dyDescent="0.25">
      <c r="C7011" s="4"/>
    </row>
    <row r="7012" spans="3:3" x14ac:dyDescent="0.25">
      <c r="C7012" s="4"/>
    </row>
    <row r="7013" spans="3:3" x14ac:dyDescent="0.25">
      <c r="C7013" s="4"/>
    </row>
    <row r="7014" spans="3:3" x14ac:dyDescent="0.25">
      <c r="C7014" s="4"/>
    </row>
    <row r="7015" spans="3:3" x14ac:dyDescent="0.25">
      <c r="C7015" s="4"/>
    </row>
    <row r="7016" spans="3:3" x14ac:dyDescent="0.25">
      <c r="C7016" s="4"/>
    </row>
    <row r="7017" spans="3:3" x14ac:dyDescent="0.25">
      <c r="C7017" s="4"/>
    </row>
    <row r="7018" spans="3:3" x14ac:dyDescent="0.25">
      <c r="C7018" s="4"/>
    </row>
    <row r="7019" spans="3:3" x14ac:dyDescent="0.25">
      <c r="C7019" s="4"/>
    </row>
    <row r="7020" spans="3:3" x14ac:dyDescent="0.25">
      <c r="C7020" s="4"/>
    </row>
    <row r="7021" spans="3:3" x14ac:dyDescent="0.25">
      <c r="C7021" s="4"/>
    </row>
    <row r="7022" spans="3:3" x14ac:dyDescent="0.25">
      <c r="C7022" s="4"/>
    </row>
    <row r="7023" spans="3:3" x14ac:dyDescent="0.25">
      <c r="C7023" s="4"/>
    </row>
    <row r="7024" spans="3:3" x14ac:dyDescent="0.25">
      <c r="C7024" s="4"/>
    </row>
    <row r="7025" spans="3:3" x14ac:dyDescent="0.25">
      <c r="C7025" s="4"/>
    </row>
    <row r="7026" spans="3:3" x14ac:dyDescent="0.25">
      <c r="C7026" s="4"/>
    </row>
    <row r="7027" spans="3:3" x14ac:dyDescent="0.25">
      <c r="C7027" s="4"/>
    </row>
    <row r="7028" spans="3:3" x14ac:dyDescent="0.25">
      <c r="C7028" s="4"/>
    </row>
    <row r="7029" spans="3:3" x14ac:dyDescent="0.25">
      <c r="C7029" s="4"/>
    </row>
    <row r="7030" spans="3:3" x14ac:dyDescent="0.25">
      <c r="C7030" s="4"/>
    </row>
    <row r="7031" spans="3:3" x14ac:dyDescent="0.25">
      <c r="C7031" s="4"/>
    </row>
    <row r="7032" spans="3:3" x14ac:dyDescent="0.25">
      <c r="C7032" s="4"/>
    </row>
    <row r="7033" spans="3:3" x14ac:dyDescent="0.25">
      <c r="C7033" s="4"/>
    </row>
    <row r="7034" spans="3:3" x14ac:dyDescent="0.25">
      <c r="C7034" s="4"/>
    </row>
    <row r="7035" spans="3:3" x14ac:dyDescent="0.25">
      <c r="C7035" s="4"/>
    </row>
    <row r="7036" spans="3:3" x14ac:dyDescent="0.25">
      <c r="C7036" s="4"/>
    </row>
    <row r="7037" spans="3:3" x14ac:dyDescent="0.25">
      <c r="C7037" s="4"/>
    </row>
    <row r="7038" spans="3:3" x14ac:dyDescent="0.25">
      <c r="C7038" s="4"/>
    </row>
    <row r="7039" spans="3:3" x14ac:dyDescent="0.25">
      <c r="C7039" s="4"/>
    </row>
    <row r="7040" spans="3:3" x14ac:dyDescent="0.25">
      <c r="C7040" s="4"/>
    </row>
    <row r="7041" spans="3:3" x14ac:dyDescent="0.25">
      <c r="C7041" s="4"/>
    </row>
    <row r="7042" spans="3:3" x14ac:dyDescent="0.25">
      <c r="C7042" s="4"/>
    </row>
    <row r="7043" spans="3:3" x14ac:dyDescent="0.25">
      <c r="C7043" s="4"/>
    </row>
    <row r="7044" spans="3:3" x14ac:dyDescent="0.25">
      <c r="C7044" s="4"/>
    </row>
    <row r="7045" spans="3:3" x14ac:dyDescent="0.25">
      <c r="C7045" s="4"/>
    </row>
    <row r="7046" spans="3:3" x14ac:dyDescent="0.25">
      <c r="C7046" s="4"/>
    </row>
    <row r="7047" spans="3:3" x14ac:dyDescent="0.25">
      <c r="C7047" s="4"/>
    </row>
    <row r="7048" spans="3:3" x14ac:dyDescent="0.25">
      <c r="C7048" s="4"/>
    </row>
    <row r="7049" spans="3:3" x14ac:dyDescent="0.25">
      <c r="C7049" s="4"/>
    </row>
    <row r="7050" spans="3:3" x14ac:dyDescent="0.25">
      <c r="C7050" s="4"/>
    </row>
    <row r="7051" spans="3:3" x14ac:dyDescent="0.25">
      <c r="C7051" s="4"/>
    </row>
    <row r="7052" spans="3:3" x14ac:dyDescent="0.25">
      <c r="C7052" s="4"/>
    </row>
    <row r="7053" spans="3:3" x14ac:dyDescent="0.25">
      <c r="C7053" s="4"/>
    </row>
    <row r="7054" spans="3:3" x14ac:dyDescent="0.25">
      <c r="C7054" s="4"/>
    </row>
    <row r="7055" spans="3:3" x14ac:dyDescent="0.25">
      <c r="C7055" s="4"/>
    </row>
    <row r="7056" spans="3:3" x14ac:dyDescent="0.25">
      <c r="C7056" s="4"/>
    </row>
    <row r="7057" spans="3:3" x14ac:dyDescent="0.25">
      <c r="C7057" s="4"/>
    </row>
    <row r="7058" spans="3:3" x14ac:dyDescent="0.25">
      <c r="C7058" s="4"/>
    </row>
    <row r="7059" spans="3:3" x14ac:dyDescent="0.25">
      <c r="C7059" s="4"/>
    </row>
    <row r="7060" spans="3:3" x14ac:dyDescent="0.25">
      <c r="C7060" s="4"/>
    </row>
    <row r="7061" spans="3:3" x14ac:dyDescent="0.25">
      <c r="C7061" s="4"/>
    </row>
    <row r="7062" spans="3:3" x14ac:dyDescent="0.25">
      <c r="C7062" s="4"/>
    </row>
    <row r="7063" spans="3:3" x14ac:dyDescent="0.25">
      <c r="C7063" s="4"/>
    </row>
    <row r="7064" spans="3:3" x14ac:dyDescent="0.25">
      <c r="C7064" s="4"/>
    </row>
    <row r="7065" spans="3:3" x14ac:dyDescent="0.25">
      <c r="C7065" s="4"/>
    </row>
    <row r="7066" spans="3:3" x14ac:dyDescent="0.25">
      <c r="C7066" s="4"/>
    </row>
    <row r="7067" spans="3:3" x14ac:dyDescent="0.25">
      <c r="C7067" s="4"/>
    </row>
    <row r="7068" spans="3:3" x14ac:dyDescent="0.25">
      <c r="C7068" s="4"/>
    </row>
    <row r="7069" spans="3:3" x14ac:dyDescent="0.25">
      <c r="C7069" s="4"/>
    </row>
    <row r="7070" spans="3:3" x14ac:dyDescent="0.25">
      <c r="C7070" s="4"/>
    </row>
    <row r="7071" spans="3:3" x14ac:dyDescent="0.25">
      <c r="C7071" s="4"/>
    </row>
    <row r="7072" spans="3:3" x14ac:dyDescent="0.25">
      <c r="C7072" s="4"/>
    </row>
    <row r="7073" spans="3:3" x14ac:dyDescent="0.25">
      <c r="C7073" s="4"/>
    </row>
    <row r="7074" spans="3:3" x14ac:dyDescent="0.25">
      <c r="C7074" s="4"/>
    </row>
    <row r="7075" spans="3:3" x14ac:dyDescent="0.25">
      <c r="C7075" s="4"/>
    </row>
    <row r="7076" spans="3:3" x14ac:dyDescent="0.25">
      <c r="C7076" s="4"/>
    </row>
    <row r="7077" spans="3:3" x14ac:dyDescent="0.25">
      <c r="C7077" s="4"/>
    </row>
    <row r="7078" spans="3:3" x14ac:dyDescent="0.25">
      <c r="C7078" s="4"/>
    </row>
    <row r="7079" spans="3:3" x14ac:dyDescent="0.25">
      <c r="C7079" s="4"/>
    </row>
    <row r="7080" spans="3:3" x14ac:dyDescent="0.25">
      <c r="C7080" s="4"/>
    </row>
    <row r="7081" spans="3:3" x14ac:dyDescent="0.25">
      <c r="C7081" s="4"/>
    </row>
    <row r="7082" spans="3:3" x14ac:dyDescent="0.25">
      <c r="C7082" s="4"/>
    </row>
    <row r="7083" spans="3:3" x14ac:dyDescent="0.25">
      <c r="C7083" s="4"/>
    </row>
    <row r="7084" spans="3:3" x14ac:dyDescent="0.25">
      <c r="C7084" s="4"/>
    </row>
    <row r="7085" spans="3:3" x14ac:dyDescent="0.25">
      <c r="C7085" s="4"/>
    </row>
    <row r="7086" spans="3:3" x14ac:dyDescent="0.25">
      <c r="C7086" s="4"/>
    </row>
    <row r="7087" spans="3:3" x14ac:dyDescent="0.25">
      <c r="C7087" s="4"/>
    </row>
    <row r="7088" spans="3:3" x14ac:dyDescent="0.25">
      <c r="C7088" s="4"/>
    </row>
    <row r="7089" spans="3:3" x14ac:dyDescent="0.25">
      <c r="C7089" s="4"/>
    </row>
    <row r="7090" spans="3:3" x14ac:dyDescent="0.25">
      <c r="C7090" s="4"/>
    </row>
    <row r="7091" spans="3:3" x14ac:dyDescent="0.25">
      <c r="C7091" s="4"/>
    </row>
    <row r="7092" spans="3:3" x14ac:dyDescent="0.25">
      <c r="C7092" s="4"/>
    </row>
    <row r="7093" spans="3:3" x14ac:dyDescent="0.25">
      <c r="C7093" s="4"/>
    </row>
    <row r="7094" spans="3:3" x14ac:dyDescent="0.25">
      <c r="C7094" s="4"/>
    </row>
    <row r="7095" spans="3:3" x14ac:dyDescent="0.25">
      <c r="C7095" s="4"/>
    </row>
    <row r="7096" spans="3:3" x14ac:dyDescent="0.25">
      <c r="C7096" s="4"/>
    </row>
    <row r="7097" spans="3:3" x14ac:dyDescent="0.25">
      <c r="C7097" s="4"/>
    </row>
    <row r="7098" spans="3:3" x14ac:dyDescent="0.25">
      <c r="C7098" s="4"/>
    </row>
    <row r="7099" spans="3:3" x14ac:dyDescent="0.25">
      <c r="C7099" s="4"/>
    </row>
    <row r="7100" spans="3:3" x14ac:dyDescent="0.25">
      <c r="C7100" s="4"/>
    </row>
    <row r="7101" spans="3:3" x14ac:dyDescent="0.25">
      <c r="C7101" s="4"/>
    </row>
    <row r="7102" spans="3:3" x14ac:dyDescent="0.25">
      <c r="C7102" s="4"/>
    </row>
    <row r="7103" spans="3:3" x14ac:dyDescent="0.25">
      <c r="C7103" s="4"/>
    </row>
    <row r="7104" spans="3:3" x14ac:dyDescent="0.25">
      <c r="C7104" s="4"/>
    </row>
    <row r="7105" spans="3:3" x14ac:dyDescent="0.25">
      <c r="C7105" s="4"/>
    </row>
    <row r="7106" spans="3:3" x14ac:dyDescent="0.25">
      <c r="C7106" s="4"/>
    </row>
    <row r="7107" spans="3:3" x14ac:dyDescent="0.25">
      <c r="C7107" s="4"/>
    </row>
    <row r="7108" spans="3:3" x14ac:dyDescent="0.25">
      <c r="C7108" s="4"/>
    </row>
    <row r="7109" spans="3:3" x14ac:dyDescent="0.25">
      <c r="C7109" s="4"/>
    </row>
    <row r="7110" spans="3:3" x14ac:dyDescent="0.25">
      <c r="C7110" s="4"/>
    </row>
    <row r="7111" spans="3:3" x14ac:dyDescent="0.25">
      <c r="C7111" s="4"/>
    </row>
    <row r="7112" spans="3:3" x14ac:dyDescent="0.25">
      <c r="C7112" s="4"/>
    </row>
    <row r="7113" spans="3:3" x14ac:dyDescent="0.25">
      <c r="C7113" s="4"/>
    </row>
    <row r="7114" spans="3:3" x14ac:dyDescent="0.25">
      <c r="C7114" s="4"/>
    </row>
    <row r="7115" spans="3:3" x14ac:dyDescent="0.25">
      <c r="C7115" s="4"/>
    </row>
    <row r="7116" spans="3:3" x14ac:dyDescent="0.25">
      <c r="C7116" s="4"/>
    </row>
    <row r="7117" spans="3:3" x14ac:dyDescent="0.25">
      <c r="C7117" s="4"/>
    </row>
    <row r="7118" spans="3:3" x14ac:dyDescent="0.25">
      <c r="C7118" s="4"/>
    </row>
    <row r="7119" spans="3:3" x14ac:dyDescent="0.25">
      <c r="C7119" s="4"/>
    </row>
    <row r="7120" spans="3:3" x14ac:dyDescent="0.25">
      <c r="C7120" s="4"/>
    </row>
    <row r="7121" spans="3:3" x14ac:dyDescent="0.25">
      <c r="C7121" s="4"/>
    </row>
    <row r="7122" spans="3:3" x14ac:dyDescent="0.25">
      <c r="C7122" s="4"/>
    </row>
    <row r="7123" spans="3:3" x14ac:dyDescent="0.25">
      <c r="C7123" s="4"/>
    </row>
    <row r="7124" spans="3:3" x14ac:dyDescent="0.25">
      <c r="C7124" s="4"/>
    </row>
    <row r="7125" spans="3:3" x14ac:dyDescent="0.25">
      <c r="C7125" s="4"/>
    </row>
    <row r="7126" spans="3:3" x14ac:dyDescent="0.25">
      <c r="C7126" s="4"/>
    </row>
    <row r="7127" spans="3:3" x14ac:dyDescent="0.25">
      <c r="C7127" s="4"/>
    </row>
    <row r="7128" spans="3:3" x14ac:dyDescent="0.25">
      <c r="C7128" s="4"/>
    </row>
    <row r="7129" spans="3:3" x14ac:dyDescent="0.25">
      <c r="C7129" s="4"/>
    </row>
    <row r="7130" spans="3:3" x14ac:dyDescent="0.25">
      <c r="C7130" s="4"/>
    </row>
    <row r="7131" spans="3:3" x14ac:dyDescent="0.25">
      <c r="C7131" s="4"/>
    </row>
    <row r="7132" spans="3:3" x14ac:dyDescent="0.25">
      <c r="C7132" s="4"/>
    </row>
    <row r="7133" spans="3:3" x14ac:dyDescent="0.25">
      <c r="C7133" s="4"/>
    </row>
    <row r="7134" spans="3:3" x14ac:dyDescent="0.25">
      <c r="C7134" s="4"/>
    </row>
    <row r="7135" spans="3:3" x14ac:dyDescent="0.25">
      <c r="C7135" s="4"/>
    </row>
    <row r="7136" spans="3:3" x14ac:dyDescent="0.25">
      <c r="C7136" s="4"/>
    </row>
    <row r="7137" spans="3:3" x14ac:dyDescent="0.25">
      <c r="C7137" s="4"/>
    </row>
    <row r="7138" spans="3:3" x14ac:dyDescent="0.25">
      <c r="C7138" s="4"/>
    </row>
    <row r="7139" spans="3:3" x14ac:dyDescent="0.25">
      <c r="C7139" s="4"/>
    </row>
    <row r="7140" spans="3:3" x14ac:dyDescent="0.25">
      <c r="C7140" s="4"/>
    </row>
    <row r="7141" spans="3:3" x14ac:dyDescent="0.25">
      <c r="C7141" s="4"/>
    </row>
    <row r="7142" spans="3:3" x14ac:dyDescent="0.25">
      <c r="C7142" s="4"/>
    </row>
    <row r="7143" spans="3:3" x14ac:dyDescent="0.25">
      <c r="C7143" s="4"/>
    </row>
    <row r="7144" spans="3:3" x14ac:dyDescent="0.25">
      <c r="C7144" s="4"/>
    </row>
    <row r="7145" spans="3:3" x14ac:dyDescent="0.25">
      <c r="C7145" s="4"/>
    </row>
    <row r="7146" spans="3:3" x14ac:dyDescent="0.25">
      <c r="C7146" s="4"/>
    </row>
    <row r="7147" spans="3:3" x14ac:dyDescent="0.25">
      <c r="C7147" s="4"/>
    </row>
    <row r="7148" spans="3:3" x14ac:dyDescent="0.25">
      <c r="C7148" s="4"/>
    </row>
    <row r="7149" spans="3:3" x14ac:dyDescent="0.25">
      <c r="C7149" s="4"/>
    </row>
    <row r="7150" spans="3:3" x14ac:dyDescent="0.25">
      <c r="C7150" s="4"/>
    </row>
    <row r="7151" spans="3:3" x14ac:dyDescent="0.25">
      <c r="C7151" s="4"/>
    </row>
    <row r="7152" spans="3:3" x14ac:dyDescent="0.25">
      <c r="C7152" s="4"/>
    </row>
    <row r="7153" spans="3:3" x14ac:dyDescent="0.25">
      <c r="C7153" s="4"/>
    </row>
    <row r="7154" spans="3:3" x14ac:dyDescent="0.25">
      <c r="C7154" s="4"/>
    </row>
    <row r="7155" spans="3:3" x14ac:dyDescent="0.25">
      <c r="C7155" s="4"/>
    </row>
    <row r="7156" spans="3:3" x14ac:dyDescent="0.25">
      <c r="C7156" s="4"/>
    </row>
    <row r="7157" spans="3:3" x14ac:dyDescent="0.25">
      <c r="C7157" s="4"/>
    </row>
    <row r="7158" spans="3:3" x14ac:dyDescent="0.25">
      <c r="C7158" s="4"/>
    </row>
    <row r="7159" spans="3:3" x14ac:dyDescent="0.25">
      <c r="C7159" s="4"/>
    </row>
    <row r="7160" spans="3:3" x14ac:dyDescent="0.25">
      <c r="C7160" s="4"/>
    </row>
    <row r="7161" spans="3:3" x14ac:dyDescent="0.25">
      <c r="C7161" s="4"/>
    </row>
    <row r="7162" spans="3:3" x14ac:dyDescent="0.25">
      <c r="C7162" s="4"/>
    </row>
    <row r="7163" spans="3:3" x14ac:dyDescent="0.25">
      <c r="C7163" s="4"/>
    </row>
    <row r="7164" spans="3:3" x14ac:dyDescent="0.25">
      <c r="C7164" s="4"/>
    </row>
    <row r="7165" spans="3:3" x14ac:dyDescent="0.25">
      <c r="C7165" s="4"/>
    </row>
    <row r="7166" spans="3:3" x14ac:dyDescent="0.25">
      <c r="C7166" s="4"/>
    </row>
    <row r="7167" spans="3:3" x14ac:dyDescent="0.25">
      <c r="C7167" s="4"/>
    </row>
    <row r="7168" spans="3:3" x14ac:dyDescent="0.25">
      <c r="C7168" s="4"/>
    </row>
    <row r="7169" spans="3:3" x14ac:dyDescent="0.25">
      <c r="C7169" s="4"/>
    </row>
    <row r="7170" spans="3:3" x14ac:dyDescent="0.25">
      <c r="C7170" s="4"/>
    </row>
    <row r="7171" spans="3:3" x14ac:dyDescent="0.25">
      <c r="C7171" s="4"/>
    </row>
    <row r="7172" spans="3:3" x14ac:dyDescent="0.25">
      <c r="C7172" s="4"/>
    </row>
    <row r="7173" spans="3:3" x14ac:dyDescent="0.25">
      <c r="C7173" s="4"/>
    </row>
    <row r="7174" spans="3:3" x14ac:dyDescent="0.25">
      <c r="C7174" s="4"/>
    </row>
    <row r="7175" spans="3:3" x14ac:dyDescent="0.25">
      <c r="C7175" s="4"/>
    </row>
    <row r="7176" spans="3:3" x14ac:dyDescent="0.25">
      <c r="C7176" s="4"/>
    </row>
    <row r="7177" spans="3:3" x14ac:dyDescent="0.25">
      <c r="C7177" s="4"/>
    </row>
    <row r="7178" spans="3:3" x14ac:dyDescent="0.25">
      <c r="C7178" s="4"/>
    </row>
    <row r="7179" spans="3:3" x14ac:dyDescent="0.25">
      <c r="C7179" s="4"/>
    </row>
    <row r="7180" spans="3:3" x14ac:dyDescent="0.25">
      <c r="C7180" s="4"/>
    </row>
    <row r="7181" spans="3:3" x14ac:dyDescent="0.25">
      <c r="C7181" s="4"/>
    </row>
    <row r="7182" spans="3:3" x14ac:dyDescent="0.25">
      <c r="C7182" s="4"/>
    </row>
    <row r="7183" spans="3:3" x14ac:dyDescent="0.25">
      <c r="C7183" s="4"/>
    </row>
    <row r="7184" spans="3:3" x14ac:dyDescent="0.25">
      <c r="C7184" s="4"/>
    </row>
    <row r="7185" spans="3:3" x14ac:dyDescent="0.25">
      <c r="C7185" s="4"/>
    </row>
    <row r="7186" spans="3:3" x14ac:dyDescent="0.25">
      <c r="C7186" s="4"/>
    </row>
    <row r="7187" spans="3:3" x14ac:dyDescent="0.25">
      <c r="C7187" s="4"/>
    </row>
    <row r="7188" spans="3:3" x14ac:dyDescent="0.25">
      <c r="C7188" s="4"/>
    </row>
    <row r="7189" spans="3:3" x14ac:dyDescent="0.25">
      <c r="C7189" s="4"/>
    </row>
    <row r="7190" spans="3:3" x14ac:dyDescent="0.25">
      <c r="C7190" s="4"/>
    </row>
    <row r="7191" spans="3:3" x14ac:dyDescent="0.25">
      <c r="C7191" s="4"/>
    </row>
    <row r="7192" spans="3:3" x14ac:dyDescent="0.25">
      <c r="C7192" s="4"/>
    </row>
    <row r="7193" spans="3:3" x14ac:dyDescent="0.25">
      <c r="C7193" s="4"/>
    </row>
    <row r="7194" spans="3:3" x14ac:dyDescent="0.25">
      <c r="C7194" s="4"/>
    </row>
    <row r="7195" spans="3:3" x14ac:dyDescent="0.25">
      <c r="C7195" s="4"/>
    </row>
    <row r="7196" spans="3:3" x14ac:dyDescent="0.25">
      <c r="C7196" s="4"/>
    </row>
    <row r="7197" spans="3:3" x14ac:dyDescent="0.25">
      <c r="C7197" s="4"/>
    </row>
    <row r="7198" spans="3:3" x14ac:dyDescent="0.25">
      <c r="C7198" s="4"/>
    </row>
    <row r="7199" spans="3:3" x14ac:dyDescent="0.25">
      <c r="C7199" s="4"/>
    </row>
    <row r="7200" spans="3:3" x14ac:dyDescent="0.25">
      <c r="C7200" s="4"/>
    </row>
    <row r="7201" spans="3:3" x14ac:dyDescent="0.25">
      <c r="C7201" s="4"/>
    </row>
    <row r="7202" spans="3:3" x14ac:dyDescent="0.25">
      <c r="C7202" s="4"/>
    </row>
    <row r="7203" spans="3:3" x14ac:dyDescent="0.25">
      <c r="C7203" s="4"/>
    </row>
    <row r="7204" spans="3:3" x14ac:dyDescent="0.25">
      <c r="C7204" s="4"/>
    </row>
    <row r="7205" spans="3:3" x14ac:dyDescent="0.25">
      <c r="C7205" s="4"/>
    </row>
    <row r="7206" spans="3:3" x14ac:dyDescent="0.25">
      <c r="C7206" s="4"/>
    </row>
    <row r="7207" spans="3:3" x14ac:dyDescent="0.25">
      <c r="C7207" s="4"/>
    </row>
    <row r="7208" spans="3:3" x14ac:dyDescent="0.25">
      <c r="C7208" s="4"/>
    </row>
    <row r="7209" spans="3:3" x14ac:dyDescent="0.25">
      <c r="C7209" s="4"/>
    </row>
    <row r="7210" spans="3:3" x14ac:dyDescent="0.25">
      <c r="C7210" s="4"/>
    </row>
    <row r="7211" spans="3:3" x14ac:dyDescent="0.25">
      <c r="C7211" s="4"/>
    </row>
    <row r="7212" spans="3:3" x14ac:dyDescent="0.25">
      <c r="C7212" s="4"/>
    </row>
    <row r="7213" spans="3:3" x14ac:dyDescent="0.25">
      <c r="C7213" s="4"/>
    </row>
    <row r="7214" spans="3:3" x14ac:dyDescent="0.25">
      <c r="C7214" s="4"/>
    </row>
    <row r="7215" spans="3:3" x14ac:dyDescent="0.25">
      <c r="C7215" s="4"/>
    </row>
    <row r="7216" spans="3:3" x14ac:dyDescent="0.25">
      <c r="C7216" s="4"/>
    </row>
    <row r="7217" spans="3:3" x14ac:dyDescent="0.25">
      <c r="C7217" s="4"/>
    </row>
    <row r="7218" spans="3:3" x14ac:dyDescent="0.25">
      <c r="C7218" s="4"/>
    </row>
    <row r="7219" spans="3:3" x14ac:dyDescent="0.25">
      <c r="C7219" s="4"/>
    </row>
    <row r="7220" spans="3:3" x14ac:dyDescent="0.25">
      <c r="C7220" s="4"/>
    </row>
    <row r="7221" spans="3:3" x14ac:dyDescent="0.25">
      <c r="C7221" s="4"/>
    </row>
    <row r="7222" spans="3:3" x14ac:dyDescent="0.25">
      <c r="C7222" s="4"/>
    </row>
    <row r="7223" spans="3:3" x14ac:dyDescent="0.25">
      <c r="C7223" s="4"/>
    </row>
    <row r="7224" spans="3:3" x14ac:dyDescent="0.25">
      <c r="C7224" s="4"/>
    </row>
    <row r="7225" spans="3:3" x14ac:dyDescent="0.25">
      <c r="C7225" s="4"/>
    </row>
    <row r="7226" spans="3:3" x14ac:dyDescent="0.25">
      <c r="C7226" s="4"/>
    </row>
    <row r="7227" spans="3:3" x14ac:dyDescent="0.25">
      <c r="C7227" s="4"/>
    </row>
    <row r="7228" spans="3:3" x14ac:dyDescent="0.25">
      <c r="C7228" s="4"/>
    </row>
    <row r="7229" spans="3:3" x14ac:dyDescent="0.25">
      <c r="C7229" s="4"/>
    </row>
    <row r="7230" spans="3:3" x14ac:dyDescent="0.25">
      <c r="C7230" s="4"/>
    </row>
    <row r="7231" spans="3:3" x14ac:dyDescent="0.25">
      <c r="C7231" s="4"/>
    </row>
    <row r="7232" spans="3:3" x14ac:dyDescent="0.25">
      <c r="C7232" s="4"/>
    </row>
    <row r="7233" spans="3:3" x14ac:dyDescent="0.25">
      <c r="C7233" s="4"/>
    </row>
    <row r="7234" spans="3:3" x14ac:dyDescent="0.25">
      <c r="C7234" s="4"/>
    </row>
    <row r="7235" spans="3:3" x14ac:dyDescent="0.25">
      <c r="C7235" s="4"/>
    </row>
    <row r="7236" spans="3:3" x14ac:dyDescent="0.25">
      <c r="C7236" s="4"/>
    </row>
    <row r="7237" spans="3:3" x14ac:dyDescent="0.25">
      <c r="C7237" s="4"/>
    </row>
    <row r="7238" spans="3:3" x14ac:dyDescent="0.25">
      <c r="C7238" s="4"/>
    </row>
    <row r="7239" spans="3:3" x14ac:dyDescent="0.25">
      <c r="C7239" s="4"/>
    </row>
    <row r="7240" spans="3:3" x14ac:dyDescent="0.25">
      <c r="C7240" s="4"/>
    </row>
    <row r="7241" spans="3:3" x14ac:dyDescent="0.25">
      <c r="C7241" s="4"/>
    </row>
    <row r="7242" spans="3:3" x14ac:dyDescent="0.25">
      <c r="C7242" s="4"/>
    </row>
    <row r="7243" spans="3:3" x14ac:dyDescent="0.25">
      <c r="C7243" s="4"/>
    </row>
    <row r="7244" spans="3:3" x14ac:dyDescent="0.25">
      <c r="C7244" s="4"/>
    </row>
    <row r="7245" spans="3:3" x14ac:dyDescent="0.25">
      <c r="C7245" s="4"/>
    </row>
    <row r="7246" spans="3:3" x14ac:dyDescent="0.25">
      <c r="C7246" s="4"/>
    </row>
    <row r="7247" spans="3:3" x14ac:dyDescent="0.25">
      <c r="C7247" s="4"/>
    </row>
    <row r="7248" spans="3:3" x14ac:dyDescent="0.25">
      <c r="C7248" s="4"/>
    </row>
    <row r="7249" spans="3:3" x14ac:dyDescent="0.25">
      <c r="C7249" s="4"/>
    </row>
    <row r="7250" spans="3:3" x14ac:dyDescent="0.25">
      <c r="C7250" s="4"/>
    </row>
    <row r="7251" spans="3:3" x14ac:dyDescent="0.25">
      <c r="C7251" s="4"/>
    </row>
    <row r="7252" spans="3:3" x14ac:dyDescent="0.25">
      <c r="C7252" s="4"/>
    </row>
    <row r="7253" spans="3:3" x14ac:dyDescent="0.25">
      <c r="C7253" s="4"/>
    </row>
    <row r="7254" spans="3:3" x14ac:dyDescent="0.25">
      <c r="C7254" s="4"/>
    </row>
    <row r="7255" spans="3:3" x14ac:dyDescent="0.25">
      <c r="C7255" s="4"/>
    </row>
    <row r="7256" spans="3:3" x14ac:dyDescent="0.25">
      <c r="C7256" s="4"/>
    </row>
    <row r="7257" spans="3:3" x14ac:dyDescent="0.25">
      <c r="C7257" s="4"/>
    </row>
    <row r="7258" spans="3:3" x14ac:dyDescent="0.25">
      <c r="C7258" s="4"/>
    </row>
    <row r="7259" spans="3:3" x14ac:dyDescent="0.25">
      <c r="C7259" s="4"/>
    </row>
    <row r="7260" spans="3:3" x14ac:dyDescent="0.25">
      <c r="C7260" s="4"/>
    </row>
    <row r="7261" spans="3:3" x14ac:dyDescent="0.25">
      <c r="C7261" s="4"/>
    </row>
    <row r="7262" spans="3:3" x14ac:dyDescent="0.25">
      <c r="C7262" s="4"/>
    </row>
    <row r="7263" spans="3:3" x14ac:dyDescent="0.25">
      <c r="C7263" s="4"/>
    </row>
    <row r="7264" spans="3:3" x14ac:dyDescent="0.25">
      <c r="C7264" s="4"/>
    </row>
    <row r="7265" spans="3:3" x14ac:dyDescent="0.25">
      <c r="C7265" s="4"/>
    </row>
    <row r="7266" spans="3:3" x14ac:dyDescent="0.25">
      <c r="C7266" s="4"/>
    </row>
    <row r="7267" spans="3:3" x14ac:dyDescent="0.25">
      <c r="C7267" s="4"/>
    </row>
    <row r="7268" spans="3:3" x14ac:dyDescent="0.25">
      <c r="C7268" s="4"/>
    </row>
    <row r="7269" spans="3:3" x14ac:dyDescent="0.25">
      <c r="C7269" s="4"/>
    </row>
    <row r="7270" spans="3:3" x14ac:dyDescent="0.25">
      <c r="C7270" s="4"/>
    </row>
    <row r="7271" spans="3:3" x14ac:dyDescent="0.25">
      <c r="C7271" s="4"/>
    </row>
    <row r="7272" spans="3:3" x14ac:dyDescent="0.25">
      <c r="C7272" s="4"/>
    </row>
    <row r="7273" spans="3:3" x14ac:dyDescent="0.25">
      <c r="C7273" s="4"/>
    </row>
    <row r="7274" spans="3:3" x14ac:dyDescent="0.25">
      <c r="C7274" s="4"/>
    </row>
    <row r="7275" spans="3:3" x14ac:dyDescent="0.25">
      <c r="C7275" s="4"/>
    </row>
    <row r="7276" spans="3:3" x14ac:dyDescent="0.25">
      <c r="C7276" s="4"/>
    </row>
    <row r="7277" spans="3:3" x14ac:dyDescent="0.25">
      <c r="C7277" s="4"/>
    </row>
    <row r="7278" spans="3:3" x14ac:dyDescent="0.25">
      <c r="C7278" s="4"/>
    </row>
    <row r="7279" spans="3:3" x14ac:dyDescent="0.25">
      <c r="C7279" s="4"/>
    </row>
    <row r="7280" spans="3:3" x14ac:dyDescent="0.25">
      <c r="C7280" s="4"/>
    </row>
    <row r="7281" spans="3:3" x14ac:dyDescent="0.25">
      <c r="C7281" s="4"/>
    </row>
    <row r="7282" spans="3:3" x14ac:dyDescent="0.25">
      <c r="C7282" s="4"/>
    </row>
    <row r="7283" spans="3:3" x14ac:dyDescent="0.25">
      <c r="C7283" s="4"/>
    </row>
    <row r="7284" spans="3:3" x14ac:dyDescent="0.25">
      <c r="C7284" s="4"/>
    </row>
    <row r="7285" spans="3:3" x14ac:dyDescent="0.25">
      <c r="C7285" s="4"/>
    </row>
    <row r="7286" spans="3:3" x14ac:dyDescent="0.25">
      <c r="C7286" s="4"/>
    </row>
    <row r="7287" spans="3:3" x14ac:dyDescent="0.25">
      <c r="C7287" s="4"/>
    </row>
    <row r="7288" spans="3:3" x14ac:dyDescent="0.25">
      <c r="C7288" s="4"/>
    </row>
    <row r="7289" spans="3:3" x14ac:dyDescent="0.25">
      <c r="C7289" s="4"/>
    </row>
    <row r="7290" spans="3:3" x14ac:dyDescent="0.25">
      <c r="C7290" s="4"/>
    </row>
    <row r="7291" spans="3:3" x14ac:dyDescent="0.25">
      <c r="C7291" s="4"/>
    </row>
    <row r="7292" spans="3:3" x14ac:dyDescent="0.25">
      <c r="C7292" s="4"/>
    </row>
    <row r="7293" spans="3:3" x14ac:dyDescent="0.25">
      <c r="C7293" s="4"/>
    </row>
    <row r="7294" spans="3:3" x14ac:dyDescent="0.25">
      <c r="C7294" s="4"/>
    </row>
    <row r="7295" spans="3:3" x14ac:dyDescent="0.25">
      <c r="C7295" s="4"/>
    </row>
    <row r="7296" spans="3:3" x14ac:dyDescent="0.25">
      <c r="C7296" s="4"/>
    </row>
    <row r="7297" spans="3:3" x14ac:dyDescent="0.25">
      <c r="C7297" s="4"/>
    </row>
    <row r="7298" spans="3:3" x14ac:dyDescent="0.25">
      <c r="C7298" s="4"/>
    </row>
    <row r="7299" spans="3:3" x14ac:dyDescent="0.25">
      <c r="C7299" s="4"/>
    </row>
    <row r="7300" spans="3:3" x14ac:dyDescent="0.25">
      <c r="C7300" s="4"/>
    </row>
    <row r="7301" spans="3:3" x14ac:dyDescent="0.25">
      <c r="C7301" s="4"/>
    </row>
    <row r="7302" spans="3:3" x14ac:dyDescent="0.25">
      <c r="C7302" s="4"/>
    </row>
    <row r="7303" spans="3:3" x14ac:dyDescent="0.25">
      <c r="C7303" s="4"/>
    </row>
    <row r="7304" spans="3:3" x14ac:dyDescent="0.25">
      <c r="C7304" s="4"/>
    </row>
    <row r="7305" spans="3:3" x14ac:dyDescent="0.25">
      <c r="C7305" s="4"/>
    </row>
    <row r="7306" spans="3:3" x14ac:dyDescent="0.25">
      <c r="C7306" s="4"/>
    </row>
    <row r="7307" spans="3:3" x14ac:dyDescent="0.25">
      <c r="C7307" s="4"/>
    </row>
    <row r="7308" spans="3:3" x14ac:dyDescent="0.25">
      <c r="C7308" s="4"/>
    </row>
    <row r="7309" spans="3:3" x14ac:dyDescent="0.25">
      <c r="C7309" s="4"/>
    </row>
    <row r="7310" spans="3:3" x14ac:dyDescent="0.25">
      <c r="C7310" s="4"/>
    </row>
    <row r="7311" spans="3:3" x14ac:dyDescent="0.25">
      <c r="C7311" s="4"/>
    </row>
    <row r="7312" spans="3:3" x14ac:dyDescent="0.25">
      <c r="C7312" s="4"/>
    </row>
    <row r="7313" spans="3:3" x14ac:dyDescent="0.25">
      <c r="C7313" s="4"/>
    </row>
    <row r="7314" spans="3:3" x14ac:dyDescent="0.25">
      <c r="C7314" s="4"/>
    </row>
    <row r="7315" spans="3:3" x14ac:dyDescent="0.25">
      <c r="C7315" s="4"/>
    </row>
    <row r="7316" spans="3:3" x14ac:dyDescent="0.25">
      <c r="C7316" s="4"/>
    </row>
    <row r="7317" spans="3:3" x14ac:dyDescent="0.25">
      <c r="C7317" s="4"/>
    </row>
    <row r="7318" spans="3:3" x14ac:dyDescent="0.25">
      <c r="C7318" s="4"/>
    </row>
    <row r="7319" spans="3:3" x14ac:dyDescent="0.25">
      <c r="C7319" s="4"/>
    </row>
    <row r="7320" spans="3:3" x14ac:dyDescent="0.25">
      <c r="C7320" s="4"/>
    </row>
    <row r="7321" spans="3:3" x14ac:dyDescent="0.25">
      <c r="C7321" s="4"/>
    </row>
    <row r="7322" spans="3:3" x14ac:dyDescent="0.25">
      <c r="C7322" s="4"/>
    </row>
    <row r="7323" spans="3:3" x14ac:dyDescent="0.25">
      <c r="C7323" s="4"/>
    </row>
    <row r="7324" spans="3:3" x14ac:dyDescent="0.25">
      <c r="C7324" s="4"/>
    </row>
    <row r="7325" spans="3:3" x14ac:dyDescent="0.25">
      <c r="C7325" s="4"/>
    </row>
    <row r="7326" spans="3:3" x14ac:dyDescent="0.25">
      <c r="C7326" s="4"/>
    </row>
    <row r="7327" spans="3:3" x14ac:dyDescent="0.25">
      <c r="C7327" s="4"/>
    </row>
    <row r="7328" spans="3:3" x14ac:dyDescent="0.25">
      <c r="C7328" s="4"/>
    </row>
    <row r="7329" spans="3:3" x14ac:dyDescent="0.25">
      <c r="C7329" s="4"/>
    </row>
    <row r="7330" spans="3:3" x14ac:dyDescent="0.25">
      <c r="C7330" s="4"/>
    </row>
    <row r="7331" spans="3:3" x14ac:dyDescent="0.25">
      <c r="C7331" s="4"/>
    </row>
    <row r="7332" spans="3:3" x14ac:dyDescent="0.25">
      <c r="C7332" s="4"/>
    </row>
    <row r="7333" spans="3:3" x14ac:dyDescent="0.25">
      <c r="C7333" s="4"/>
    </row>
    <row r="7334" spans="3:3" x14ac:dyDescent="0.25">
      <c r="C7334" s="4"/>
    </row>
    <row r="7335" spans="3:3" x14ac:dyDescent="0.25">
      <c r="C7335" s="4"/>
    </row>
    <row r="7336" spans="3:3" x14ac:dyDescent="0.25">
      <c r="C7336" s="4"/>
    </row>
    <row r="7337" spans="3:3" x14ac:dyDescent="0.25">
      <c r="C7337" s="4"/>
    </row>
    <row r="7338" spans="3:3" x14ac:dyDescent="0.25">
      <c r="C7338" s="4"/>
    </row>
    <row r="7339" spans="3:3" x14ac:dyDescent="0.25">
      <c r="C7339" s="4"/>
    </row>
    <row r="7340" spans="3:3" x14ac:dyDescent="0.25">
      <c r="C7340" s="4"/>
    </row>
    <row r="7341" spans="3:3" x14ac:dyDescent="0.25">
      <c r="C7341" s="4"/>
    </row>
    <row r="7342" spans="3:3" x14ac:dyDescent="0.25">
      <c r="C7342" s="4"/>
    </row>
    <row r="7343" spans="3:3" x14ac:dyDescent="0.25">
      <c r="C7343" s="4"/>
    </row>
    <row r="7344" spans="3:3" x14ac:dyDescent="0.25">
      <c r="C7344" s="4"/>
    </row>
    <row r="7345" spans="3:3" x14ac:dyDescent="0.25">
      <c r="C7345" s="4"/>
    </row>
    <row r="7346" spans="3:3" x14ac:dyDescent="0.25">
      <c r="C7346" s="4"/>
    </row>
    <row r="7347" spans="3:3" x14ac:dyDescent="0.25">
      <c r="C7347" s="4"/>
    </row>
    <row r="7348" spans="3:3" x14ac:dyDescent="0.25">
      <c r="C7348" s="4"/>
    </row>
    <row r="7349" spans="3:3" x14ac:dyDescent="0.25">
      <c r="C7349" s="4"/>
    </row>
    <row r="7350" spans="3:3" x14ac:dyDescent="0.25">
      <c r="C7350" s="4"/>
    </row>
    <row r="7351" spans="3:3" x14ac:dyDescent="0.25">
      <c r="C7351" s="4"/>
    </row>
    <row r="7352" spans="3:3" x14ac:dyDescent="0.25">
      <c r="C7352" s="4"/>
    </row>
    <row r="7353" spans="3:3" x14ac:dyDescent="0.25">
      <c r="C7353" s="4"/>
    </row>
    <row r="7354" spans="3:3" x14ac:dyDescent="0.25">
      <c r="C7354" s="4"/>
    </row>
    <row r="7355" spans="3:3" x14ac:dyDescent="0.25">
      <c r="C7355" s="4"/>
    </row>
    <row r="7356" spans="3:3" x14ac:dyDescent="0.25">
      <c r="C7356" s="4"/>
    </row>
    <row r="7357" spans="3:3" x14ac:dyDescent="0.25">
      <c r="C7357" s="4"/>
    </row>
    <row r="7358" spans="3:3" x14ac:dyDescent="0.25">
      <c r="C7358" s="4"/>
    </row>
    <row r="7359" spans="3:3" x14ac:dyDescent="0.25">
      <c r="C7359" s="4"/>
    </row>
    <row r="7360" spans="3:3" x14ac:dyDescent="0.25">
      <c r="C7360" s="4"/>
    </row>
    <row r="7361" spans="3:3" x14ac:dyDescent="0.25">
      <c r="C7361" s="4"/>
    </row>
    <row r="7362" spans="3:3" x14ac:dyDescent="0.25">
      <c r="C7362" s="4"/>
    </row>
    <row r="7363" spans="3:3" x14ac:dyDescent="0.25">
      <c r="C7363" s="4"/>
    </row>
    <row r="7364" spans="3:3" x14ac:dyDescent="0.25">
      <c r="C7364" s="4"/>
    </row>
    <row r="7365" spans="3:3" x14ac:dyDescent="0.25">
      <c r="C7365" s="4"/>
    </row>
    <row r="7366" spans="3:3" x14ac:dyDescent="0.25">
      <c r="C7366" s="4"/>
    </row>
    <row r="7367" spans="3:3" x14ac:dyDescent="0.25">
      <c r="C7367" s="4"/>
    </row>
    <row r="7368" spans="3:3" x14ac:dyDescent="0.25">
      <c r="C7368" s="4"/>
    </row>
    <row r="7369" spans="3:3" x14ac:dyDescent="0.25">
      <c r="C7369" s="4"/>
    </row>
    <row r="7370" spans="3:3" x14ac:dyDescent="0.25">
      <c r="C7370" s="4"/>
    </row>
    <row r="7371" spans="3:3" x14ac:dyDescent="0.25">
      <c r="C7371" s="4"/>
    </row>
    <row r="7372" spans="3:3" x14ac:dyDescent="0.25">
      <c r="C7372" s="4"/>
    </row>
    <row r="7373" spans="3:3" x14ac:dyDescent="0.25">
      <c r="C7373" s="4"/>
    </row>
    <row r="7374" spans="3:3" x14ac:dyDescent="0.25">
      <c r="C7374" s="4"/>
    </row>
    <row r="7375" spans="3:3" x14ac:dyDescent="0.25">
      <c r="C7375" s="4"/>
    </row>
    <row r="7376" spans="3:3" x14ac:dyDescent="0.25">
      <c r="C7376" s="4"/>
    </row>
    <row r="7377" spans="3:3" x14ac:dyDescent="0.25">
      <c r="C7377" s="4"/>
    </row>
    <row r="7378" spans="3:3" x14ac:dyDescent="0.25">
      <c r="C7378" s="4"/>
    </row>
    <row r="7379" spans="3:3" x14ac:dyDescent="0.25">
      <c r="C7379" s="4"/>
    </row>
    <row r="7380" spans="3:3" x14ac:dyDescent="0.25">
      <c r="C7380" s="4"/>
    </row>
    <row r="7381" spans="3:3" x14ac:dyDescent="0.25">
      <c r="C7381" s="4"/>
    </row>
    <row r="7382" spans="3:3" x14ac:dyDescent="0.25">
      <c r="C7382" s="4"/>
    </row>
    <row r="7383" spans="3:3" x14ac:dyDescent="0.25">
      <c r="C7383" s="4"/>
    </row>
    <row r="7384" spans="3:3" x14ac:dyDescent="0.25">
      <c r="C7384" s="4"/>
    </row>
    <row r="7385" spans="3:3" x14ac:dyDescent="0.25">
      <c r="C7385" s="4"/>
    </row>
    <row r="7386" spans="3:3" x14ac:dyDescent="0.25">
      <c r="C7386" s="4"/>
    </row>
    <row r="7387" spans="3:3" x14ac:dyDescent="0.25">
      <c r="C7387" s="4"/>
    </row>
    <row r="7388" spans="3:3" x14ac:dyDescent="0.25">
      <c r="C7388" s="4"/>
    </row>
    <row r="7389" spans="3:3" x14ac:dyDescent="0.25">
      <c r="C7389" s="4"/>
    </row>
    <row r="7390" spans="3:3" x14ac:dyDescent="0.25">
      <c r="C7390" s="4"/>
    </row>
    <row r="7391" spans="3:3" x14ac:dyDescent="0.25">
      <c r="C7391" s="4"/>
    </row>
    <row r="7392" spans="3:3" x14ac:dyDescent="0.25">
      <c r="C7392" s="4"/>
    </row>
    <row r="7393" spans="3:3" x14ac:dyDescent="0.25">
      <c r="C7393" s="4"/>
    </row>
    <row r="7394" spans="3:3" x14ac:dyDescent="0.25">
      <c r="C7394" s="4"/>
    </row>
    <row r="7395" spans="3:3" x14ac:dyDescent="0.25">
      <c r="C7395" s="4"/>
    </row>
    <row r="7396" spans="3:3" x14ac:dyDescent="0.25">
      <c r="C7396" s="4"/>
    </row>
    <row r="7397" spans="3:3" x14ac:dyDescent="0.25">
      <c r="C7397" s="4"/>
    </row>
    <row r="7398" spans="3:3" x14ac:dyDescent="0.25">
      <c r="C7398" s="4"/>
    </row>
    <row r="7399" spans="3:3" x14ac:dyDescent="0.25">
      <c r="C7399" s="4"/>
    </row>
    <row r="7400" spans="3:3" x14ac:dyDescent="0.25">
      <c r="C7400" s="4"/>
    </row>
    <row r="7401" spans="3:3" x14ac:dyDescent="0.25">
      <c r="C7401" s="4"/>
    </row>
    <row r="7402" spans="3:3" x14ac:dyDescent="0.25">
      <c r="C7402" s="4"/>
    </row>
    <row r="7403" spans="3:3" x14ac:dyDescent="0.25">
      <c r="C7403" s="4"/>
    </row>
    <row r="7404" spans="3:3" x14ac:dyDescent="0.25">
      <c r="C7404" s="4"/>
    </row>
    <row r="7405" spans="3:3" x14ac:dyDescent="0.25">
      <c r="C7405" s="4"/>
    </row>
    <row r="7406" spans="3:3" x14ac:dyDescent="0.25">
      <c r="C7406" s="4"/>
    </row>
    <row r="7407" spans="3:3" x14ac:dyDescent="0.25">
      <c r="C7407" s="4"/>
    </row>
    <row r="7408" spans="3:3" x14ac:dyDescent="0.25">
      <c r="C7408" s="4"/>
    </row>
    <row r="7409" spans="3:3" x14ac:dyDescent="0.25">
      <c r="C7409" s="4"/>
    </row>
    <row r="7410" spans="3:3" x14ac:dyDescent="0.25">
      <c r="C7410" s="4"/>
    </row>
    <row r="7411" spans="3:3" x14ac:dyDescent="0.25">
      <c r="C7411" s="4"/>
    </row>
    <row r="7412" spans="3:3" x14ac:dyDescent="0.25">
      <c r="C7412" s="4"/>
    </row>
    <row r="7413" spans="3:3" x14ac:dyDescent="0.25">
      <c r="C7413" s="4"/>
    </row>
    <row r="7414" spans="3:3" x14ac:dyDescent="0.25">
      <c r="C7414" s="4"/>
    </row>
    <row r="7415" spans="3:3" x14ac:dyDescent="0.25">
      <c r="C7415" s="4"/>
    </row>
    <row r="7416" spans="3:3" x14ac:dyDescent="0.25">
      <c r="C7416" s="4"/>
    </row>
    <row r="7417" spans="3:3" x14ac:dyDescent="0.25">
      <c r="C7417" s="4"/>
    </row>
    <row r="7418" spans="3:3" x14ac:dyDescent="0.25">
      <c r="C7418" s="4"/>
    </row>
    <row r="7419" spans="3:3" x14ac:dyDescent="0.25">
      <c r="C7419" s="4"/>
    </row>
    <row r="7420" spans="3:3" x14ac:dyDescent="0.25">
      <c r="C7420" s="4"/>
    </row>
    <row r="7421" spans="3:3" x14ac:dyDescent="0.25">
      <c r="C7421" s="4"/>
    </row>
    <row r="7422" spans="3:3" x14ac:dyDescent="0.25">
      <c r="C7422" s="4"/>
    </row>
    <row r="7423" spans="3:3" x14ac:dyDescent="0.25">
      <c r="C7423" s="4"/>
    </row>
    <row r="7424" spans="3:3" x14ac:dyDescent="0.25">
      <c r="C7424" s="4"/>
    </row>
    <row r="7425" spans="3:3" x14ac:dyDescent="0.25">
      <c r="C7425" s="4"/>
    </row>
    <row r="7426" spans="3:3" x14ac:dyDescent="0.25">
      <c r="C7426" s="4"/>
    </row>
    <row r="7427" spans="3:3" x14ac:dyDescent="0.25">
      <c r="C7427" s="4"/>
    </row>
    <row r="7428" spans="3:3" x14ac:dyDescent="0.25">
      <c r="C7428" s="4"/>
    </row>
    <row r="7429" spans="3:3" x14ac:dyDescent="0.25">
      <c r="C7429" s="4"/>
    </row>
    <row r="7430" spans="3:3" x14ac:dyDescent="0.25">
      <c r="C7430" s="4"/>
    </row>
    <row r="7431" spans="3:3" x14ac:dyDescent="0.25">
      <c r="C7431" s="4"/>
    </row>
    <row r="7432" spans="3:3" x14ac:dyDescent="0.25">
      <c r="C7432" s="4"/>
    </row>
    <row r="7433" spans="3:3" x14ac:dyDescent="0.25">
      <c r="C7433" s="4"/>
    </row>
    <row r="7434" spans="3:3" x14ac:dyDescent="0.25">
      <c r="C7434" s="4"/>
    </row>
    <row r="7435" spans="3:3" x14ac:dyDescent="0.25">
      <c r="C7435" s="4"/>
    </row>
    <row r="7436" spans="3:3" x14ac:dyDescent="0.25">
      <c r="C7436" s="4"/>
    </row>
    <row r="7437" spans="3:3" x14ac:dyDescent="0.25">
      <c r="C7437" s="4"/>
    </row>
    <row r="7438" spans="3:3" x14ac:dyDescent="0.25">
      <c r="C7438" s="4"/>
    </row>
    <row r="7439" spans="3:3" x14ac:dyDescent="0.25">
      <c r="C7439" s="4"/>
    </row>
    <row r="7440" spans="3:3" x14ac:dyDescent="0.25">
      <c r="C7440" s="4"/>
    </row>
    <row r="7441" spans="3:3" x14ac:dyDescent="0.25">
      <c r="C7441" s="4"/>
    </row>
    <row r="7442" spans="3:3" x14ac:dyDescent="0.25">
      <c r="C7442" s="4"/>
    </row>
    <row r="7443" spans="3:3" x14ac:dyDescent="0.25">
      <c r="C7443" s="4"/>
    </row>
    <row r="7444" spans="3:3" x14ac:dyDescent="0.25">
      <c r="C7444" s="4"/>
    </row>
    <row r="7445" spans="3:3" x14ac:dyDescent="0.25">
      <c r="C7445" s="4"/>
    </row>
    <row r="7446" spans="3:3" x14ac:dyDescent="0.25">
      <c r="C7446" s="4"/>
    </row>
    <row r="7447" spans="3:3" x14ac:dyDescent="0.25">
      <c r="C7447" s="4"/>
    </row>
    <row r="7448" spans="3:3" x14ac:dyDescent="0.25">
      <c r="C7448" s="4"/>
    </row>
    <row r="7449" spans="3:3" x14ac:dyDescent="0.25">
      <c r="C7449" s="4"/>
    </row>
    <row r="7450" spans="3:3" x14ac:dyDescent="0.25">
      <c r="C7450" s="4"/>
    </row>
    <row r="7451" spans="3:3" x14ac:dyDescent="0.25">
      <c r="C7451" s="4"/>
    </row>
    <row r="7452" spans="3:3" x14ac:dyDescent="0.25">
      <c r="C7452" s="4"/>
    </row>
    <row r="7453" spans="3:3" x14ac:dyDescent="0.25">
      <c r="C7453" s="4"/>
    </row>
    <row r="7454" spans="3:3" x14ac:dyDescent="0.25">
      <c r="C7454" s="4"/>
    </row>
    <row r="7455" spans="3:3" x14ac:dyDescent="0.25">
      <c r="C7455" s="4"/>
    </row>
    <row r="7456" spans="3:3" x14ac:dyDescent="0.25">
      <c r="C7456" s="4"/>
    </row>
    <row r="7457" spans="3:3" x14ac:dyDescent="0.25">
      <c r="C7457" s="4"/>
    </row>
    <row r="7458" spans="3:3" x14ac:dyDescent="0.25">
      <c r="C7458" s="4"/>
    </row>
    <row r="7459" spans="3:3" x14ac:dyDescent="0.25">
      <c r="C7459" s="4"/>
    </row>
    <row r="7460" spans="3:3" x14ac:dyDescent="0.25">
      <c r="C7460" s="4"/>
    </row>
    <row r="7461" spans="3:3" x14ac:dyDescent="0.25">
      <c r="C7461" s="4"/>
    </row>
    <row r="7462" spans="3:3" x14ac:dyDescent="0.25">
      <c r="C7462" s="4"/>
    </row>
    <row r="7463" spans="3:3" x14ac:dyDescent="0.25">
      <c r="C7463" s="4"/>
    </row>
    <row r="7464" spans="3:3" x14ac:dyDescent="0.25">
      <c r="C7464" s="4"/>
    </row>
    <row r="7465" spans="3:3" x14ac:dyDescent="0.25">
      <c r="C7465" s="4"/>
    </row>
    <row r="7466" spans="3:3" x14ac:dyDescent="0.25">
      <c r="C7466" s="4"/>
    </row>
    <row r="7467" spans="3:3" x14ac:dyDescent="0.25">
      <c r="C7467" s="4"/>
    </row>
    <row r="7468" spans="3:3" x14ac:dyDescent="0.25">
      <c r="C7468" s="4"/>
    </row>
    <row r="7469" spans="3:3" x14ac:dyDescent="0.25">
      <c r="C7469" s="4"/>
    </row>
    <row r="7470" spans="3:3" x14ac:dyDescent="0.25">
      <c r="C7470" s="4"/>
    </row>
    <row r="7471" spans="3:3" x14ac:dyDescent="0.25">
      <c r="C7471" s="4"/>
    </row>
    <row r="7472" spans="3:3" x14ac:dyDescent="0.25">
      <c r="C7472" s="4"/>
    </row>
    <row r="7473" spans="3:3" x14ac:dyDescent="0.25">
      <c r="C7473" s="4"/>
    </row>
    <row r="7474" spans="3:3" x14ac:dyDescent="0.25">
      <c r="C7474" s="4"/>
    </row>
    <row r="7475" spans="3:3" x14ac:dyDescent="0.25">
      <c r="C7475" s="4"/>
    </row>
    <row r="7476" spans="3:3" x14ac:dyDescent="0.25">
      <c r="C7476" s="4"/>
    </row>
    <row r="7477" spans="3:3" x14ac:dyDescent="0.25">
      <c r="C7477" s="4"/>
    </row>
    <row r="7478" spans="3:3" x14ac:dyDescent="0.25">
      <c r="C7478" s="4"/>
    </row>
    <row r="7479" spans="3:3" x14ac:dyDescent="0.25">
      <c r="C7479" s="4"/>
    </row>
    <row r="7480" spans="3:3" x14ac:dyDescent="0.25">
      <c r="C7480" s="4"/>
    </row>
    <row r="7481" spans="3:3" x14ac:dyDescent="0.25">
      <c r="C7481" s="4"/>
    </row>
    <row r="7482" spans="3:3" x14ac:dyDescent="0.25">
      <c r="C7482" s="4"/>
    </row>
    <row r="7483" spans="3:3" x14ac:dyDescent="0.25">
      <c r="C7483" s="4"/>
    </row>
    <row r="7484" spans="3:3" x14ac:dyDescent="0.25">
      <c r="C7484" s="4"/>
    </row>
    <row r="7485" spans="3:3" x14ac:dyDescent="0.25">
      <c r="C7485" s="4"/>
    </row>
    <row r="7486" spans="3:3" x14ac:dyDescent="0.25">
      <c r="C7486" s="4"/>
    </row>
    <row r="7487" spans="3:3" x14ac:dyDescent="0.25">
      <c r="C7487" s="4"/>
    </row>
    <row r="7488" spans="3:3" x14ac:dyDescent="0.25">
      <c r="C7488" s="4"/>
    </row>
    <row r="7489" spans="3:3" x14ac:dyDescent="0.25">
      <c r="C7489" s="4"/>
    </row>
    <row r="7490" spans="3:3" x14ac:dyDescent="0.25">
      <c r="C7490" s="4"/>
    </row>
    <row r="7491" spans="3:3" x14ac:dyDescent="0.25">
      <c r="C7491" s="4"/>
    </row>
    <row r="7492" spans="3:3" x14ac:dyDescent="0.25">
      <c r="C7492" s="4"/>
    </row>
    <row r="7493" spans="3:3" x14ac:dyDescent="0.25">
      <c r="C7493" s="4"/>
    </row>
    <row r="7494" spans="3:3" x14ac:dyDescent="0.25">
      <c r="C7494" s="4"/>
    </row>
    <row r="7495" spans="3:3" x14ac:dyDescent="0.25">
      <c r="C7495" s="4"/>
    </row>
    <row r="7496" spans="3:3" x14ac:dyDescent="0.25">
      <c r="C7496" s="4"/>
    </row>
    <row r="7497" spans="3:3" x14ac:dyDescent="0.25">
      <c r="C7497" s="4"/>
    </row>
    <row r="7498" spans="3:3" x14ac:dyDescent="0.25">
      <c r="C7498" s="4"/>
    </row>
    <row r="7499" spans="3:3" x14ac:dyDescent="0.25">
      <c r="C7499" s="4"/>
    </row>
    <row r="7500" spans="3:3" x14ac:dyDescent="0.25">
      <c r="C7500" s="4"/>
    </row>
    <row r="7501" spans="3:3" x14ac:dyDescent="0.25">
      <c r="C7501" s="4"/>
    </row>
    <row r="7502" spans="3:3" x14ac:dyDescent="0.25">
      <c r="C7502" s="4"/>
    </row>
    <row r="7503" spans="3:3" x14ac:dyDescent="0.25">
      <c r="C7503" s="4"/>
    </row>
    <row r="7504" spans="3:3" x14ac:dyDescent="0.25">
      <c r="C7504" s="4"/>
    </row>
    <row r="7505" spans="3:3" x14ac:dyDescent="0.25">
      <c r="C7505" s="4"/>
    </row>
    <row r="7506" spans="3:3" x14ac:dyDescent="0.25">
      <c r="C7506" s="4"/>
    </row>
    <row r="7507" spans="3:3" x14ac:dyDescent="0.25">
      <c r="C7507" s="4"/>
    </row>
    <row r="7508" spans="3:3" x14ac:dyDescent="0.25">
      <c r="C7508" s="4"/>
    </row>
    <row r="7509" spans="3:3" x14ac:dyDescent="0.25">
      <c r="C7509" s="4"/>
    </row>
    <row r="7510" spans="3:3" x14ac:dyDescent="0.25">
      <c r="C7510" s="4"/>
    </row>
    <row r="7511" spans="3:3" x14ac:dyDescent="0.25">
      <c r="C7511" s="4"/>
    </row>
    <row r="7512" spans="3:3" x14ac:dyDescent="0.25">
      <c r="C7512" s="4"/>
    </row>
    <row r="7513" spans="3:3" x14ac:dyDescent="0.25">
      <c r="C7513" s="4"/>
    </row>
    <row r="7514" spans="3:3" x14ac:dyDescent="0.25">
      <c r="C7514" s="4"/>
    </row>
    <row r="7515" spans="3:3" x14ac:dyDescent="0.25">
      <c r="C7515" s="4"/>
    </row>
    <row r="7516" spans="3:3" x14ac:dyDescent="0.25">
      <c r="C7516" s="4"/>
    </row>
    <row r="7517" spans="3:3" x14ac:dyDescent="0.25">
      <c r="C7517" s="4"/>
    </row>
    <row r="7518" spans="3:3" x14ac:dyDescent="0.25">
      <c r="C7518" s="4"/>
    </row>
    <row r="7519" spans="3:3" x14ac:dyDescent="0.25">
      <c r="C7519" s="4"/>
    </row>
    <row r="7520" spans="3:3" x14ac:dyDescent="0.25">
      <c r="C7520" s="4"/>
    </row>
    <row r="7521" spans="3:3" x14ac:dyDescent="0.25">
      <c r="C7521" s="4"/>
    </row>
    <row r="7522" spans="3:3" x14ac:dyDescent="0.25">
      <c r="C7522" s="4"/>
    </row>
    <row r="7523" spans="3:3" x14ac:dyDescent="0.25">
      <c r="C7523" s="4"/>
    </row>
    <row r="7524" spans="3:3" x14ac:dyDescent="0.25">
      <c r="C7524" s="4"/>
    </row>
    <row r="7525" spans="3:3" x14ac:dyDescent="0.25">
      <c r="C7525" s="4"/>
    </row>
    <row r="7526" spans="3:3" x14ac:dyDescent="0.25">
      <c r="C7526" s="4"/>
    </row>
    <row r="7527" spans="3:3" x14ac:dyDescent="0.25">
      <c r="C7527" s="4"/>
    </row>
    <row r="7528" spans="3:3" x14ac:dyDescent="0.25">
      <c r="C7528" s="4"/>
    </row>
    <row r="7529" spans="3:3" x14ac:dyDescent="0.25">
      <c r="C7529" s="4"/>
    </row>
    <row r="7530" spans="3:3" x14ac:dyDescent="0.25">
      <c r="C7530" s="4"/>
    </row>
    <row r="7531" spans="3:3" x14ac:dyDescent="0.25">
      <c r="C7531" s="4"/>
    </row>
    <row r="7532" spans="3:3" x14ac:dyDescent="0.25">
      <c r="C7532" s="4"/>
    </row>
    <row r="7533" spans="3:3" x14ac:dyDescent="0.25">
      <c r="C7533" s="4"/>
    </row>
    <row r="7534" spans="3:3" x14ac:dyDescent="0.25">
      <c r="C7534" s="4"/>
    </row>
    <row r="7535" spans="3:3" x14ac:dyDescent="0.25">
      <c r="C7535" s="4"/>
    </row>
    <row r="7536" spans="3:3" x14ac:dyDescent="0.25">
      <c r="C7536" s="4"/>
    </row>
    <row r="7537" spans="3:3" x14ac:dyDescent="0.25">
      <c r="C7537" s="4"/>
    </row>
    <row r="7538" spans="3:3" x14ac:dyDescent="0.25">
      <c r="C7538" s="4"/>
    </row>
    <row r="7539" spans="3:3" x14ac:dyDescent="0.25">
      <c r="C7539" s="4"/>
    </row>
    <row r="7540" spans="3:3" x14ac:dyDescent="0.25">
      <c r="C7540" s="4"/>
    </row>
    <row r="7541" spans="3:3" x14ac:dyDescent="0.25">
      <c r="C7541" s="4"/>
    </row>
    <row r="7542" spans="3:3" x14ac:dyDescent="0.25">
      <c r="C7542" s="4"/>
    </row>
    <row r="7543" spans="3:3" x14ac:dyDescent="0.25">
      <c r="C7543" s="4"/>
    </row>
    <row r="7544" spans="3:3" x14ac:dyDescent="0.25">
      <c r="C7544" s="4"/>
    </row>
    <row r="7545" spans="3:3" x14ac:dyDescent="0.25">
      <c r="C7545" s="4"/>
    </row>
    <row r="7546" spans="3:3" x14ac:dyDescent="0.25">
      <c r="C7546" s="4"/>
    </row>
    <row r="7547" spans="3:3" x14ac:dyDescent="0.25">
      <c r="C7547" s="4"/>
    </row>
    <row r="7548" spans="3:3" x14ac:dyDescent="0.25">
      <c r="C7548" s="4"/>
    </row>
    <row r="7549" spans="3:3" x14ac:dyDescent="0.25">
      <c r="C7549" s="4"/>
    </row>
    <row r="7550" spans="3:3" x14ac:dyDescent="0.25">
      <c r="C7550" s="4"/>
    </row>
    <row r="7551" spans="3:3" x14ac:dyDescent="0.25">
      <c r="C7551" s="4"/>
    </row>
    <row r="7552" spans="3:3" x14ac:dyDescent="0.25">
      <c r="C7552" s="4"/>
    </row>
    <row r="7553" spans="3:3" x14ac:dyDescent="0.25">
      <c r="C7553" s="4"/>
    </row>
    <row r="7554" spans="3:3" x14ac:dyDescent="0.25">
      <c r="C7554" s="4"/>
    </row>
    <row r="7555" spans="3:3" x14ac:dyDescent="0.25">
      <c r="C7555" s="4"/>
    </row>
    <row r="7556" spans="3:3" x14ac:dyDescent="0.25">
      <c r="C7556" s="4"/>
    </row>
    <row r="7557" spans="3:3" x14ac:dyDescent="0.25">
      <c r="C7557" s="4"/>
    </row>
    <row r="7558" spans="3:3" x14ac:dyDescent="0.25">
      <c r="C7558" s="4"/>
    </row>
    <row r="7559" spans="3:3" x14ac:dyDescent="0.25">
      <c r="C7559" s="4"/>
    </row>
    <row r="7560" spans="3:3" x14ac:dyDescent="0.25">
      <c r="C7560" s="4"/>
    </row>
    <row r="7561" spans="3:3" x14ac:dyDescent="0.25">
      <c r="C7561" s="4"/>
    </row>
    <row r="7562" spans="3:3" x14ac:dyDescent="0.25">
      <c r="C7562" s="4"/>
    </row>
    <row r="7563" spans="3:3" x14ac:dyDescent="0.25">
      <c r="C7563" s="4"/>
    </row>
    <row r="7564" spans="3:3" x14ac:dyDescent="0.25">
      <c r="C7564" s="4"/>
    </row>
    <row r="7565" spans="3:3" x14ac:dyDescent="0.25">
      <c r="C7565" s="4"/>
    </row>
    <row r="7566" spans="3:3" x14ac:dyDescent="0.25">
      <c r="C7566" s="4"/>
    </row>
    <row r="7567" spans="3:3" x14ac:dyDescent="0.25">
      <c r="C7567" s="4"/>
    </row>
    <row r="7568" spans="3:3" x14ac:dyDescent="0.25">
      <c r="C7568" s="4"/>
    </row>
    <row r="7569" spans="3:3" x14ac:dyDescent="0.25">
      <c r="C7569" s="4"/>
    </row>
    <row r="7570" spans="3:3" x14ac:dyDescent="0.25">
      <c r="C7570" s="4"/>
    </row>
    <row r="7571" spans="3:3" x14ac:dyDescent="0.25">
      <c r="C7571" s="4"/>
    </row>
    <row r="7572" spans="3:3" x14ac:dyDescent="0.25">
      <c r="C7572" s="4"/>
    </row>
    <row r="7573" spans="3:3" x14ac:dyDescent="0.25">
      <c r="C7573" s="4"/>
    </row>
    <row r="7574" spans="3:3" x14ac:dyDescent="0.25">
      <c r="C7574" s="4"/>
    </row>
    <row r="7575" spans="3:3" x14ac:dyDescent="0.25">
      <c r="C7575" s="4"/>
    </row>
    <row r="7576" spans="3:3" x14ac:dyDescent="0.25">
      <c r="C7576" s="4"/>
    </row>
    <row r="7577" spans="3:3" x14ac:dyDescent="0.25">
      <c r="C7577" s="4"/>
    </row>
    <row r="7578" spans="3:3" x14ac:dyDescent="0.25">
      <c r="C7578" s="4"/>
    </row>
    <row r="7579" spans="3:3" x14ac:dyDescent="0.25">
      <c r="C7579" s="4"/>
    </row>
    <row r="7580" spans="3:3" x14ac:dyDescent="0.25">
      <c r="C7580" s="4"/>
    </row>
    <row r="7581" spans="3:3" x14ac:dyDescent="0.25">
      <c r="C7581" s="4"/>
    </row>
    <row r="7582" spans="3:3" x14ac:dyDescent="0.25">
      <c r="C7582" s="4"/>
    </row>
    <row r="7583" spans="3:3" x14ac:dyDescent="0.25">
      <c r="C7583" s="4"/>
    </row>
    <row r="7584" spans="3:3" x14ac:dyDescent="0.25">
      <c r="C7584" s="4"/>
    </row>
    <row r="7585" spans="3:3" x14ac:dyDescent="0.25">
      <c r="C7585" s="4"/>
    </row>
    <row r="7586" spans="3:3" x14ac:dyDescent="0.25">
      <c r="C7586" s="4"/>
    </row>
    <row r="7587" spans="3:3" x14ac:dyDescent="0.25">
      <c r="C7587" s="4"/>
    </row>
    <row r="7588" spans="3:3" x14ac:dyDescent="0.25">
      <c r="C7588" s="4"/>
    </row>
    <row r="7589" spans="3:3" x14ac:dyDescent="0.25">
      <c r="C7589" s="4"/>
    </row>
    <row r="7590" spans="3:3" x14ac:dyDescent="0.25">
      <c r="C7590" s="4"/>
    </row>
    <row r="7591" spans="3:3" x14ac:dyDescent="0.25">
      <c r="C7591" s="4"/>
    </row>
    <row r="7592" spans="3:3" x14ac:dyDescent="0.25">
      <c r="C7592" s="4"/>
    </row>
    <row r="7593" spans="3:3" x14ac:dyDescent="0.25">
      <c r="C7593" s="4"/>
    </row>
    <row r="7594" spans="3:3" x14ac:dyDescent="0.25">
      <c r="C7594" s="4"/>
    </row>
    <row r="7595" spans="3:3" x14ac:dyDescent="0.25">
      <c r="C7595" s="4"/>
    </row>
    <row r="7596" spans="3:3" x14ac:dyDescent="0.25">
      <c r="C7596" s="4"/>
    </row>
    <row r="7597" spans="3:3" x14ac:dyDescent="0.25">
      <c r="C7597" s="4"/>
    </row>
    <row r="7598" spans="3:3" x14ac:dyDescent="0.25">
      <c r="C7598" s="4"/>
    </row>
    <row r="7599" spans="3:3" x14ac:dyDescent="0.25">
      <c r="C7599" s="4"/>
    </row>
    <row r="7600" spans="3:3" x14ac:dyDescent="0.25">
      <c r="C7600" s="4"/>
    </row>
    <row r="7601" spans="3:3" x14ac:dyDescent="0.25">
      <c r="C7601" s="4"/>
    </row>
    <row r="7602" spans="3:3" x14ac:dyDescent="0.25">
      <c r="C7602" s="4"/>
    </row>
    <row r="7603" spans="3:3" x14ac:dyDescent="0.25">
      <c r="C7603" s="4"/>
    </row>
    <row r="7604" spans="3:3" x14ac:dyDescent="0.25">
      <c r="C7604" s="4"/>
    </row>
    <row r="7605" spans="3:3" x14ac:dyDescent="0.25">
      <c r="C7605" s="4"/>
    </row>
    <row r="7606" spans="3:3" x14ac:dyDescent="0.25">
      <c r="C7606" s="4"/>
    </row>
    <row r="7607" spans="3:3" x14ac:dyDescent="0.25">
      <c r="C7607" s="4"/>
    </row>
    <row r="7608" spans="3:3" x14ac:dyDescent="0.25">
      <c r="C7608" s="4"/>
    </row>
    <row r="7609" spans="3:3" x14ac:dyDescent="0.25">
      <c r="C7609" s="4"/>
    </row>
    <row r="7610" spans="3:3" x14ac:dyDescent="0.25">
      <c r="C7610" s="4"/>
    </row>
    <row r="7611" spans="3:3" x14ac:dyDescent="0.25">
      <c r="C7611" s="4"/>
    </row>
    <row r="7612" spans="3:3" x14ac:dyDescent="0.25">
      <c r="C7612" s="4"/>
    </row>
    <row r="7613" spans="3:3" x14ac:dyDescent="0.25">
      <c r="C7613" s="4"/>
    </row>
    <row r="7614" spans="3:3" x14ac:dyDescent="0.25">
      <c r="C7614" s="4"/>
    </row>
    <row r="7615" spans="3:3" x14ac:dyDescent="0.25">
      <c r="C7615" s="4"/>
    </row>
    <row r="7616" spans="3:3" x14ac:dyDescent="0.25">
      <c r="C7616" s="4"/>
    </row>
    <row r="7617" spans="3:3" x14ac:dyDescent="0.25">
      <c r="C7617" s="4"/>
    </row>
    <row r="7618" spans="3:3" x14ac:dyDescent="0.25">
      <c r="C7618" s="4"/>
    </row>
    <row r="7619" spans="3:3" x14ac:dyDescent="0.25">
      <c r="C7619" s="4"/>
    </row>
    <row r="7620" spans="3:3" x14ac:dyDescent="0.25">
      <c r="C7620" s="4"/>
    </row>
    <row r="7621" spans="3:3" x14ac:dyDescent="0.25">
      <c r="C7621" s="4"/>
    </row>
    <row r="7622" spans="3:3" x14ac:dyDescent="0.25">
      <c r="C7622" s="4"/>
    </row>
    <row r="7623" spans="3:3" x14ac:dyDescent="0.25">
      <c r="C7623" s="4"/>
    </row>
    <row r="7624" spans="3:3" x14ac:dyDescent="0.25">
      <c r="C7624" s="4"/>
    </row>
    <row r="7625" spans="3:3" x14ac:dyDescent="0.25">
      <c r="C7625" s="4"/>
    </row>
    <row r="7626" spans="3:3" x14ac:dyDescent="0.25">
      <c r="C7626" s="4"/>
    </row>
    <row r="7627" spans="3:3" x14ac:dyDescent="0.25">
      <c r="C7627" s="4"/>
    </row>
    <row r="7628" spans="3:3" x14ac:dyDescent="0.25">
      <c r="C7628" s="4"/>
    </row>
    <row r="7629" spans="3:3" x14ac:dyDescent="0.25">
      <c r="C7629" s="4"/>
    </row>
    <row r="7630" spans="3:3" x14ac:dyDescent="0.25">
      <c r="C7630" s="4"/>
    </row>
    <row r="7631" spans="3:3" x14ac:dyDescent="0.25">
      <c r="C7631" s="4"/>
    </row>
    <row r="7632" spans="3:3" x14ac:dyDescent="0.25">
      <c r="C7632" s="4"/>
    </row>
    <row r="7633" spans="3:3" x14ac:dyDescent="0.25">
      <c r="C7633" s="4"/>
    </row>
    <row r="7634" spans="3:3" x14ac:dyDescent="0.25">
      <c r="C7634" s="4"/>
    </row>
    <row r="7635" spans="3:3" x14ac:dyDescent="0.25">
      <c r="C7635" s="4"/>
    </row>
    <row r="7636" spans="3:3" x14ac:dyDescent="0.25">
      <c r="C7636" s="4"/>
    </row>
    <row r="7637" spans="3:3" x14ac:dyDescent="0.25">
      <c r="C7637" s="4"/>
    </row>
    <row r="7638" spans="3:3" x14ac:dyDescent="0.25">
      <c r="C7638" s="4"/>
    </row>
    <row r="7639" spans="3:3" x14ac:dyDescent="0.25">
      <c r="C7639" s="4"/>
    </row>
    <row r="7640" spans="3:3" x14ac:dyDescent="0.25">
      <c r="C7640" s="4"/>
    </row>
    <row r="7641" spans="3:3" x14ac:dyDescent="0.25">
      <c r="C7641" s="4"/>
    </row>
    <row r="7642" spans="3:3" x14ac:dyDescent="0.25">
      <c r="C7642" s="4"/>
    </row>
    <row r="7643" spans="3:3" x14ac:dyDescent="0.25">
      <c r="C7643" s="4"/>
    </row>
    <row r="7644" spans="3:3" x14ac:dyDescent="0.25">
      <c r="C7644" s="4"/>
    </row>
    <row r="7645" spans="3:3" x14ac:dyDescent="0.25">
      <c r="C7645" s="4"/>
    </row>
    <row r="7646" spans="3:3" x14ac:dyDescent="0.25">
      <c r="C7646" s="4"/>
    </row>
    <row r="7647" spans="3:3" x14ac:dyDescent="0.25">
      <c r="C7647" s="4"/>
    </row>
    <row r="7648" spans="3:3" x14ac:dyDescent="0.25">
      <c r="C7648" s="4"/>
    </row>
    <row r="7649" spans="3:3" x14ac:dyDescent="0.25">
      <c r="C7649" s="4"/>
    </row>
    <row r="7650" spans="3:3" x14ac:dyDescent="0.25">
      <c r="C7650" s="4"/>
    </row>
    <row r="7651" spans="3:3" x14ac:dyDescent="0.25">
      <c r="C7651" s="4"/>
    </row>
    <row r="7652" spans="3:3" x14ac:dyDescent="0.25">
      <c r="C7652" s="4"/>
    </row>
    <row r="7653" spans="3:3" x14ac:dyDescent="0.25">
      <c r="C7653" s="4"/>
    </row>
    <row r="7654" spans="3:3" x14ac:dyDescent="0.25">
      <c r="C7654" s="4"/>
    </row>
    <row r="7655" spans="3:3" x14ac:dyDescent="0.25">
      <c r="C7655" s="4"/>
    </row>
    <row r="7656" spans="3:3" x14ac:dyDescent="0.25">
      <c r="C7656" s="4"/>
    </row>
    <row r="7657" spans="3:3" x14ac:dyDescent="0.25">
      <c r="C7657" s="4"/>
    </row>
    <row r="7658" spans="3:3" x14ac:dyDescent="0.25">
      <c r="C7658" s="4"/>
    </row>
    <row r="7659" spans="3:3" x14ac:dyDescent="0.25">
      <c r="C7659" s="4"/>
    </row>
    <row r="7660" spans="3:3" x14ac:dyDescent="0.25">
      <c r="C7660" s="4"/>
    </row>
    <row r="7661" spans="3:3" x14ac:dyDescent="0.25">
      <c r="C7661" s="4"/>
    </row>
    <row r="7662" spans="3:3" x14ac:dyDescent="0.25">
      <c r="C7662" s="4"/>
    </row>
    <row r="7663" spans="3:3" x14ac:dyDescent="0.25">
      <c r="C7663" s="4"/>
    </row>
    <row r="7664" spans="3:3" x14ac:dyDescent="0.25">
      <c r="C7664" s="4"/>
    </row>
    <row r="7665" spans="3:3" x14ac:dyDescent="0.25">
      <c r="C7665" s="4"/>
    </row>
    <row r="7666" spans="3:3" x14ac:dyDescent="0.25">
      <c r="C7666" s="4"/>
    </row>
    <row r="7667" spans="3:3" x14ac:dyDescent="0.25">
      <c r="C7667" s="4"/>
    </row>
    <row r="7668" spans="3:3" x14ac:dyDescent="0.25">
      <c r="C7668" s="4"/>
    </row>
    <row r="7669" spans="3:3" x14ac:dyDescent="0.25">
      <c r="C7669" s="4"/>
    </row>
    <row r="7670" spans="3:3" x14ac:dyDescent="0.25">
      <c r="C7670" s="4"/>
    </row>
    <row r="7671" spans="3:3" x14ac:dyDescent="0.25">
      <c r="C7671" s="4"/>
    </row>
    <row r="7672" spans="3:3" x14ac:dyDescent="0.25">
      <c r="C7672" s="4"/>
    </row>
    <row r="7673" spans="3:3" x14ac:dyDescent="0.25">
      <c r="C7673" s="4"/>
    </row>
    <row r="7674" spans="3:3" x14ac:dyDescent="0.25">
      <c r="C7674" s="4"/>
    </row>
    <row r="7675" spans="3:3" x14ac:dyDescent="0.25">
      <c r="C7675" s="4"/>
    </row>
    <row r="7676" spans="3:3" x14ac:dyDescent="0.25">
      <c r="C7676" s="4"/>
    </row>
    <row r="7677" spans="3:3" x14ac:dyDescent="0.25">
      <c r="C7677" s="4"/>
    </row>
    <row r="7678" spans="3:3" x14ac:dyDescent="0.25">
      <c r="C7678" s="4"/>
    </row>
    <row r="7679" spans="3:3" x14ac:dyDescent="0.25">
      <c r="C7679" s="4"/>
    </row>
    <row r="7680" spans="3:3" x14ac:dyDescent="0.25">
      <c r="C7680" s="4"/>
    </row>
    <row r="7681" spans="3:3" x14ac:dyDescent="0.25">
      <c r="C7681" s="4"/>
    </row>
    <row r="7682" spans="3:3" x14ac:dyDescent="0.25">
      <c r="C7682" s="4"/>
    </row>
    <row r="7683" spans="3:3" x14ac:dyDescent="0.25">
      <c r="C7683" s="4"/>
    </row>
    <row r="7684" spans="3:3" x14ac:dyDescent="0.25">
      <c r="C7684" s="4"/>
    </row>
    <row r="7685" spans="3:3" x14ac:dyDescent="0.25">
      <c r="C7685" s="4"/>
    </row>
    <row r="7686" spans="3:3" x14ac:dyDescent="0.25">
      <c r="C7686" s="4"/>
    </row>
    <row r="7687" spans="3:3" x14ac:dyDescent="0.25">
      <c r="C7687" s="4"/>
    </row>
    <row r="7688" spans="3:3" x14ac:dyDescent="0.25">
      <c r="C7688" s="4"/>
    </row>
    <row r="7689" spans="3:3" x14ac:dyDescent="0.25">
      <c r="C7689" s="4"/>
    </row>
    <row r="7690" spans="3:3" x14ac:dyDescent="0.25">
      <c r="C7690" s="4"/>
    </row>
    <row r="7691" spans="3:3" x14ac:dyDescent="0.25">
      <c r="C7691" s="4"/>
    </row>
    <row r="7692" spans="3:3" x14ac:dyDescent="0.25">
      <c r="C7692" s="4"/>
    </row>
    <row r="7693" spans="3:3" x14ac:dyDescent="0.25">
      <c r="C7693" s="4"/>
    </row>
    <row r="7694" spans="3:3" x14ac:dyDescent="0.25">
      <c r="C7694" s="4"/>
    </row>
    <row r="7695" spans="3:3" x14ac:dyDescent="0.25">
      <c r="C7695" s="4"/>
    </row>
    <row r="7696" spans="3:3" x14ac:dyDescent="0.25">
      <c r="C7696" s="4"/>
    </row>
    <row r="7697" spans="3:3" x14ac:dyDescent="0.25">
      <c r="C7697" s="4"/>
    </row>
    <row r="7698" spans="3:3" x14ac:dyDescent="0.25">
      <c r="C7698" s="4"/>
    </row>
    <row r="7699" spans="3:3" x14ac:dyDescent="0.25">
      <c r="C7699" s="4"/>
    </row>
    <row r="7700" spans="3:3" x14ac:dyDescent="0.25">
      <c r="C7700" s="4"/>
    </row>
    <row r="7701" spans="3:3" x14ac:dyDescent="0.25">
      <c r="C7701" s="4"/>
    </row>
    <row r="7702" spans="3:3" x14ac:dyDescent="0.25">
      <c r="C7702" s="4"/>
    </row>
    <row r="7703" spans="3:3" x14ac:dyDescent="0.25">
      <c r="C7703" s="4"/>
    </row>
    <row r="7704" spans="3:3" x14ac:dyDescent="0.25">
      <c r="C7704" s="4"/>
    </row>
    <row r="7705" spans="3:3" x14ac:dyDescent="0.25">
      <c r="C7705" s="4"/>
    </row>
    <row r="7706" spans="3:3" x14ac:dyDescent="0.25">
      <c r="C7706" s="4"/>
    </row>
    <row r="7707" spans="3:3" x14ac:dyDescent="0.25">
      <c r="C7707" s="4"/>
    </row>
    <row r="7708" spans="3:3" x14ac:dyDescent="0.25">
      <c r="C7708" s="4"/>
    </row>
    <row r="7709" spans="3:3" x14ac:dyDescent="0.25">
      <c r="C7709" s="4"/>
    </row>
    <row r="7710" spans="3:3" x14ac:dyDescent="0.25">
      <c r="C7710" s="4"/>
    </row>
    <row r="7711" spans="3:3" x14ac:dyDescent="0.25">
      <c r="C7711" s="4"/>
    </row>
    <row r="7712" spans="3:3" x14ac:dyDescent="0.25">
      <c r="C7712" s="4"/>
    </row>
    <row r="7713" spans="3:3" x14ac:dyDescent="0.25">
      <c r="C7713" s="4"/>
    </row>
    <row r="7714" spans="3:3" x14ac:dyDescent="0.25">
      <c r="C7714" s="4"/>
    </row>
    <row r="7715" spans="3:3" x14ac:dyDescent="0.25">
      <c r="C7715" s="4"/>
    </row>
    <row r="7716" spans="3:3" x14ac:dyDescent="0.25">
      <c r="C7716" s="4"/>
    </row>
    <row r="7717" spans="3:3" x14ac:dyDescent="0.25">
      <c r="C7717" s="4"/>
    </row>
    <row r="7718" spans="3:3" x14ac:dyDescent="0.25">
      <c r="C7718" s="4"/>
    </row>
    <row r="7719" spans="3:3" x14ac:dyDescent="0.25">
      <c r="C7719" s="4"/>
    </row>
    <row r="7720" spans="3:3" x14ac:dyDescent="0.25">
      <c r="C7720" s="4"/>
    </row>
    <row r="7721" spans="3:3" x14ac:dyDescent="0.25">
      <c r="C7721" s="4"/>
    </row>
    <row r="7722" spans="3:3" x14ac:dyDescent="0.25">
      <c r="C7722" s="4"/>
    </row>
    <row r="7723" spans="3:3" x14ac:dyDescent="0.25">
      <c r="C7723" s="4"/>
    </row>
    <row r="7724" spans="3:3" x14ac:dyDescent="0.25">
      <c r="C7724" s="4"/>
    </row>
    <row r="7725" spans="3:3" x14ac:dyDescent="0.25">
      <c r="C7725" s="4"/>
    </row>
    <row r="7726" spans="3:3" x14ac:dyDescent="0.25">
      <c r="C7726" s="4"/>
    </row>
    <row r="7727" spans="3:3" x14ac:dyDescent="0.25">
      <c r="C7727" s="4"/>
    </row>
    <row r="7728" spans="3:3" x14ac:dyDescent="0.25">
      <c r="C7728" s="4"/>
    </row>
    <row r="7729" spans="3:3" x14ac:dyDescent="0.25">
      <c r="C7729" s="4"/>
    </row>
    <row r="7730" spans="3:3" x14ac:dyDescent="0.25">
      <c r="C7730" s="4"/>
    </row>
    <row r="7731" spans="3:3" x14ac:dyDescent="0.25">
      <c r="C7731" s="4"/>
    </row>
    <row r="7732" spans="3:3" x14ac:dyDescent="0.25">
      <c r="C7732" s="4"/>
    </row>
    <row r="7733" spans="3:3" x14ac:dyDescent="0.25">
      <c r="C7733" s="4"/>
    </row>
    <row r="7734" spans="3:3" x14ac:dyDescent="0.25">
      <c r="C7734" s="4"/>
    </row>
    <row r="7735" spans="3:3" x14ac:dyDescent="0.25">
      <c r="C7735" s="4"/>
    </row>
    <row r="7736" spans="3:3" x14ac:dyDescent="0.25">
      <c r="C7736" s="4"/>
    </row>
    <row r="7737" spans="3:3" x14ac:dyDescent="0.25">
      <c r="C7737" s="4"/>
    </row>
    <row r="7738" spans="3:3" x14ac:dyDescent="0.25">
      <c r="C7738" s="4"/>
    </row>
    <row r="7739" spans="3:3" x14ac:dyDescent="0.25">
      <c r="C7739" s="4"/>
    </row>
    <row r="7740" spans="3:3" x14ac:dyDescent="0.25">
      <c r="C7740" s="4"/>
    </row>
    <row r="7741" spans="3:3" x14ac:dyDescent="0.25">
      <c r="C7741" s="4"/>
    </row>
    <row r="7742" spans="3:3" x14ac:dyDescent="0.25">
      <c r="C7742" s="4"/>
    </row>
    <row r="7743" spans="3:3" x14ac:dyDescent="0.25">
      <c r="C7743" s="4"/>
    </row>
    <row r="7744" spans="3:3" x14ac:dyDescent="0.25">
      <c r="C7744" s="4"/>
    </row>
    <row r="7745" spans="3:3" x14ac:dyDescent="0.25">
      <c r="C7745" s="4"/>
    </row>
    <row r="7746" spans="3:3" x14ac:dyDescent="0.25">
      <c r="C7746" s="4"/>
    </row>
    <row r="7747" spans="3:3" x14ac:dyDescent="0.25">
      <c r="C7747" s="4"/>
    </row>
    <row r="7748" spans="3:3" x14ac:dyDescent="0.25">
      <c r="C7748" s="4"/>
    </row>
    <row r="7749" spans="3:3" x14ac:dyDescent="0.25">
      <c r="C7749" s="4"/>
    </row>
    <row r="7750" spans="3:3" x14ac:dyDescent="0.25">
      <c r="C7750" s="4"/>
    </row>
    <row r="7751" spans="3:3" x14ac:dyDescent="0.25">
      <c r="C7751" s="4"/>
    </row>
    <row r="7752" spans="3:3" x14ac:dyDescent="0.25">
      <c r="C7752" s="4"/>
    </row>
    <row r="7753" spans="3:3" x14ac:dyDescent="0.25">
      <c r="C7753" s="4"/>
    </row>
    <row r="7754" spans="3:3" x14ac:dyDescent="0.25">
      <c r="C7754" s="4"/>
    </row>
    <row r="7755" spans="3:3" x14ac:dyDescent="0.25">
      <c r="C7755" s="4"/>
    </row>
    <row r="7756" spans="3:3" x14ac:dyDescent="0.25">
      <c r="C7756" s="4"/>
    </row>
    <row r="7757" spans="3:3" x14ac:dyDescent="0.25">
      <c r="C7757" s="4"/>
    </row>
    <row r="7758" spans="3:3" x14ac:dyDescent="0.25">
      <c r="C7758" s="4"/>
    </row>
    <row r="7759" spans="3:3" x14ac:dyDescent="0.25">
      <c r="C7759" s="4"/>
    </row>
    <row r="7760" spans="3:3" x14ac:dyDescent="0.25">
      <c r="C7760" s="4"/>
    </row>
    <row r="7761" spans="3:3" x14ac:dyDescent="0.25">
      <c r="C7761" s="4"/>
    </row>
    <row r="7762" spans="3:3" x14ac:dyDescent="0.25">
      <c r="C7762" s="4"/>
    </row>
    <row r="7763" spans="3:3" x14ac:dyDescent="0.25">
      <c r="C7763" s="4"/>
    </row>
    <row r="7764" spans="3:3" x14ac:dyDescent="0.25">
      <c r="C7764" s="4"/>
    </row>
    <row r="7765" spans="3:3" x14ac:dyDescent="0.25">
      <c r="C7765" s="4"/>
    </row>
    <row r="7766" spans="3:3" x14ac:dyDescent="0.25">
      <c r="C7766" s="4"/>
    </row>
    <row r="7767" spans="3:3" x14ac:dyDescent="0.25">
      <c r="C7767" s="4"/>
    </row>
    <row r="7768" spans="3:3" x14ac:dyDescent="0.25">
      <c r="C7768" s="4"/>
    </row>
    <row r="7769" spans="3:3" x14ac:dyDescent="0.25">
      <c r="C7769" s="4"/>
    </row>
    <row r="7770" spans="3:3" x14ac:dyDescent="0.25">
      <c r="C7770" s="4"/>
    </row>
    <row r="7771" spans="3:3" x14ac:dyDescent="0.25">
      <c r="C7771" s="4"/>
    </row>
    <row r="7772" spans="3:3" x14ac:dyDescent="0.25">
      <c r="C7772" s="4"/>
    </row>
    <row r="7773" spans="3:3" x14ac:dyDescent="0.25">
      <c r="C7773" s="4"/>
    </row>
    <row r="7774" spans="3:3" x14ac:dyDescent="0.25">
      <c r="C7774" s="4"/>
    </row>
    <row r="7775" spans="3:3" x14ac:dyDescent="0.25">
      <c r="C7775" s="4"/>
    </row>
    <row r="7776" spans="3:3" x14ac:dyDescent="0.25">
      <c r="C7776" s="4"/>
    </row>
    <row r="7777" spans="3:3" x14ac:dyDescent="0.25">
      <c r="C7777" s="4"/>
    </row>
    <row r="7778" spans="3:3" x14ac:dyDescent="0.25">
      <c r="C7778" s="4"/>
    </row>
    <row r="7779" spans="3:3" x14ac:dyDescent="0.25">
      <c r="C7779" s="4"/>
    </row>
    <row r="7780" spans="3:3" x14ac:dyDescent="0.25">
      <c r="C7780" s="4"/>
    </row>
    <row r="7781" spans="3:3" x14ac:dyDescent="0.25">
      <c r="C7781" s="4"/>
    </row>
    <row r="7782" spans="3:3" x14ac:dyDescent="0.25">
      <c r="C7782" s="4"/>
    </row>
    <row r="7783" spans="3:3" x14ac:dyDescent="0.25">
      <c r="C7783" s="4"/>
    </row>
    <row r="7784" spans="3:3" x14ac:dyDescent="0.25">
      <c r="C7784" s="4"/>
    </row>
    <row r="7785" spans="3:3" x14ac:dyDescent="0.25">
      <c r="C7785" s="4"/>
    </row>
    <row r="7786" spans="3:3" x14ac:dyDescent="0.25">
      <c r="C7786" s="4"/>
    </row>
    <row r="7787" spans="3:3" x14ac:dyDescent="0.25">
      <c r="C7787" s="4"/>
    </row>
    <row r="7788" spans="3:3" x14ac:dyDescent="0.25">
      <c r="C7788" s="4"/>
    </row>
    <row r="7789" spans="3:3" x14ac:dyDescent="0.25">
      <c r="C7789" s="4"/>
    </row>
    <row r="7790" spans="3:3" x14ac:dyDescent="0.25">
      <c r="C7790" s="4"/>
    </row>
    <row r="7791" spans="3:3" x14ac:dyDescent="0.25">
      <c r="C7791" s="4"/>
    </row>
    <row r="7792" spans="3:3" x14ac:dyDescent="0.25">
      <c r="C7792" s="4"/>
    </row>
    <row r="7793" spans="3:3" x14ac:dyDescent="0.25">
      <c r="C7793" s="4"/>
    </row>
    <row r="7794" spans="3:3" x14ac:dyDescent="0.25">
      <c r="C7794" s="4"/>
    </row>
    <row r="7795" spans="3:3" x14ac:dyDescent="0.25">
      <c r="C7795" s="4"/>
    </row>
    <row r="7796" spans="3:3" x14ac:dyDescent="0.25">
      <c r="C7796" s="4"/>
    </row>
    <row r="7797" spans="3:3" x14ac:dyDescent="0.25">
      <c r="C7797" s="4"/>
    </row>
    <row r="7798" spans="3:3" x14ac:dyDescent="0.25">
      <c r="C7798" s="4"/>
    </row>
    <row r="7799" spans="3:3" x14ac:dyDescent="0.25">
      <c r="C7799" s="4"/>
    </row>
    <row r="7800" spans="3:3" x14ac:dyDescent="0.25">
      <c r="C7800" s="4"/>
    </row>
    <row r="7801" spans="3:3" x14ac:dyDescent="0.25">
      <c r="C7801" s="4"/>
    </row>
    <row r="7802" spans="3:3" x14ac:dyDescent="0.25">
      <c r="C7802" s="4"/>
    </row>
    <row r="7803" spans="3:3" x14ac:dyDescent="0.25">
      <c r="C7803" s="4"/>
    </row>
    <row r="7804" spans="3:3" x14ac:dyDescent="0.25">
      <c r="C7804" s="4"/>
    </row>
    <row r="7805" spans="3:3" x14ac:dyDescent="0.25">
      <c r="C7805" s="4"/>
    </row>
    <row r="7806" spans="3:3" x14ac:dyDescent="0.25">
      <c r="C7806" s="4"/>
    </row>
    <row r="7807" spans="3:3" x14ac:dyDescent="0.25">
      <c r="C7807" s="4"/>
    </row>
    <row r="7808" spans="3:3" x14ac:dyDescent="0.25">
      <c r="C7808" s="4"/>
    </row>
    <row r="7809" spans="3:3" x14ac:dyDescent="0.25">
      <c r="C7809" s="4"/>
    </row>
    <row r="7810" spans="3:3" x14ac:dyDescent="0.25">
      <c r="C7810" s="4"/>
    </row>
    <row r="7811" spans="3:3" x14ac:dyDescent="0.25">
      <c r="C7811" s="4"/>
    </row>
    <row r="7812" spans="3:3" x14ac:dyDescent="0.25">
      <c r="C7812" s="4"/>
    </row>
    <row r="7813" spans="3:3" x14ac:dyDescent="0.25">
      <c r="C7813" s="4"/>
    </row>
    <row r="7814" spans="3:3" x14ac:dyDescent="0.25">
      <c r="C7814" s="4"/>
    </row>
    <row r="7815" spans="3:3" x14ac:dyDescent="0.25">
      <c r="C7815" s="4"/>
    </row>
    <row r="7816" spans="3:3" x14ac:dyDescent="0.25">
      <c r="C7816" s="4"/>
    </row>
    <row r="7817" spans="3:3" x14ac:dyDescent="0.25">
      <c r="C7817" s="4"/>
    </row>
    <row r="7818" spans="3:3" x14ac:dyDescent="0.25">
      <c r="C7818" s="4"/>
    </row>
    <row r="7819" spans="3:3" x14ac:dyDescent="0.25">
      <c r="C7819" s="4"/>
    </row>
    <row r="7820" spans="3:3" x14ac:dyDescent="0.25">
      <c r="C7820" s="4"/>
    </row>
    <row r="7821" spans="3:3" x14ac:dyDescent="0.25">
      <c r="C7821" s="4"/>
    </row>
    <row r="7822" spans="3:3" x14ac:dyDescent="0.25">
      <c r="C7822" s="4"/>
    </row>
    <row r="7823" spans="3:3" x14ac:dyDescent="0.25">
      <c r="C7823" s="4"/>
    </row>
    <row r="7824" spans="3:3" x14ac:dyDescent="0.25">
      <c r="C7824" s="4"/>
    </row>
    <row r="7825" spans="3:3" x14ac:dyDescent="0.25">
      <c r="C7825" s="4"/>
    </row>
    <row r="7826" spans="3:3" x14ac:dyDescent="0.25">
      <c r="C7826" s="4"/>
    </row>
    <row r="7827" spans="3:3" x14ac:dyDescent="0.25">
      <c r="C7827" s="4"/>
    </row>
    <row r="7828" spans="3:3" x14ac:dyDescent="0.25">
      <c r="C7828" s="4"/>
    </row>
    <row r="7829" spans="3:3" x14ac:dyDescent="0.25">
      <c r="C7829" s="4"/>
    </row>
    <row r="7830" spans="3:3" x14ac:dyDescent="0.25">
      <c r="C7830" s="4"/>
    </row>
    <row r="7831" spans="3:3" x14ac:dyDescent="0.25">
      <c r="C7831" s="4"/>
    </row>
    <row r="7832" spans="3:3" x14ac:dyDescent="0.25">
      <c r="C7832" s="4"/>
    </row>
    <row r="7833" spans="3:3" x14ac:dyDescent="0.25">
      <c r="C7833" s="4"/>
    </row>
    <row r="7834" spans="3:3" x14ac:dyDescent="0.25">
      <c r="C7834" s="4"/>
    </row>
    <row r="7835" spans="3:3" x14ac:dyDescent="0.25">
      <c r="C7835" s="4"/>
    </row>
    <row r="7836" spans="3:3" x14ac:dyDescent="0.25">
      <c r="C7836" s="4"/>
    </row>
    <row r="7837" spans="3:3" x14ac:dyDescent="0.25">
      <c r="C7837" s="4"/>
    </row>
    <row r="7838" spans="3:3" x14ac:dyDescent="0.25">
      <c r="C7838" s="4"/>
    </row>
    <row r="7839" spans="3:3" x14ac:dyDescent="0.25">
      <c r="C7839" s="4"/>
    </row>
    <row r="7840" spans="3:3" x14ac:dyDescent="0.25">
      <c r="C7840" s="4"/>
    </row>
    <row r="7841" spans="3:3" x14ac:dyDescent="0.25">
      <c r="C7841" s="4"/>
    </row>
    <row r="7842" spans="3:3" x14ac:dyDescent="0.25">
      <c r="C7842" s="4"/>
    </row>
    <row r="7843" spans="3:3" x14ac:dyDescent="0.25">
      <c r="C7843" s="4"/>
    </row>
    <row r="7844" spans="3:3" x14ac:dyDescent="0.25">
      <c r="C7844" s="4"/>
    </row>
    <row r="7845" spans="3:3" x14ac:dyDescent="0.25">
      <c r="C7845" s="4"/>
    </row>
    <row r="7846" spans="3:3" x14ac:dyDescent="0.25">
      <c r="C7846" s="4"/>
    </row>
    <row r="7847" spans="3:3" x14ac:dyDescent="0.25">
      <c r="C7847" s="4"/>
    </row>
    <row r="7848" spans="3:3" x14ac:dyDescent="0.25">
      <c r="C7848" s="4"/>
    </row>
    <row r="7849" spans="3:3" x14ac:dyDescent="0.25">
      <c r="C7849" s="4"/>
    </row>
    <row r="7850" spans="3:3" x14ac:dyDescent="0.25">
      <c r="C7850" s="4"/>
    </row>
    <row r="7851" spans="3:3" x14ac:dyDescent="0.25">
      <c r="C7851" s="4"/>
    </row>
    <row r="7852" spans="3:3" x14ac:dyDescent="0.25">
      <c r="C7852" s="4"/>
    </row>
    <row r="7853" spans="3:3" x14ac:dyDescent="0.25">
      <c r="C7853" s="4"/>
    </row>
    <row r="7854" spans="3:3" x14ac:dyDescent="0.25">
      <c r="C7854" s="4"/>
    </row>
    <row r="7855" spans="3:3" x14ac:dyDescent="0.25">
      <c r="C7855" s="4"/>
    </row>
    <row r="7856" spans="3:3" x14ac:dyDescent="0.25">
      <c r="C7856" s="4"/>
    </row>
    <row r="7857" spans="3:3" x14ac:dyDescent="0.25">
      <c r="C7857" s="4"/>
    </row>
    <row r="7858" spans="3:3" x14ac:dyDescent="0.25">
      <c r="C7858" s="4"/>
    </row>
    <row r="7859" spans="3:3" x14ac:dyDescent="0.25">
      <c r="C7859" s="4"/>
    </row>
    <row r="7860" spans="3:3" x14ac:dyDescent="0.25">
      <c r="C7860" s="4"/>
    </row>
    <row r="7861" spans="3:3" x14ac:dyDescent="0.25">
      <c r="C7861" s="4"/>
    </row>
    <row r="7862" spans="3:3" x14ac:dyDescent="0.25">
      <c r="C7862" s="4"/>
    </row>
    <row r="7863" spans="3:3" x14ac:dyDescent="0.25">
      <c r="C7863" s="4"/>
    </row>
    <row r="7864" spans="3:3" x14ac:dyDescent="0.25">
      <c r="C7864" s="4"/>
    </row>
    <row r="7865" spans="3:3" x14ac:dyDescent="0.25">
      <c r="C7865" s="4"/>
    </row>
    <row r="7866" spans="3:3" x14ac:dyDescent="0.25">
      <c r="C7866" s="4"/>
    </row>
    <row r="7867" spans="3:3" x14ac:dyDescent="0.25">
      <c r="C7867" s="4"/>
    </row>
    <row r="7868" spans="3:3" x14ac:dyDescent="0.25">
      <c r="C7868" s="4"/>
    </row>
    <row r="7869" spans="3:3" x14ac:dyDescent="0.25">
      <c r="C7869" s="4"/>
    </row>
    <row r="7870" spans="3:3" x14ac:dyDescent="0.25">
      <c r="C7870" s="4"/>
    </row>
    <row r="7871" spans="3:3" x14ac:dyDescent="0.25">
      <c r="C7871" s="4"/>
    </row>
    <row r="7872" spans="3:3" x14ac:dyDescent="0.25">
      <c r="C7872" s="4"/>
    </row>
    <row r="7873" spans="3:3" x14ac:dyDescent="0.25">
      <c r="C7873" s="4"/>
    </row>
    <row r="7874" spans="3:3" x14ac:dyDescent="0.25">
      <c r="C7874" s="4"/>
    </row>
    <row r="7875" spans="3:3" x14ac:dyDescent="0.25">
      <c r="C7875" s="4"/>
    </row>
    <row r="7876" spans="3:3" x14ac:dyDescent="0.25">
      <c r="C7876" s="4"/>
    </row>
    <row r="7877" spans="3:3" x14ac:dyDescent="0.25">
      <c r="C7877" s="4"/>
    </row>
    <row r="7878" spans="3:3" x14ac:dyDescent="0.25">
      <c r="C7878" s="4"/>
    </row>
    <row r="7879" spans="3:3" x14ac:dyDescent="0.25">
      <c r="C7879" s="4"/>
    </row>
    <row r="7880" spans="3:3" x14ac:dyDescent="0.25">
      <c r="C7880" s="4"/>
    </row>
    <row r="7881" spans="3:3" x14ac:dyDescent="0.25">
      <c r="C7881" s="4"/>
    </row>
    <row r="7882" spans="3:3" x14ac:dyDescent="0.25">
      <c r="C7882" s="4"/>
    </row>
    <row r="7883" spans="3:3" x14ac:dyDescent="0.25">
      <c r="C7883" s="4"/>
    </row>
    <row r="7884" spans="3:3" x14ac:dyDescent="0.25">
      <c r="C7884" s="4"/>
    </row>
    <row r="7885" spans="3:3" x14ac:dyDescent="0.25">
      <c r="C7885" s="4"/>
    </row>
    <row r="7886" spans="3:3" x14ac:dyDescent="0.25">
      <c r="C7886" s="4"/>
    </row>
    <row r="7887" spans="3:3" x14ac:dyDescent="0.25">
      <c r="C7887" s="4"/>
    </row>
    <row r="7888" spans="3:3" x14ac:dyDescent="0.25">
      <c r="C7888" s="4"/>
    </row>
    <row r="7889" spans="3:3" x14ac:dyDescent="0.25">
      <c r="C7889" s="4"/>
    </row>
    <row r="7890" spans="3:3" x14ac:dyDescent="0.25">
      <c r="C7890" s="4"/>
    </row>
    <row r="7891" spans="3:3" x14ac:dyDescent="0.25">
      <c r="C7891" s="4"/>
    </row>
    <row r="7892" spans="3:3" x14ac:dyDescent="0.25">
      <c r="C7892" s="4"/>
    </row>
    <row r="7893" spans="3:3" x14ac:dyDescent="0.25">
      <c r="C7893" s="4"/>
    </row>
    <row r="7894" spans="3:3" x14ac:dyDescent="0.25">
      <c r="C7894" s="4"/>
    </row>
    <row r="7895" spans="3:3" x14ac:dyDescent="0.25">
      <c r="C7895" s="4"/>
    </row>
    <row r="7896" spans="3:3" x14ac:dyDescent="0.25">
      <c r="C7896" s="4"/>
    </row>
    <row r="7897" spans="3:3" x14ac:dyDescent="0.25">
      <c r="C7897" s="4"/>
    </row>
    <row r="7898" spans="3:3" x14ac:dyDescent="0.25">
      <c r="C7898" s="4"/>
    </row>
    <row r="7899" spans="3:3" x14ac:dyDescent="0.25">
      <c r="C7899" s="4"/>
    </row>
    <row r="7900" spans="3:3" x14ac:dyDescent="0.25">
      <c r="C7900" s="4"/>
    </row>
    <row r="7901" spans="3:3" x14ac:dyDescent="0.25">
      <c r="C7901" s="4"/>
    </row>
    <row r="7902" spans="3:3" x14ac:dyDescent="0.25">
      <c r="C7902" s="4"/>
    </row>
    <row r="7903" spans="3:3" x14ac:dyDescent="0.25">
      <c r="C7903" s="4"/>
    </row>
    <row r="7904" spans="3:3" x14ac:dyDescent="0.25">
      <c r="C7904" s="4"/>
    </row>
    <row r="7905" spans="3:3" x14ac:dyDescent="0.25">
      <c r="C7905" s="4"/>
    </row>
    <row r="7906" spans="3:3" x14ac:dyDescent="0.25">
      <c r="C7906" s="4"/>
    </row>
    <row r="7907" spans="3:3" x14ac:dyDescent="0.25">
      <c r="C7907" s="4"/>
    </row>
    <row r="7908" spans="3:3" x14ac:dyDescent="0.25">
      <c r="C7908" s="4"/>
    </row>
    <row r="7909" spans="3:3" x14ac:dyDescent="0.25">
      <c r="C7909" s="4"/>
    </row>
    <row r="7910" spans="3:3" x14ac:dyDescent="0.25">
      <c r="C7910" s="4"/>
    </row>
    <row r="7911" spans="3:3" x14ac:dyDescent="0.25">
      <c r="C7911" s="4"/>
    </row>
    <row r="7912" spans="3:3" x14ac:dyDescent="0.25">
      <c r="C7912" s="4"/>
    </row>
    <row r="7913" spans="3:3" x14ac:dyDescent="0.25">
      <c r="C7913" s="4"/>
    </row>
    <row r="7914" spans="3:3" x14ac:dyDescent="0.25">
      <c r="C7914" s="4"/>
    </row>
    <row r="7915" spans="3:3" x14ac:dyDescent="0.25">
      <c r="C7915" s="4"/>
    </row>
    <row r="7916" spans="3:3" x14ac:dyDescent="0.25">
      <c r="C7916" s="4"/>
    </row>
    <row r="7917" spans="3:3" x14ac:dyDescent="0.25">
      <c r="C7917" s="4"/>
    </row>
    <row r="7918" spans="3:3" x14ac:dyDescent="0.25">
      <c r="C7918" s="4"/>
    </row>
    <row r="7919" spans="3:3" x14ac:dyDescent="0.25">
      <c r="C7919" s="4"/>
    </row>
    <row r="7920" spans="3:3" x14ac:dyDescent="0.25">
      <c r="C7920" s="4"/>
    </row>
    <row r="7921" spans="3:3" x14ac:dyDescent="0.25">
      <c r="C7921" s="4"/>
    </row>
    <row r="7922" spans="3:3" x14ac:dyDescent="0.25">
      <c r="C7922" s="4"/>
    </row>
    <row r="7923" spans="3:3" x14ac:dyDescent="0.25">
      <c r="C7923" s="4"/>
    </row>
    <row r="7924" spans="3:3" x14ac:dyDescent="0.25">
      <c r="C7924" s="4"/>
    </row>
    <row r="7925" spans="3:3" x14ac:dyDescent="0.25">
      <c r="C7925" s="4"/>
    </row>
    <row r="7926" spans="3:3" x14ac:dyDescent="0.25">
      <c r="C7926" s="4"/>
    </row>
    <row r="7927" spans="3:3" x14ac:dyDescent="0.25">
      <c r="C7927" s="4"/>
    </row>
    <row r="7928" spans="3:3" x14ac:dyDescent="0.25">
      <c r="C7928" s="4"/>
    </row>
    <row r="7929" spans="3:3" x14ac:dyDescent="0.25">
      <c r="C7929" s="4"/>
    </row>
    <row r="7930" spans="3:3" x14ac:dyDescent="0.25">
      <c r="C7930" s="4"/>
    </row>
    <row r="7931" spans="3:3" x14ac:dyDescent="0.25">
      <c r="C7931" s="4"/>
    </row>
    <row r="7932" spans="3:3" x14ac:dyDescent="0.25">
      <c r="C7932" s="4"/>
    </row>
    <row r="7933" spans="3:3" x14ac:dyDescent="0.25">
      <c r="C7933" s="4"/>
    </row>
    <row r="7934" spans="3:3" x14ac:dyDescent="0.25">
      <c r="C7934" s="4"/>
    </row>
    <row r="7935" spans="3:3" x14ac:dyDescent="0.25">
      <c r="C7935" s="4"/>
    </row>
    <row r="7936" spans="3:3" x14ac:dyDescent="0.25">
      <c r="C7936" s="4"/>
    </row>
    <row r="7937" spans="3:3" x14ac:dyDescent="0.25">
      <c r="C7937" s="4"/>
    </row>
    <row r="7938" spans="3:3" x14ac:dyDescent="0.25">
      <c r="C7938" s="4"/>
    </row>
    <row r="7939" spans="3:3" x14ac:dyDescent="0.25">
      <c r="C7939" s="4"/>
    </row>
    <row r="7940" spans="3:3" x14ac:dyDescent="0.25">
      <c r="C7940" s="4"/>
    </row>
    <row r="7941" spans="3:3" x14ac:dyDescent="0.25">
      <c r="C7941" s="4"/>
    </row>
    <row r="7942" spans="3:3" x14ac:dyDescent="0.25">
      <c r="C7942" s="4"/>
    </row>
    <row r="7943" spans="3:3" x14ac:dyDescent="0.25">
      <c r="C7943" s="4"/>
    </row>
    <row r="7944" spans="3:3" x14ac:dyDescent="0.25">
      <c r="C7944" s="4"/>
    </row>
    <row r="7945" spans="3:3" x14ac:dyDescent="0.25">
      <c r="C7945" s="4"/>
    </row>
    <row r="7946" spans="3:3" x14ac:dyDescent="0.25">
      <c r="C7946" s="4"/>
    </row>
    <row r="7947" spans="3:3" x14ac:dyDescent="0.25">
      <c r="C7947" s="4"/>
    </row>
    <row r="7948" spans="3:3" x14ac:dyDescent="0.25">
      <c r="C7948" s="4"/>
    </row>
    <row r="7949" spans="3:3" x14ac:dyDescent="0.25">
      <c r="C7949" s="4"/>
    </row>
    <row r="7950" spans="3:3" x14ac:dyDescent="0.25">
      <c r="C7950" s="4"/>
    </row>
    <row r="7951" spans="3:3" x14ac:dyDescent="0.25">
      <c r="C7951" s="4"/>
    </row>
    <row r="7952" spans="3:3" x14ac:dyDescent="0.25">
      <c r="C7952" s="4"/>
    </row>
    <row r="7953" spans="3:3" x14ac:dyDescent="0.25">
      <c r="C7953" s="4"/>
    </row>
    <row r="7954" spans="3:3" x14ac:dyDescent="0.25">
      <c r="C7954" s="4"/>
    </row>
    <row r="7955" spans="3:3" x14ac:dyDescent="0.25">
      <c r="C7955" s="4"/>
    </row>
    <row r="7956" spans="3:3" x14ac:dyDescent="0.25">
      <c r="C7956" s="4"/>
    </row>
    <row r="7957" spans="3:3" x14ac:dyDescent="0.25">
      <c r="C7957" s="4"/>
    </row>
    <row r="7958" spans="3:3" x14ac:dyDescent="0.25">
      <c r="C7958" s="4"/>
    </row>
    <row r="7959" spans="3:3" x14ac:dyDescent="0.25">
      <c r="C7959" s="4"/>
    </row>
    <row r="7960" spans="3:3" x14ac:dyDescent="0.25">
      <c r="C7960" s="4"/>
    </row>
    <row r="7961" spans="3:3" x14ac:dyDescent="0.25">
      <c r="C7961" s="4"/>
    </row>
    <row r="7962" spans="3:3" x14ac:dyDescent="0.25">
      <c r="C7962" s="4"/>
    </row>
    <row r="7963" spans="3:3" x14ac:dyDescent="0.25">
      <c r="C7963" s="4"/>
    </row>
    <row r="7964" spans="3:3" x14ac:dyDescent="0.25">
      <c r="C7964" s="4"/>
    </row>
    <row r="7965" spans="3:3" x14ac:dyDescent="0.25">
      <c r="C7965" s="4"/>
    </row>
    <row r="7966" spans="3:3" x14ac:dyDescent="0.25">
      <c r="C7966" s="4"/>
    </row>
    <row r="7967" spans="3:3" x14ac:dyDescent="0.25">
      <c r="C7967" s="4"/>
    </row>
    <row r="7968" spans="3:3" x14ac:dyDescent="0.25">
      <c r="C7968" s="4"/>
    </row>
    <row r="7969" spans="3:3" x14ac:dyDescent="0.25">
      <c r="C7969" s="4"/>
    </row>
    <row r="7970" spans="3:3" x14ac:dyDescent="0.25">
      <c r="C7970" s="4"/>
    </row>
    <row r="7971" spans="3:3" x14ac:dyDescent="0.25">
      <c r="C7971" s="4"/>
    </row>
    <row r="7972" spans="3:3" x14ac:dyDescent="0.25">
      <c r="C7972" s="4"/>
    </row>
    <row r="7973" spans="3:3" x14ac:dyDescent="0.25">
      <c r="C7973" s="4"/>
    </row>
    <row r="7974" spans="3:3" x14ac:dyDescent="0.25">
      <c r="C7974" s="4"/>
    </row>
    <row r="7975" spans="3:3" x14ac:dyDescent="0.25">
      <c r="C7975" s="4"/>
    </row>
    <row r="7976" spans="3:3" x14ac:dyDescent="0.25">
      <c r="C7976" s="4"/>
    </row>
    <row r="7977" spans="3:3" x14ac:dyDescent="0.25">
      <c r="C7977" s="4"/>
    </row>
    <row r="7978" spans="3:3" x14ac:dyDescent="0.25">
      <c r="C7978" s="4"/>
    </row>
    <row r="7979" spans="3:3" x14ac:dyDescent="0.25">
      <c r="C7979" s="4"/>
    </row>
    <row r="7980" spans="3:3" x14ac:dyDescent="0.25">
      <c r="C7980" s="4"/>
    </row>
    <row r="7981" spans="3:3" x14ac:dyDescent="0.25">
      <c r="C7981" s="4"/>
    </row>
    <row r="7982" spans="3:3" x14ac:dyDescent="0.25">
      <c r="C7982" s="4"/>
    </row>
    <row r="7983" spans="3:3" x14ac:dyDescent="0.25">
      <c r="C7983" s="4"/>
    </row>
    <row r="7984" spans="3:3" x14ac:dyDescent="0.25">
      <c r="C7984" s="4"/>
    </row>
    <row r="7985" spans="3:3" x14ac:dyDescent="0.25">
      <c r="C7985" s="4"/>
    </row>
    <row r="7986" spans="3:3" x14ac:dyDescent="0.25">
      <c r="C7986" s="4"/>
    </row>
    <row r="7987" spans="3:3" x14ac:dyDescent="0.25">
      <c r="C7987" s="4"/>
    </row>
    <row r="7988" spans="3:3" x14ac:dyDescent="0.25">
      <c r="C7988" s="4"/>
    </row>
    <row r="7989" spans="3:3" x14ac:dyDescent="0.25">
      <c r="C7989" s="4"/>
    </row>
    <row r="7990" spans="3:3" x14ac:dyDescent="0.25">
      <c r="C7990" s="4"/>
    </row>
    <row r="7991" spans="3:3" x14ac:dyDescent="0.25">
      <c r="C7991" s="4"/>
    </row>
    <row r="7992" spans="3:3" x14ac:dyDescent="0.25">
      <c r="C7992" s="4"/>
    </row>
    <row r="7993" spans="3:3" x14ac:dyDescent="0.25">
      <c r="C7993" s="4"/>
    </row>
    <row r="7994" spans="3:3" x14ac:dyDescent="0.25">
      <c r="C7994" s="4"/>
    </row>
    <row r="7995" spans="3:3" x14ac:dyDescent="0.25">
      <c r="C7995" s="4"/>
    </row>
    <row r="7996" spans="3:3" x14ac:dyDescent="0.25">
      <c r="C7996" s="4"/>
    </row>
    <row r="7997" spans="3:3" x14ac:dyDescent="0.25">
      <c r="C7997" s="4"/>
    </row>
    <row r="7998" spans="3:3" x14ac:dyDescent="0.25">
      <c r="C7998" s="4"/>
    </row>
    <row r="7999" spans="3:3" x14ac:dyDescent="0.25">
      <c r="C7999" s="4"/>
    </row>
    <row r="8000" spans="3:3" x14ac:dyDescent="0.25">
      <c r="C8000" s="4"/>
    </row>
    <row r="8001" spans="3:3" x14ac:dyDescent="0.25">
      <c r="C8001" s="4"/>
    </row>
    <row r="8002" spans="3:3" x14ac:dyDescent="0.25">
      <c r="C8002" s="4"/>
    </row>
    <row r="8003" spans="3:3" x14ac:dyDescent="0.25">
      <c r="C8003" s="4"/>
    </row>
    <row r="8004" spans="3:3" x14ac:dyDescent="0.25">
      <c r="C8004" s="4"/>
    </row>
    <row r="8005" spans="3:3" x14ac:dyDescent="0.25">
      <c r="C8005" s="4"/>
    </row>
    <row r="8006" spans="3:3" x14ac:dyDescent="0.25">
      <c r="C8006" s="4"/>
    </row>
    <row r="8007" spans="3:3" x14ac:dyDescent="0.25">
      <c r="C8007" s="4"/>
    </row>
    <row r="8008" spans="3:3" x14ac:dyDescent="0.25">
      <c r="C8008" s="4"/>
    </row>
    <row r="8009" spans="3:3" x14ac:dyDescent="0.25">
      <c r="C8009" s="4"/>
    </row>
    <row r="8010" spans="3:3" x14ac:dyDescent="0.25">
      <c r="C8010" s="4"/>
    </row>
    <row r="8011" spans="3:3" x14ac:dyDescent="0.25">
      <c r="C8011" s="4"/>
    </row>
    <row r="8012" spans="3:3" x14ac:dyDescent="0.25">
      <c r="C8012" s="4"/>
    </row>
    <row r="8013" spans="3:3" x14ac:dyDescent="0.25">
      <c r="C8013" s="4"/>
    </row>
    <row r="8014" spans="3:3" x14ac:dyDescent="0.25">
      <c r="C8014" s="4"/>
    </row>
    <row r="8015" spans="3:3" x14ac:dyDescent="0.25">
      <c r="C8015" s="4"/>
    </row>
    <row r="8016" spans="3:3" x14ac:dyDescent="0.25">
      <c r="C8016" s="4"/>
    </row>
    <row r="8017" spans="3:3" x14ac:dyDescent="0.25">
      <c r="C8017" s="4"/>
    </row>
    <row r="8018" spans="3:3" x14ac:dyDescent="0.25">
      <c r="C8018" s="4"/>
    </row>
    <row r="8019" spans="3:3" x14ac:dyDescent="0.25">
      <c r="C8019" s="4"/>
    </row>
    <row r="8020" spans="3:3" x14ac:dyDescent="0.25">
      <c r="C8020" s="4"/>
    </row>
    <row r="8021" spans="3:3" x14ac:dyDescent="0.25">
      <c r="C8021" s="4"/>
    </row>
    <row r="8022" spans="3:3" x14ac:dyDescent="0.25">
      <c r="C8022" s="4"/>
    </row>
    <row r="8023" spans="3:3" x14ac:dyDescent="0.25">
      <c r="C8023" s="4"/>
    </row>
    <row r="8024" spans="3:3" x14ac:dyDescent="0.25">
      <c r="C8024" s="4"/>
    </row>
    <row r="8025" spans="3:3" x14ac:dyDescent="0.25">
      <c r="C8025" s="4"/>
    </row>
    <row r="8026" spans="3:3" x14ac:dyDescent="0.25">
      <c r="C8026" s="4"/>
    </row>
    <row r="8027" spans="3:3" x14ac:dyDescent="0.25">
      <c r="C8027" s="4"/>
    </row>
    <row r="8028" spans="3:3" x14ac:dyDescent="0.25">
      <c r="C8028" s="4"/>
    </row>
    <row r="8029" spans="3:3" x14ac:dyDescent="0.25">
      <c r="C8029" s="4"/>
    </row>
    <row r="8030" spans="3:3" x14ac:dyDescent="0.25">
      <c r="C8030" s="4"/>
    </row>
    <row r="8031" spans="3:3" x14ac:dyDescent="0.25">
      <c r="C8031" s="4"/>
    </row>
    <row r="8032" spans="3:3" x14ac:dyDescent="0.25">
      <c r="C8032" s="4"/>
    </row>
    <row r="8033" spans="3:3" x14ac:dyDescent="0.25">
      <c r="C8033" s="4"/>
    </row>
    <row r="8034" spans="3:3" x14ac:dyDescent="0.25">
      <c r="C8034" s="4"/>
    </row>
    <row r="8035" spans="3:3" x14ac:dyDescent="0.25">
      <c r="C8035" s="4"/>
    </row>
    <row r="8036" spans="3:3" x14ac:dyDescent="0.25">
      <c r="C8036" s="4"/>
    </row>
    <row r="8037" spans="3:3" x14ac:dyDescent="0.25">
      <c r="C8037" s="4"/>
    </row>
    <row r="8038" spans="3:3" x14ac:dyDescent="0.25">
      <c r="C8038" s="4"/>
    </row>
    <row r="8039" spans="3:3" x14ac:dyDescent="0.25">
      <c r="C8039" s="4"/>
    </row>
    <row r="8040" spans="3:3" x14ac:dyDescent="0.25">
      <c r="C8040" s="4"/>
    </row>
    <row r="8041" spans="3:3" x14ac:dyDescent="0.25">
      <c r="C8041" s="4"/>
    </row>
    <row r="8042" spans="3:3" x14ac:dyDescent="0.25">
      <c r="C8042" s="4"/>
    </row>
    <row r="8043" spans="3:3" x14ac:dyDescent="0.25">
      <c r="C8043" s="4"/>
    </row>
    <row r="8044" spans="3:3" x14ac:dyDescent="0.25">
      <c r="C8044" s="4"/>
    </row>
    <row r="8045" spans="3:3" x14ac:dyDescent="0.25">
      <c r="C8045" s="4"/>
    </row>
    <row r="8046" spans="3:3" x14ac:dyDescent="0.25">
      <c r="C8046" s="4"/>
    </row>
    <row r="8047" spans="3:3" x14ac:dyDescent="0.25">
      <c r="C8047" s="4"/>
    </row>
    <row r="8048" spans="3:3" x14ac:dyDescent="0.25">
      <c r="C8048" s="4"/>
    </row>
    <row r="8049" spans="3:3" x14ac:dyDescent="0.25">
      <c r="C8049" s="4"/>
    </row>
    <row r="8050" spans="3:3" x14ac:dyDescent="0.25">
      <c r="C8050" s="4"/>
    </row>
    <row r="8051" spans="3:3" x14ac:dyDescent="0.25">
      <c r="C8051" s="4"/>
    </row>
    <row r="8052" spans="3:3" x14ac:dyDescent="0.25">
      <c r="C8052" s="4"/>
    </row>
    <row r="8053" spans="3:3" x14ac:dyDescent="0.25">
      <c r="C8053" s="4"/>
    </row>
    <row r="8054" spans="3:3" x14ac:dyDescent="0.25">
      <c r="C8054" s="4"/>
    </row>
    <row r="8055" spans="3:3" x14ac:dyDescent="0.25">
      <c r="C8055" s="4"/>
    </row>
    <row r="8056" spans="3:3" x14ac:dyDescent="0.25">
      <c r="C8056" s="4"/>
    </row>
    <row r="8057" spans="3:3" x14ac:dyDescent="0.25">
      <c r="C8057" s="4"/>
    </row>
    <row r="8058" spans="3:3" x14ac:dyDescent="0.25">
      <c r="C8058" s="4"/>
    </row>
    <row r="8059" spans="3:3" x14ac:dyDescent="0.25">
      <c r="C8059" s="4"/>
    </row>
    <row r="8060" spans="3:3" x14ac:dyDescent="0.25">
      <c r="C8060" s="4"/>
    </row>
    <row r="8061" spans="3:3" x14ac:dyDescent="0.25">
      <c r="C8061" s="4"/>
    </row>
    <row r="8062" spans="3:3" x14ac:dyDescent="0.25">
      <c r="C8062" s="4"/>
    </row>
    <row r="8063" spans="3:3" x14ac:dyDescent="0.25">
      <c r="C8063" s="4"/>
    </row>
    <row r="8064" spans="3:3" x14ac:dyDescent="0.25">
      <c r="C8064" s="4"/>
    </row>
    <row r="8065" spans="3:3" x14ac:dyDescent="0.25">
      <c r="C8065" s="4"/>
    </row>
    <row r="8066" spans="3:3" x14ac:dyDescent="0.25">
      <c r="C8066" s="4"/>
    </row>
    <row r="8067" spans="3:3" x14ac:dyDescent="0.25">
      <c r="C8067" s="4"/>
    </row>
    <row r="8068" spans="3:3" x14ac:dyDescent="0.25">
      <c r="C8068" s="4"/>
    </row>
    <row r="8069" spans="3:3" x14ac:dyDescent="0.25">
      <c r="C8069" s="4"/>
    </row>
    <row r="8070" spans="3:3" x14ac:dyDescent="0.25">
      <c r="C8070" s="4"/>
    </row>
    <row r="8071" spans="3:3" x14ac:dyDescent="0.25">
      <c r="C8071" s="4"/>
    </row>
    <row r="8072" spans="3:3" x14ac:dyDescent="0.25">
      <c r="C8072" s="4"/>
    </row>
    <row r="8073" spans="3:3" x14ac:dyDescent="0.25">
      <c r="C8073" s="4"/>
    </row>
    <row r="8074" spans="3:3" x14ac:dyDescent="0.25">
      <c r="C8074" s="4"/>
    </row>
    <row r="8075" spans="3:3" x14ac:dyDescent="0.25">
      <c r="C8075" s="4"/>
    </row>
    <row r="8076" spans="3:3" x14ac:dyDescent="0.25">
      <c r="C8076" s="4"/>
    </row>
    <row r="8077" spans="3:3" x14ac:dyDescent="0.25">
      <c r="C8077" s="4"/>
    </row>
    <row r="8078" spans="3:3" x14ac:dyDescent="0.25">
      <c r="C8078" s="4"/>
    </row>
    <row r="8079" spans="3:3" x14ac:dyDescent="0.25">
      <c r="C8079" s="4"/>
    </row>
    <row r="8080" spans="3:3" x14ac:dyDescent="0.25">
      <c r="C8080" s="4"/>
    </row>
    <row r="8081" spans="3:3" x14ac:dyDescent="0.25">
      <c r="C8081" s="4"/>
    </row>
    <row r="8082" spans="3:3" x14ac:dyDescent="0.25">
      <c r="C8082" s="4"/>
    </row>
    <row r="8083" spans="3:3" x14ac:dyDescent="0.25">
      <c r="C8083" s="4"/>
    </row>
    <row r="8084" spans="3:3" x14ac:dyDescent="0.25">
      <c r="C8084" s="4"/>
    </row>
    <row r="8085" spans="3:3" x14ac:dyDescent="0.25">
      <c r="C8085" s="4"/>
    </row>
    <row r="8086" spans="3:3" x14ac:dyDescent="0.25">
      <c r="C8086" s="4"/>
    </row>
    <row r="8087" spans="3:3" x14ac:dyDescent="0.25">
      <c r="C8087" s="4"/>
    </row>
    <row r="8088" spans="3:3" x14ac:dyDescent="0.25">
      <c r="C8088" s="4"/>
    </row>
    <row r="8089" spans="3:3" x14ac:dyDescent="0.25">
      <c r="C8089" s="4"/>
    </row>
    <row r="8090" spans="3:3" x14ac:dyDescent="0.25">
      <c r="C8090" s="4"/>
    </row>
    <row r="8091" spans="3:3" x14ac:dyDescent="0.25">
      <c r="C8091" s="4"/>
    </row>
    <row r="8092" spans="3:3" x14ac:dyDescent="0.25">
      <c r="C8092" s="4"/>
    </row>
    <row r="8093" spans="3:3" x14ac:dyDescent="0.25">
      <c r="C8093" s="4"/>
    </row>
    <row r="8094" spans="3:3" x14ac:dyDescent="0.25">
      <c r="C8094" s="4"/>
    </row>
    <row r="8095" spans="3:3" x14ac:dyDescent="0.25">
      <c r="C8095" s="4"/>
    </row>
    <row r="8096" spans="3:3" x14ac:dyDescent="0.25">
      <c r="C8096" s="4"/>
    </row>
    <row r="8097" spans="3:3" x14ac:dyDescent="0.25">
      <c r="C8097" s="4"/>
    </row>
    <row r="8098" spans="3:3" x14ac:dyDescent="0.25">
      <c r="C8098" s="4"/>
    </row>
    <row r="8099" spans="3:3" x14ac:dyDescent="0.25">
      <c r="C8099" s="4"/>
    </row>
    <row r="8100" spans="3:3" x14ac:dyDescent="0.25">
      <c r="C8100" s="4"/>
    </row>
    <row r="8101" spans="3:3" x14ac:dyDescent="0.25">
      <c r="C8101" s="4"/>
    </row>
    <row r="8102" spans="3:3" x14ac:dyDescent="0.25">
      <c r="C8102" s="4"/>
    </row>
    <row r="8103" spans="3:3" x14ac:dyDescent="0.25">
      <c r="C8103" s="4"/>
    </row>
    <row r="8104" spans="3:3" x14ac:dyDescent="0.25">
      <c r="C8104" s="4"/>
    </row>
    <row r="8105" spans="3:3" x14ac:dyDescent="0.25">
      <c r="C8105" s="4"/>
    </row>
    <row r="8106" spans="3:3" x14ac:dyDescent="0.25">
      <c r="C8106" s="4"/>
    </row>
    <row r="8107" spans="3:3" x14ac:dyDescent="0.25">
      <c r="C8107" s="4"/>
    </row>
    <row r="8108" spans="3:3" x14ac:dyDescent="0.25">
      <c r="C8108" s="4"/>
    </row>
    <row r="8109" spans="3:3" x14ac:dyDescent="0.25">
      <c r="C8109" s="4"/>
    </row>
    <row r="8110" spans="3:3" x14ac:dyDescent="0.25">
      <c r="C8110" s="4"/>
    </row>
    <row r="8111" spans="3:3" x14ac:dyDescent="0.25">
      <c r="C8111" s="4"/>
    </row>
    <row r="8112" spans="3:3" x14ac:dyDescent="0.25">
      <c r="C8112" s="4"/>
    </row>
    <row r="8113" spans="3:3" x14ac:dyDescent="0.25">
      <c r="C8113" s="4"/>
    </row>
    <row r="8114" spans="3:3" x14ac:dyDescent="0.25">
      <c r="C8114" s="4"/>
    </row>
    <row r="8115" spans="3:3" x14ac:dyDescent="0.25">
      <c r="C8115" s="4"/>
    </row>
    <row r="8116" spans="3:3" x14ac:dyDescent="0.25">
      <c r="C8116" s="4"/>
    </row>
    <row r="8117" spans="3:3" x14ac:dyDescent="0.25">
      <c r="C8117" s="4"/>
    </row>
    <row r="8118" spans="3:3" x14ac:dyDescent="0.25">
      <c r="C8118" s="4"/>
    </row>
    <row r="8119" spans="3:3" x14ac:dyDescent="0.25">
      <c r="C8119" s="4"/>
    </row>
    <row r="8120" spans="3:3" x14ac:dyDescent="0.25">
      <c r="C8120" s="4"/>
    </row>
    <row r="8121" spans="3:3" x14ac:dyDescent="0.25">
      <c r="C8121" s="4"/>
    </row>
    <row r="8122" spans="3:3" x14ac:dyDescent="0.25">
      <c r="C8122" s="4"/>
    </row>
    <row r="8123" spans="3:3" x14ac:dyDescent="0.25">
      <c r="C8123" s="4"/>
    </row>
    <row r="8124" spans="3:3" x14ac:dyDescent="0.25">
      <c r="C8124" s="4"/>
    </row>
    <row r="8125" spans="3:3" x14ac:dyDescent="0.25">
      <c r="C8125" s="4"/>
    </row>
    <row r="8126" spans="3:3" x14ac:dyDescent="0.25">
      <c r="C8126" s="4"/>
    </row>
    <row r="8127" spans="3:3" x14ac:dyDescent="0.25">
      <c r="C8127" s="4"/>
    </row>
    <row r="8128" spans="3:3" x14ac:dyDescent="0.25">
      <c r="C8128" s="4"/>
    </row>
    <row r="8129" spans="3:3" x14ac:dyDescent="0.25">
      <c r="C8129" s="4"/>
    </row>
    <row r="8130" spans="3:3" x14ac:dyDescent="0.25">
      <c r="C8130" s="4"/>
    </row>
    <row r="8131" spans="3:3" x14ac:dyDescent="0.25">
      <c r="C8131" s="4"/>
    </row>
    <row r="8132" spans="3:3" x14ac:dyDescent="0.25">
      <c r="C8132" s="4"/>
    </row>
    <row r="8133" spans="3:3" x14ac:dyDescent="0.25">
      <c r="C8133" s="4"/>
    </row>
    <row r="8134" spans="3:3" x14ac:dyDescent="0.25">
      <c r="C8134" s="4"/>
    </row>
    <row r="8135" spans="3:3" x14ac:dyDescent="0.25">
      <c r="C8135" s="4"/>
    </row>
    <row r="8136" spans="3:3" x14ac:dyDescent="0.25">
      <c r="C8136" s="4"/>
    </row>
    <row r="8137" spans="3:3" x14ac:dyDescent="0.25">
      <c r="C8137" s="4"/>
    </row>
    <row r="8138" spans="3:3" x14ac:dyDescent="0.25">
      <c r="C8138" s="4"/>
    </row>
    <row r="8139" spans="3:3" x14ac:dyDescent="0.25">
      <c r="C8139" s="4"/>
    </row>
    <row r="8140" spans="3:3" x14ac:dyDescent="0.25">
      <c r="C8140" s="4"/>
    </row>
    <row r="8141" spans="3:3" x14ac:dyDescent="0.25">
      <c r="C8141" s="4"/>
    </row>
    <row r="8142" spans="3:3" x14ac:dyDescent="0.25">
      <c r="C8142" s="4"/>
    </row>
    <row r="8143" spans="3:3" x14ac:dyDescent="0.25">
      <c r="C8143" s="4"/>
    </row>
    <row r="8144" spans="3:3" x14ac:dyDescent="0.25">
      <c r="C8144" s="4"/>
    </row>
    <row r="8145" spans="3:3" x14ac:dyDescent="0.25">
      <c r="C8145" s="4"/>
    </row>
    <row r="8146" spans="3:3" x14ac:dyDescent="0.25">
      <c r="C8146" s="4"/>
    </row>
    <row r="8147" spans="3:3" x14ac:dyDescent="0.25">
      <c r="C8147" s="4"/>
    </row>
    <row r="8148" spans="3:3" x14ac:dyDescent="0.25">
      <c r="C8148" s="4"/>
    </row>
    <row r="8149" spans="3:3" x14ac:dyDescent="0.25">
      <c r="C8149" s="4"/>
    </row>
    <row r="8150" spans="3:3" x14ac:dyDescent="0.25">
      <c r="C8150" s="4"/>
    </row>
    <row r="8151" spans="3:3" x14ac:dyDescent="0.25">
      <c r="C8151" s="4"/>
    </row>
    <row r="8152" spans="3:3" x14ac:dyDescent="0.25">
      <c r="C8152" s="4"/>
    </row>
    <row r="8153" spans="3:3" x14ac:dyDescent="0.25">
      <c r="C8153" s="4"/>
    </row>
    <row r="8154" spans="3:3" x14ac:dyDescent="0.25">
      <c r="C8154" s="4"/>
    </row>
    <row r="8155" spans="3:3" x14ac:dyDescent="0.25">
      <c r="C8155" s="4"/>
    </row>
    <row r="8156" spans="3:3" x14ac:dyDescent="0.25">
      <c r="C8156" s="4"/>
    </row>
    <row r="8157" spans="3:3" x14ac:dyDescent="0.25">
      <c r="C8157" s="4"/>
    </row>
    <row r="8158" spans="3:3" x14ac:dyDescent="0.25">
      <c r="C8158" s="4"/>
    </row>
    <row r="8159" spans="3:3" x14ac:dyDescent="0.25">
      <c r="C8159" s="4"/>
    </row>
    <row r="8160" spans="3:3" x14ac:dyDescent="0.25">
      <c r="C8160" s="4"/>
    </row>
    <row r="8161" spans="3:3" x14ac:dyDescent="0.25">
      <c r="C8161" s="4"/>
    </row>
    <row r="8162" spans="3:3" x14ac:dyDescent="0.25">
      <c r="C8162" s="4"/>
    </row>
    <row r="8163" spans="3:3" x14ac:dyDescent="0.25">
      <c r="C8163" s="4"/>
    </row>
    <row r="8164" spans="3:3" x14ac:dyDescent="0.25">
      <c r="C8164" s="4"/>
    </row>
    <row r="8165" spans="3:3" x14ac:dyDescent="0.25">
      <c r="C8165" s="4"/>
    </row>
    <row r="8166" spans="3:3" x14ac:dyDescent="0.25">
      <c r="C8166" s="4"/>
    </row>
    <row r="8167" spans="3:3" x14ac:dyDescent="0.25">
      <c r="C8167" s="4"/>
    </row>
    <row r="8168" spans="3:3" x14ac:dyDescent="0.25">
      <c r="C8168" s="4"/>
    </row>
    <row r="8169" spans="3:3" x14ac:dyDescent="0.25">
      <c r="C8169" s="4"/>
    </row>
    <row r="8170" spans="3:3" x14ac:dyDescent="0.25">
      <c r="C8170" s="4"/>
    </row>
    <row r="8171" spans="3:3" x14ac:dyDescent="0.25">
      <c r="C8171" s="4"/>
    </row>
    <row r="8172" spans="3:3" x14ac:dyDescent="0.25">
      <c r="C8172" s="4"/>
    </row>
    <row r="8173" spans="3:3" x14ac:dyDescent="0.25">
      <c r="C8173" s="4"/>
    </row>
    <row r="8174" spans="3:3" x14ac:dyDescent="0.25">
      <c r="C8174" s="4"/>
    </row>
    <row r="8175" spans="3:3" x14ac:dyDescent="0.25">
      <c r="C8175" s="4"/>
    </row>
    <row r="8176" spans="3:3" x14ac:dyDescent="0.25">
      <c r="C8176" s="4"/>
    </row>
    <row r="8177" spans="3:3" x14ac:dyDescent="0.25">
      <c r="C8177" s="4"/>
    </row>
    <row r="8178" spans="3:3" x14ac:dyDescent="0.25">
      <c r="C8178" s="4"/>
    </row>
    <row r="8179" spans="3:3" x14ac:dyDescent="0.25">
      <c r="C8179" s="4"/>
    </row>
    <row r="8180" spans="3:3" x14ac:dyDescent="0.25">
      <c r="C8180" s="4"/>
    </row>
    <row r="8181" spans="3:3" x14ac:dyDescent="0.25">
      <c r="C8181" s="4"/>
    </row>
    <row r="8182" spans="3:3" x14ac:dyDescent="0.25">
      <c r="C8182" s="4"/>
    </row>
    <row r="8183" spans="3:3" x14ac:dyDescent="0.25">
      <c r="C8183" s="4"/>
    </row>
    <row r="8184" spans="3:3" x14ac:dyDescent="0.25">
      <c r="C8184" s="4"/>
    </row>
    <row r="8185" spans="3:3" x14ac:dyDescent="0.25">
      <c r="C8185" s="4"/>
    </row>
    <row r="8186" spans="3:3" x14ac:dyDescent="0.25">
      <c r="C8186" s="4"/>
    </row>
    <row r="8187" spans="3:3" x14ac:dyDescent="0.25">
      <c r="C8187" s="4"/>
    </row>
    <row r="8188" spans="3:3" x14ac:dyDescent="0.25">
      <c r="C8188" s="4"/>
    </row>
    <row r="8189" spans="3:3" x14ac:dyDescent="0.25">
      <c r="C8189" s="4"/>
    </row>
    <row r="8190" spans="3:3" x14ac:dyDescent="0.25">
      <c r="C8190" s="4"/>
    </row>
    <row r="8191" spans="3:3" x14ac:dyDescent="0.25">
      <c r="C8191" s="4"/>
    </row>
    <row r="8192" spans="3:3" x14ac:dyDescent="0.25">
      <c r="C8192" s="4"/>
    </row>
    <row r="8193" spans="3:3" x14ac:dyDescent="0.25">
      <c r="C8193" s="4"/>
    </row>
    <row r="8194" spans="3:3" x14ac:dyDescent="0.25">
      <c r="C8194" s="4"/>
    </row>
    <row r="8195" spans="3:3" x14ac:dyDescent="0.25">
      <c r="C8195" s="4"/>
    </row>
    <row r="8196" spans="3:3" x14ac:dyDescent="0.25">
      <c r="C8196" s="4"/>
    </row>
    <row r="8197" spans="3:3" x14ac:dyDescent="0.25">
      <c r="C8197" s="4"/>
    </row>
    <row r="8198" spans="3:3" x14ac:dyDescent="0.25">
      <c r="C8198" s="4"/>
    </row>
    <row r="8199" spans="3:3" x14ac:dyDescent="0.25">
      <c r="C8199" s="4"/>
    </row>
    <row r="8200" spans="3:3" x14ac:dyDescent="0.25">
      <c r="C8200" s="4"/>
    </row>
    <row r="8201" spans="3:3" x14ac:dyDescent="0.25">
      <c r="C8201" s="4"/>
    </row>
    <row r="8202" spans="3:3" x14ac:dyDescent="0.25">
      <c r="C8202" s="4"/>
    </row>
    <row r="8203" spans="3:3" x14ac:dyDescent="0.25">
      <c r="C8203" s="4"/>
    </row>
    <row r="8204" spans="3:3" x14ac:dyDescent="0.25">
      <c r="C8204" s="4"/>
    </row>
    <row r="8205" spans="3:3" x14ac:dyDescent="0.25">
      <c r="C8205" s="4"/>
    </row>
    <row r="8206" spans="3:3" x14ac:dyDescent="0.25">
      <c r="C8206" s="4"/>
    </row>
    <row r="8207" spans="3:3" x14ac:dyDescent="0.25">
      <c r="C8207" s="4"/>
    </row>
    <row r="8208" spans="3:3" x14ac:dyDescent="0.25">
      <c r="C8208" s="4"/>
    </row>
    <row r="8209" spans="3:3" x14ac:dyDescent="0.25">
      <c r="C8209" s="4"/>
    </row>
    <row r="8210" spans="3:3" x14ac:dyDescent="0.25">
      <c r="C8210" s="4"/>
    </row>
    <row r="8211" spans="3:3" x14ac:dyDescent="0.25">
      <c r="C8211" s="4"/>
    </row>
    <row r="8212" spans="3:3" x14ac:dyDescent="0.25">
      <c r="C8212" s="4"/>
    </row>
    <row r="8213" spans="3:3" x14ac:dyDescent="0.25">
      <c r="C8213" s="4"/>
    </row>
    <row r="8214" spans="3:3" x14ac:dyDescent="0.25">
      <c r="C8214" s="4"/>
    </row>
    <row r="8215" spans="3:3" x14ac:dyDescent="0.25">
      <c r="C8215" s="4"/>
    </row>
    <row r="8216" spans="3:3" x14ac:dyDescent="0.25">
      <c r="C8216" s="4"/>
    </row>
    <row r="8217" spans="3:3" x14ac:dyDescent="0.25">
      <c r="C8217" s="4"/>
    </row>
    <row r="8218" spans="3:3" x14ac:dyDescent="0.25">
      <c r="C8218" s="4"/>
    </row>
    <row r="8219" spans="3:3" x14ac:dyDescent="0.25">
      <c r="C8219" s="4"/>
    </row>
    <row r="8220" spans="3:3" x14ac:dyDescent="0.25">
      <c r="C8220" s="4"/>
    </row>
    <row r="8221" spans="3:3" x14ac:dyDescent="0.25">
      <c r="C8221" s="4"/>
    </row>
    <row r="8222" spans="3:3" x14ac:dyDescent="0.25">
      <c r="C8222" s="4"/>
    </row>
    <row r="8223" spans="3:3" x14ac:dyDescent="0.25">
      <c r="C8223" s="4"/>
    </row>
    <row r="8224" spans="3:3" x14ac:dyDescent="0.25">
      <c r="C8224" s="4"/>
    </row>
    <row r="8225" spans="3:3" x14ac:dyDescent="0.25">
      <c r="C8225" s="4"/>
    </row>
    <row r="8226" spans="3:3" x14ac:dyDescent="0.25">
      <c r="C8226" s="4"/>
    </row>
    <row r="8227" spans="3:3" x14ac:dyDescent="0.25">
      <c r="C8227" s="4"/>
    </row>
    <row r="8228" spans="3:3" x14ac:dyDescent="0.25">
      <c r="C8228" s="4"/>
    </row>
    <row r="8229" spans="3:3" x14ac:dyDescent="0.25">
      <c r="C8229" s="4"/>
    </row>
    <row r="8230" spans="3:3" x14ac:dyDescent="0.25">
      <c r="C8230" s="4"/>
    </row>
    <row r="8231" spans="3:3" x14ac:dyDescent="0.25">
      <c r="C8231" s="4"/>
    </row>
    <row r="8232" spans="3:3" x14ac:dyDescent="0.25">
      <c r="C8232" s="4"/>
    </row>
    <row r="8233" spans="3:3" x14ac:dyDescent="0.25">
      <c r="C8233" s="4"/>
    </row>
    <row r="8234" spans="3:3" x14ac:dyDescent="0.25">
      <c r="C8234" s="4"/>
    </row>
    <row r="8235" spans="3:3" x14ac:dyDescent="0.25">
      <c r="C8235" s="4"/>
    </row>
    <row r="8236" spans="3:3" x14ac:dyDescent="0.25">
      <c r="C8236" s="4"/>
    </row>
    <row r="8237" spans="3:3" x14ac:dyDescent="0.25">
      <c r="C8237" s="4"/>
    </row>
    <row r="8238" spans="3:3" x14ac:dyDescent="0.25">
      <c r="C8238" s="4"/>
    </row>
    <row r="8239" spans="3:3" x14ac:dyDescent="0.25">
      <c r="C8239" s="4"/>
    </row>
    <row r="8240" spans="3:3" x14ac:dyDescent="0.25">
      <c r="C8240" s="4"/>
    </row>
    <row r="8241" spans="3:3" x14ac:dyDescent="0.25">
      <c r="C8241" s="4"/>
    </row>
    <row r="8242" spans="3:3" x14ac:dyDescent="0.25">
      <c r="C8242" s="4"/>
    </row>
    <row r="8243" spans="3:3" x14ac:dyDescent="0.25">
      <c r="C8243" s="4"/>
    </row>
    <row r="8244" spans="3:3" x14ac:dyDescent="0.25">
      <c r="C8244" s="4"/>
    </row>
    <row r="8245" spans="3:3" x14ac:dyDescent="0.25">
      <c r="C8245" s="4"/>
    </row>
    <row r="8246" spans="3:3" x14ac:dyDescent="0.25">
      <c r="C8246" s="4"/>
    </row>
    <row r="8247" spans="3:3" x14ac:dyDescent="0.25">
      <c r="C8247" s="4"/>
    </row>
    <row r="8248" spans="3:3" x14ac:dyDescent="0.25">
      <c r="C8248" s="4"/>
    </row>
    <row r="8249" spans="3:3" x14ac:dyDescent="0.25">
      <c r="C8249" s="4"/>
    </row>
    <row r="8250" spans="3:3" x14ac:dyDescent="0.25">
      <c r="C8250" s="4"/>
    </row>
    <row r="8251" spans="3:3" x14ac:dyDescent="0.25">
      <c r="C8251" s="4"/>
    </row>
    <row r="8252" spans="3:3" x14ac:dyDescent="0.25">
      <c r="C8252" s="4"/>
    </row>
    <row r="8253" spans="3:3" x14ac:dyDescent="0.25">
      <c r="C8253" s="4"/>
    </row>
    <row r="8254" spans="3:3" x14ac:dyDescent="0.25">
      <c r="C8254" s="4"/>
    </row>
    <row r="8255" spans="3:3" x14ac:dyDescent="0.25">
      <c r="C8255" s="4"/>
    </row>
    <row r="8256" spans="3:3" x14ac:dyDescent="0.25">
      <c r="C8256" s="4"/>
    </row>
    <row r="8257" spans="3:3" x14ac:dyDescent="0.25">
      <c r="C8257" s="4"/>
    </row>
    <row r="8258" spans="3:3" x14ac:dyDescent="0.25">
      <c r="C8258" s="4"/>
    </row>
    <row r="8259" spans="3:3" x14ac:dyDescent="0.25">
      <c r="C8259" s="4"/>
    </row>
    <row r="8260" spans="3:3" x14ac:dyDescent="0.25">
      <c r="C8260" s="4"/>
    </row>
    <row r="8261" spans="3:3" x14ac:dyDescent="0.25">
      <c r="C8261" s="4"/>
    </row>
    <row r="8262" spans="3:3" x14ac:dyDescent="0.25">
      <c r="C8262" s="4"/>
    </row>
    <row r="8263" spans="3:3" x14ac:dyDescent="0.25">
      <c r="C8263" s="4"/>
    </row>
    <row r="8264" spans="3:3" x14ac:dyDescent="0.25">
      <c r="C8264" s="4"/>
    </row>
    <row r="8265" spans="3:3" x14ac:dyDescent="0.25">
      <c r="C8265" s="4"/>
    </row>
    <row r="8266" spans="3:3" x14ac:dyDescent="0.25">
      <c r="C8266" s="4"/>
    </row>
    <row r="8267" spans="3:3" x14ac:dyDescent="0.25">
      <c r="C8267" s="4"/>
    </row>
    <row r="8268" spans="3:3" x14ac:dyDescent="0.25">
      <c r="C8268" s="4"/>
    </row>
    <row r="8269" spans="3:3" x14ac:dyDescent="0.25">
      <c r="C8269" s="4"/>
    </row>
    <row r="8270" spans="3:3" x14ac:dyDescent="0.25">
      <c r="C8270" s="4"/>
    </row>
    <row r="8271" spans="3:3" x14ac:dyDescent="0.25">
      <c r="C8271" s="4"/>
    </row>
    <row r="8272" spans="3:3" x14ac:dyDescent="0.25">
      <c r="C8272" s="4"/>
    </row>
    <row r="8273" spans="3:3" x14ac:dyDescent="0.25">
      <c r="C8273" s="4"/>
    </row>
    <row r="8274" spans="3:3" x14ac:dyDescent="0.25">
      <c r="C8274" s="4"/>
    </row>
    <row r="8275" spans="3:3" x14ac:dyDescent="0.25">
      <c r="C8275" s="4"/>
    </row>
    <row r="8276" spans="3:3" x14ac:dyDescent="0.25">
      <c r="C8276" s="4"/>
    </row>
    <row r="8277" spans="3:3" x14ac:dyDescent="0.25">
      <c r="C8277" s="4"/>
    </row>
    <row r="8278" spans="3:3" x14ac:dyDescent="0.25">
      <c r="C8278" s="4"/>
    </row>
    <row r="8279" spans="3:3" x14ac:dyDescent="0.25">
      <c r="C8279" s="4"/>
    </row>
    <row r="8280" spans="3:3" x14ac:dyDescent="0.25">
      <c r="C8280" s="4"/>
    </row>
    <row r="8281" spans="3:3" x14ac:dyDescent="0.25">
      <c r="C8281" s="4"/>
    </row>
    <row r="8282" spans="3:3" x14ac:dyDescent="0.25">
      <c r="C8282" s="4"/>
    </row>
    <row r="8283" spans="3:3" x14ac:dyDescent="0.25">
      <c r="C8283" s="4"/>
    </row>
    <row r="8284" spans="3:3" x14ac:dyDescent="0.25">
      <c r="C8284" s="4"/>
    </row>
    <row r="8285" spans="3:3" x14ac:dyDescent="0.25">
      <c r="C8285" s="4"/>
    </row>
    <row r="8286" spans="3:3" x14ac:dyDescent="0.25">
      <c r="C8286" s="4"/>
    </row>
    <row r="8287" spans="3:3" x14ac:dyDescent="0.25">
      <c r="C8287" s="4"/>
    </row>
    <row r="8288" spans="3:3" x14ac:dyDescent="0.25">
      <c r="C8288" s="4"/>
    </row>
    <row r="8289" spans="3:3" x14ac:dyDescent="0.25">
      <c r="C8289" s="4"/>
    </row>
    <row r="8290" spans="3:3" x14ac:dyDescent="0.25">
      <c r="C8290" s="4"/>
    </row>
    <row r="8291" spans="3:3" x14ac:dyDescent="0.25">
      <c r="C8291" s="4"/>
    </row>
    <row r="8292" spans="3:3" x14ac:dyDescent="0.25">
      <c r="C8292" s="4"/>
    </row>
    <row r="8293" spans="3:3" x14ac:dyDescent="0.25">
      <c r="C8293" s="4"/>
    </row>
    <row r="8294" spans="3:3" x14ac:dyDescent="0.25">
      <c r="C8294" s="4"/>
    </row>
    <row r="8295" spans="3:3" x14ac:dyDescent="0.25">
      <c r="C8295" s="4"/>
    </row>
    <row r="8296" spans="3:3" x14ac:dyDescent="0.25">
      <c r="C8296" s="4"/>
    </row>
    <row r="8297" spans="3:3" x14ac:dyDescent="0.25">
      <c r="C8297" s="4"/>
    </row>
    <row r="8298" spans="3:3" x14ac:dyDescent="0.25">
      <c r="C8298" s="4"/>
    </row>
    <row r="8299" spans="3:3" x14ac:dyDescent="0.25">
      <c r="C8299" s="4"/>
    </row>
    <row r="8300" spans="3:3" x14ac:dyDescent="0.25">
      <c r="C8300" s="4"/>
    </row>
    <row r="8301" spans="3:3" x14ac:dyDescent="0.25">
      <c r="C8301" s="4"/>
    </row>
    <row r="8302" spans="3:3" x14ac:dyDescent="0.25">
      <c r="C8302" s="4"/>
    </row>
    <row r="8303" spans="3:3" x14ac:dyDescent="0.25">
      <c r="C8303" s="4"/>
    </row>
    <row r="8304" spans="3:3" x14ac:dyDescent="0.25">
      <c r="C8304" s="4"/>
    </row>
    <row r="8305" spans="3:3" x14ac:dyDescent="0.25">
      <c r="C8305" s="4"/>
    </row>
    <row r="8306" spans="3:3" x14ac:dyDescent="0.25">
      <c r="C8306" s="4"/>
    </row>
    <row r="8307" spans="3:3" x14ac:dyDescent="0.25">
      <c r="C8307" s="4"/>
    </row>
    <row r="8308" spans="3:3" x14ac:dyDescent="0.25">
      <c r="C8308" s="4"/>
    </row>
    <row r="8309" spans="3:3" x14ac:dyDescent="0.25">
      <c r="C8309" s="4"/>
    </row>
    <row r="8310" spans="3:3" x14ac:dyDescent="0.25">
      <c r="C8310" s="4"/>
    </row>
    <row r="8311" spans="3:3" x14ac:dyDescent="0.25">
      <c r="C8311" s="4"/>
    </row>
    <row r="8312" spans="3:3" x14ac:dyDescent="0.25">
      <c r="C8312" s="4"/>
    </row>
    <row r="8313" spans="3:3" x14ac:dyDescent="0.25">
      <c r="C8313" s="4"/>
    </row>
    <row r="8314" spans="3:3" x14ac:dyDescent="0.25">
      <c r="C8314" s="4"/>
    </row>
    <row r="8315" spans="3:3" x14ac:dyDescent="0.25">
      <c r="C8315" s="4"/>
    </row>
    <row r="8316" spans="3:3" x14ac:dyDescent="0.25">
      <c r="C8316" s="4"/>
    </row>
    <row r="8317" spans="3:3" x14ac:dyDescent="0.25">
      <c r="C8317" s="4"/>
    </row>
    <row r="8318" spans="3:3" x14ac:dyDescent="0.25">
      <c r="C8318" s="4"/>
    </row>
    <row r="8319" spans="3:3" x14ac:dyDescent="0.25">
      <c r="C8319" s="4"/>
    </row>
    <row r="8320" spans="3:3" x14ac:dyDescent="0.25">
      <c r="C8320" s="4"/>
    </row>
    <row r="8321" spans="3:3" x14ac:dyDescent="0.25">
      <c r="C8321" s="4"/>
    </row>
    <row r="8322" spans="3:3" x14ac:dyDescent="0.25">
      <c r="C8322" s="4"/>
    </row>
    <row r="8323" spans="3:3" x14ac:dyDescent="0.25">
      <c r="C8323" s="4"/>
    </row>
    <row r="8324" spans="3:3" x14ac:dyDescent="0.25">
      <c r="C8324" s="4"/>
    </row>
    <row r="8325" spans="3:3" x14ac:dyDescent="0.25">
      <c r="C8325" s="4"/>
    </row>
    <row r="8326" spans="3:3" x14ac:dyDescent="0.25">
      <c r="C8326" s="4"/>
    </row>
    <row r="8327" spans="3:3" x14ac:dyDescent="0.25">
      <c r="C8327" s="4"/>
    </row>
    <row r="8328" spans="3:3" x14ac:dyDescent="0.25">
      <c r="C8328" s="4"/>
    </row>
    <row r="8329" spans="3:3" x14ac:dyDescent="0.25">
      <c r="C8329" s="4"/>
    </row>
    <row r="8330" spans="3:3" x14ac:dyDescent="0.25">
      <c r="C8330" s="4"/>
    </row>
    <row r="8331" spans="3:3" x14ac:dyDescent="0.25">
      <c r="C8331" s="4"/>
    </row>
    <row r="8332" spans="3:3" x14ac:dyDescent="0.25">
      <c r="C8332" s="4"/>
    </row>
    <row r="8333" spans="3:3" x14ac:dyDescent="0.25">
      <c r="C8333" s="4"/>
    </row>
    <row r="8334" spans="3:3" x14ac:dyDescent="0.25">
      <c r="C8334" s="4"/>
    </row>
    <row r="8335" spans="3:3" x14ac:dyDescent="0.25">
      <c r="C8335" s="4"/>
    </row>
    <row r="8336" spans="3:3" x14ac:dyDescent="0.25">
      <c r="C8336" s="4"/>
    </row>
    <row r="8337" spans="3:3" x14ac:dyDescent="0.25">
      <c r="C8337" s="4"/>
    </row>
    <row r="8338" spans="3:3" x14ac:dyDescent="0.25">
      <c r="C8338" s="4"/>
    </row>
    <row r="8339" spans="3:3" x14ac:dyDescent="0.25">
      <c r="C8339" s="4"/>
    </row>
    <row r="8340" spans="3:3" x14ac:dyDescent="0.25">
      <c r="C8340" s="4"/>
    </row>
    <row r="8341" spans="3:3" x14ac:dyDescent="0.25">
      <c r="C8341" s="4"/>
    </row>
    <row r="8342" spans="3:3" x14ac:dyDescent="0.25">
      <c r="C8342" s="4"/>
    </row>
    <row r="8343" spans="3:3" x14ac:dyDescent="0.25">
      <c r="C8343" s="4"/>
    </row>
    <row r="8344" spans="3:3" x14ac:dyDescent="0.25">
      <c r="C8344" s="4"/>
    </row>
    <row r="8345" spans="3:3" x14ac:dyDescent="0.25">
      <c r="C8345" s="4"/>
    </row>
    <row r="8346" spans="3:3" x14ac:dyDescent="0.25">
      <c r="C8346" s="4"/>
    </row>
    <row r="8347" spans="3:3" x14ac:dyDescent="0.25">
      <c r="C8347" s="4"/>
    </row>
    <row r="8348" spans="3:3" x14ac:dyDescent="0.25">
      <c r="C8348" s="4"/>
    </row>
    <row r="8349" spans="3:3" x14ac:dyDescent="0.25">
      <c r="C8349" s="4"/>
    </row>
    <row r="8350" spans="3:3" x14ac:dyDescent="0.25">
      <c r="C8350" s="4"/>
    </row>
    <row r="8351" spans="3:3" x14ac:dyDescent="0.25">
      <c r="C8351" s="4"/>
    </row>
    <row r="8352" spans="3:3" x14ac:dyDescent="0.25">
      <c r="C8352" s="4"/>
    </row>
    <row r="8353" spans="3:3" x14ac:dyDescent="0.25">
      <c r="C8353" s="4"/>
    </row>
    <row r="8354" spans="3:3" x14ac:dyDescent="0.25">
      <c r="C8354" s="4"/>
    </row>
    <row r="8355" spans="3:3" x14ac:dyDescent="0.25">
      <c r="C8355" s="4"/>
    </row>
    <row r="8356" spans="3:3" x14ac:dyDescent="0.25">
      <c r="C8356" s="4"/>
    </row>
    <row r="8357" spans="3:3" x14ac:dyDescent="0.25">
      <c r="C8357" s="4"/>
    </row>
    <row r="8358" spans="3:3" x14ac:dyDescent="0.25">
      <c r="C8358" s="4"/>
    </row>
    <row r="8359" spans="3:3" x14ac:dyDescent="0.25">
      <c r="C8359" s="4"/>
    </row>
    <row r="8360" spans="3:3" x14ac:dyDescent="0.25">
      <c r="C8360" s="4"/>
    </row>
    <row r="8361" spans="3:3" x14ac:dyDescent="0.25">
      <c r="C8361" s="4"/>
    </row>
    <row r="8362" spans="3:3" x14ac:dyDescent="0.25">
      <c r="C8362" s="4"/>
    </row>
    <row r="8363" spans="3:3" x14ac:dyDescent="0.25">
      <c r="C8363" s="4"/>
    </row>
    <row r="8364" spans="3:3" x14ac:dyDescent="0.25">
      <c r="C8364" s="4"/>
    </row>
    <row r="8365" spans="3:3" x14ac:dyDescent="0.25">
      <c r="C8365" s="4"/>
    </row>
    <row r="8366" spans="3:3" x14ac:dyDescent="0.25">
      <c r="C8366" s="4"/>
    </row>
    <row r="8367" spans="3:3" x14ac:dyDescent="0.25">
      <c r="C8367" s="4"/>
    </row>
    <row r="8368" spans="3:3" x14ac:dyDescent="0.25">
      <c r="C8368" s="4"/>
    </row>
    <row r="8369" spans="3:3" x14ac:dyDescent="0.25">
      <c r="C8369" s="4"/>
    </row>
    <row r="8370" spans="3:3" x14ac:dyDescent="0.25">
      <c r="C8370" s="4"/>
    </row>
    <row r="8371" spans="3:3" x14ac:dyDescent="0.25">
      <c r="C8371" s="4"/>
    </row>
    <row r="8372" spans="3:3" x14ac:dyDescent="0.25">
      <c r="C8372" s="4"/>
    </row>
    <row r="8373" spans="3:3" x14ac:dyDescent="0.25">
      <c r="C8373" s="4"/>
    </row>
    <row r="8374" spans="3:3" x14ac:dyDescent="0.25">
      <c r="C8374" s="4"/>
    </row>
    <row r="8375" spans="3:3" x14ac:dyDescent="0.25">
      <c r="C8375" s="4"/>
    </row>
    <row r="8376" spans="3:3" x14ac:dyDescent="0.25">
      <c r="C8376" s="4"/>
    </row>
    <row r="8377" spans="3:3" x14ac:dyDescent="0.25">
      <c r="C8377" s="4"/>
    </row>
    <row r="8378" spans="3:3" x14ac:dyDescent="0.25">
      <c r="C8378" s="4"/>
    </row>
    <row r="8379" spans="3:3" x14ac:dyDescent="0.25">
      <c r="C8379" s="4"/>
    </row>
    <row r="8380" spans="3:3" x14ac:dyDescent="0.25">
      <c r="C8380" s="4"/>
    </row>
    <row r="8381" spans="3:3" x14ac:dyDescent="0.25">
      <c r="C8381" s="4"/>
    </row>
    <row r="8382" spans="3:3" x14ac:dyDescent="0.25">
      <c r="C8382" s="4"/>
    </row>
    <row r="8383" spans="3:3" x14ac:dyDescent="0.25">
      <c r="C8383" s="4"/>
    </row>
    <row r="8384" spans="3:3" x14ac:dyDescent="0.25">
      <c r="C8384" s="4"/>
    </row>
    <row r="8385" spans="3:3" x14ac:dyDescent="0.25">
      <c r="C8385" s="4"/>
    </row>
    <row r="8386" spans="3:3" x14ac:dyDescent="0.25">
      <c r="C8386" s="4"/>
    </row>
    <row r="8387" spans="3:3" x14ac:dyDescent="0.25">
      <c r="C8387" s="4"/>
    </row>
    <row r="8388" spans="3:3" x14ac:dyDescent="0.25">
      <c r="C8388" s="4"/>
    </row>
    <row r="8389" spans="3:3" x14ac:dyDescent="0.25">
      <c r="C8389" s="4"/>
    </row>
    <row r="8390" spans="3:3" x14ac:dyDescent="0.25">
      <c r="C8390" s="4"/>
    </row>
    <row r="8391" spans="3:3" x14ac:dyDescent="0.25">
      <c r="C8391" s="4"/>
    </row>
    <row r="8392" spans="3:3" x14ac:dyDescent="0.25">
      <c r="C8392" s="4"/>
    </row>
    <row r="8393" spans="3:3" x14ac:dyDescent="0.25">
      <c r="C8393" s="4"/>
    </row>
    <row r="8394" spans="3:3" x14ac:dyDescent="0.25">
      <c r="C8394" s="4"/>
    </row>
    <row r="8395" spans="3:3" x14ac:dyDescent="0.25">
      <c r="C8395" s="4"/>
    </row>
    <row r="8396" spans="3:3" x14ac:dyDescent="0.25">
      <c r="C8396" s="4"/>
    </row>
    <row r="8397" spans="3:3" x14ac:dyDescent="0.25">
      <c r="C8397" s="4"/>
    </row>
    <row r="8398" spans="3:3" x14ac:dyDescent="0.25">
      <c r="C8398" s="4"/>
    </row>
    <row r="8399" spans="3:3" x14ac:dyDescent="0.25">
      <c r="C8399" s="4"/>
    </row>
    <row r="8400" spans="3:3" x14ac:dyDescent="0.25">
      <c r="C8400" s="4"/>
    </row>
    <row r="8401" spans="3:3" x14ac:dyDescent="0.25">
      <c r="C8401" s="4"/>
    </row>
    <row r="8402" spans="3:3" x14ac:dyDescent="0.25">
      <c r="C8402" s="4"/>
    </row>
    <row r="8403" spans="3:3" x14ac:dyDescent="0.25">
      <c r="C8403" s="4"/>
    </row>
    <row r="8404" spans="3:3" x14ac:dyDescent="0.25">
      <c r="C8404" s="4"/>
    </row>
    <row r="8405" spans="3:3" x14ac:dyDescent="0.25">
      <c r="C8405" s="4"/>
    </row>
    <row r="8406" spans="3:3" x14ac:dyDescent="0.25">
      <c r="C8406" s="4"/>
    </row>
    <row r="8407" spans="3:3" x14ac:dyDescent="0.25">
      <c r="C8407" s="4"/>
    </row>
    <row r="8408" spans="3:3" x14ac:dyDescent="0.25">
      <c r="C8408" s="4"/>
    </row>
    <row r="8409" spans="3:3" x14ac:dyDescent="0.25">
      <c r="C8409" s="4"/>
    </row>
    <row r="8410" spans="3:3" x14ac:dyDescent="0.25">
      <c r="C8410" s="4"/>
    </row>
    <row r="8411" spans="3:3" x14ac:dyDescent="0.25">
      <c r="C8411" s="4"/>
    </row>
    <row r="8412" spans="3:3" x14ac:dyDescent="0.25">
      <c r="C8412" s="4"/>
    </row>
    <row r="8413" spans="3:3" x14ac:dyDescent="0.25">
      <c r="C8413" s="4"/>
    </row>
    <row r="8414" spans="3:3" x14ac:dyDescent="0.25">
      <c r="C8414" s="4"/>
    </row>
    <row r="8415" spans="3:3" x14ac:dyDescent="0.25">
      <c r="C8415" s="4"/>
    </row>
    <row r="8416" spans="3:3" x14ac:dyDescent="0.25">
      <c r="C8416" s="4"/>
    </row>
    <row r="8417" spans="3:3" x14ac:dyDescent="0.25">
      <c r="C8417" s="4"/>
    </row>
    <row r="8418" spans="3:3" x14ac:dyDescent="0.25">
      <c r="C8418" s="4"/>
    </row>
    <row r="8419" spans="3:3" x14ac:dyDescent="0.25">
      <c r="C8419" s="4"/>
    </row>
    <row r="8420" spans="3:3" x14ac:dyDescent="0.25">
      <c r="C8420" s="4"/>
    </row>
    <row r="8421" spans="3:3" x14ac:dyDescent="0.25">
      <c r="C8421" s="4"/>
    </row>
    <row r="8422" spans="3:3" x14ac:dyDescent="0.25">
      <c r="C8422" s="4"/>
    </row>
    <row r="8423" spans="3:3" x14ac:dyDescent="0.25">
      <c r="C8423" s="4"/>
    </row>
    <row r="8424" spans="3:3" x14ac:dyDescent="0.25">
      <c r="C8424" s="4"/>
    </row>
    <row r="8425" spans="3:3" x14ac:dyDescent="0.25">
      <c r="C8425" s="4"/>
    </row>
    <row r="8426" spans="3:3" x14ac:dyDescent="0.25">
      <c r="C8426" s="4"/>
    </row>
    <row r="8427" spans="3:3" x14ac:dyDescent="0.25">
      <c r="C8427" s="4"/>
    </row>
    <row r="8428" spans="3:3" x14ac:dyDescent="0.25">
      <c r="C8428" s="4"/>
    </row>
    <row r="8429" spans="3:3" x14ac:dyDescent="0.25">
      <c r="C8429" s="4"/>
    </row>
    <row r="8430" spans="3:3" x14ac:dyDescent="0.25">
      <c r="C8430" s="4"/>
    </row>
    <row r="8431" spans="3:3" x14ac:dyDescent="0.25">
      <c r="C8431" s="4"/>
    </row>
    <row r="8432" spans="3:3" x14ac:dyDescent="0.25">
      <c r="C8432" s="4"/>
    </row>
    <row r="8433" spans="3:3" x14ac:dyDescent="0.25">
      <c r="C8433" s="4"/>
    </row>
    <row r="8434" spans="3:3" x14ac:dyDescent="0.25">
      <c r="C8434" s="4"/>
    </row>
    <row r="8435" spans="3:3" x14ac:dyDescent="0.25">
      <c r="C8435" s="4"/>
    </row>
    <row r="8436" spans="3:3" x14ac:dyDescent="0.25">
      <c r="C8436" s="4"/>
    </row>
    <row r="8437" spans="3:3" x14ac:dyDescent="0.25">
      <c r="C8437" s="4"/>
    </row>
    <row r="8438" spans="3:3" x14ac:dyDescent="0.25">
      <c r="C8438" s="4"/>
    </row>
    <row r="8439" spans="3:3" x14ac:dyDescent="0.25">
      <c r="C8439" s="4"/>
    </row>
    <row r="8440" spans="3:3" x14ac:dyDescent="0.25">
      <c r="C8440" s="4"/>
    </row>
    <row r="8441" spans="3:3" x14ac:dyDescent="0.25">
      <c r="C8441" s="4"/>
    </row>
    <row r="8442" spans="3:3" x14ac:dyDescent="0.25">
      <c r="C8442" s="4"/>
    </row>
    <row r="8443" spans="3:3" x14ac:dyDescent="0.25">
      <c r="C8443" s="4"/>
    </row>
    <row r="8444" spans="3:3" x14ac:dyDescent="0.25">
      <c r="C8444" s="4"/>
    </row>
    <row r="8445" spans="3:3" x14ac:dyDescent="0.25">
      <c r="C8445" s="4"/>
    </row>
    <row r="8446" spans="3:3" x14ac:dyDescent="0.25">
      <c r="C8446" s="4"/>
    </row>
    <row r="8447" spans="3:3" x14ac:dyDescent="0.25">
      <c r="C8447" s="4"/>
    </row>
    <row r="8448" spans="3:3" x14ac:dyDescent="0.25">
      <c r="C8448" s="4"/>
    </row>
    <row r="8449" spans="3:3" x14ac:dyDescent="0.25">
      <c r="C8449" s="4"/>
    </row>
    <row r="8450" spans="3:3" x14ac:dyDescent="0.25">
      <c r="C8450" s="4"/>
    </row>
    <row r="8451" spans="3:3" x14ac:dyDescent="0.25">
      <c r="C8451" s="4"/>
    </row>
    <row r="8452" spans="3:3" x14ac:dyDescent="0.25">
      <c r="C8452" s="4"/>
    </row>
    <row r="8453" spans="3:3" x14ac:dyDescent="0.25">
      <c r="C8453" s="4"/>
    </row>
    <row r="8454" spans="3:3" x14ac:dyDescent="0.25">
      <c r="C8454" s="4"/>
    </row>
    <row r="8455" spans="3:3" x14ac:dyDescent="0.25">
      <c r="C8455" s="4"/>
    </row>
    <row r="8456" spans="3:3" x14ac:dyDescent="0.25">
      <c r="C8456" s="4"/>
    </row>
    <row r="8457" spans="3:3" x14ac:dyDescent="0.25">
      <c r="C8457" s="4"/>
    </row>
    <row r="8458" spans="3:3" x14ac:dyDescent="0.25">
      <c r="C8458" s="4"/>
    </row>
    <row r="8459" spans="3:3" x14ac:dyDescent="0.25">
      <c r="C8459" s="4"/>
    </row>
    <row r="8460" spans="3:3" x14ac:dyDescent="0.25">
      <c r="C8460" s="4"/>
    </row>
    <row r="8461" spans="3:3" x14ac:dyDescent="0.25">
      <c r="C8461" s="4"/>
    </row>
    <row r="8462" spans="3:3" x14ac:dyDescent="0.25">
      <c r="C8462" s="4"/>
    </row>
    <row r="8463" spans="3:3" x14ac:dyDescent="0.25">
      <c r="C8463" s="4"/>
    </row>
    <row r="8464" spans="3:3" x14ac:dyDescent="0.25">
      <c r="C8464" s="4"/>
    </row>
    <row r="8465" spans="3:3" x14ac:dyDescent="0.25">
      <c r="C8465" s="4"/>
    </row>
    <row r="8466" spans="3:3" x14ac:dyDescent="0.25">
      <c r="C8466" s="4"/>
    </row>
    <row r="8467" spans="3:3" x14ac:dyDescent="0.25">
      <c r="C8467" s="4"/>
    </row>
    <row r="8468" spans="3:3" x14ac:dyDescent="0.25">
      <c r="C8468" s="4"/>
    </row>
    <row r="8469" spans="3:3" x14ac:dyDescent="0.25">
      <c r="C8469" s="4"/>
    </row>
    <row r="8470" spans="3:3" x14ac:dyDescent="0.25">
      <c r="C8470" s="4"/>
    </row>
    <row r="8471" spans="3:3" x14ac:dyDescent="0.25">
      <c r="C8471" s="4"/>
    </row>
    <row r="8472" spans="3:3" x14ac:dyDescent="0.25">
      <c r="C8472" s="4"/>
    </row>
    <row r="8473" spans="3:3" x14ac:dyDescent="0.25">
      <c r="C8473" s="4"/>
    </row>
    <row r="8474" spans="3:3" x14ac:dyDescent="0.25">
      <c r="C8474" s="4"/>
    </row>
    <row r="8475" spans="3:3" x14ac:dyDescent="0.25">
      <c r="C8475" s="4"/>
    </row>
    <row r="8476" spans="3:3" x14ac:dyDescent="0.25">
      <c r="C8476" s="4"/>
    </row>
    <row r="8477" spans="3:3" x14ac:dyDescent="0.25">
      <c r="C8477" s="4"/>
    </row>
    <row r="8478" spans="3:3" x14ac:dyDescent="0.25">
      <c r="C8478" s="4"/>
    </row>
    <row r="8479" spans="3:3" x14ac:dyDescent="0.25">
      <c r="C8479" s="4"/>
    </row>
    <row r="8480" spans="3:3" x14ac:dyDescent="0.25">
      <c r="C8480" s="4"/>
    </row>
    <row r="8481" spans="3:3" x14ac:dyDescent="0.25">
      <c r="C8481" s="4"/>
    </row>
    <row r="8482" spans="3:3" x14ac:dyDescent="0.25">
      <c r="C8482" s="4"/>
    </row>
    <row r="8483" spans="3:3" x14ac:dyDescent="0.25">
      <c r="C8483" s="4"/>
    </row>
    <row r="8484" spans="3:3" x14ac:dyDescent="0.25">
      <c r="C8484" s="4"/>
    </row>
    <row r="8485" spans="3:3" x14ac:dyDescent="0.25">
      <c r="C8485" s="4"/>
    </row>
    <row r="8486" spans="3:3" x14ac:dyDescent="0.25">
      <c r="C8486" s="4"/>
    </row>
    <row r="8487" spans="3:3" x14ac:dyDescent="0.25">
      <c r="C8487" s="4"/>
    </row>
    <row r="8488" spans="3:3" x14ac:dyDescent="0.25">
      <c r="C8488" s="4"/>
    </row>
    <row r="8489" spans="3:3" x14ac:dyDescent="0.25">
      <c r="C8489" s="4"/>
    </row>
    <row r="8490" spans="3:3" x14ac:dyDescent="0.25">
      <c r="C8490" s="4"/>
    </row>
    <row r="8491" spans="3:3" x14ac:dyDescent="0.25">
      <c r="C8491" s="4"/>
    </row>
    <row r="8492" spans="3:3" x14ac:dyDescent="0.25">
      <c r="C8492" s="4"/>
    </row>
    <row r="8493" spans="3:3" x14ac:dyDescent="0.25">
      <c r="C8493" s="4"/>
    </row>
    <row r="8494" spans="3:3" x14ac:dyDescent="0.25">
      <c r="C8494" s="4"/>
    </row>
    <row r="8495" spans="3:3" x14ac:dyDescent="0.25">
      <c r="C8495" s="4"/>
    </row>
    <row r="8496" spans="3:3" x14ac:dyDescent="0.25">
      <c r="C8496" s="4"/>
    </row>
    <row r="8497" spans="3:3" x14ac:dyDescent="0.25">
      <c r="C8497" s="4"/>
    </row>
    <row r="8498" spans="3:3" x14ac:dyDescent="0.25">
      <c r="C8498" s="4"/>
    </row>
    <row r="8499" spans="3:3" x14ac:dyDescent="0.25">
      <c r="C8499" s="4"/>
    </row>
    <row r="8500" spans="3:3" x14ac:dyDescent="0.25">
      <c r="C8500" s="4"/>
    </row>
    <row r="8501" spans="3:3" x14ac:dyDescent="0.25">
      <c r="C8501" s="4"/>
    </row>
    <row r="8502" spans="3:3" x14ac:dyDescent="0.25">
      <c r="C8502" s="4"/>
    </row>
    <row r="8503" spans="3:3" x14ac:dyDescent="0.25">
      <c r="C8503" s="4"/>
    </row>
    <row r="8504" spans="3:3" x14ac:dyDescent="0.25">
      <c r="C8504" s="4"/>
    </row>
    <row r="8505" spans="3:3" x14ac:dyDescent="0.25">
      <c r="C8505" s="4"/>
    </row>
    <row r="8506" spans="3:3" x14ac:dyDescent="0.25">
      <c r="C8506" s="4"/>
    </row>
    <row r="8507" spans="3:3" x14ac:dyDescent="0.25">
      <c r="C8507" s="4"/>
    </row>
    <row r="8508" spans="3:3" x14ac:dyDescent="0.25">
      <c r="C8508" s="4"/>
    </row>
    <row r="8509" spans="3:3" x14ac:dyDescent="0.25">
      <c r="C8509" s="4"/>
    </row>
    <row r="8510" spans="3:3" x14ac:dyDescent="0.25">
      <c r="C8510" s="4"/>
    </row>
    <row r="8511" spans="3:3" x14ac:dyDescent="0.25">
      <c r="C8511" s="4"/>
    </row>
    <row r="8512" spans="3:3" x14ac:dyDescent="0.25">
      <c r="C8512" s="4"/>
    </row>
    <row r="8513" spans="3:3" x14ac:dyDescent="0.25">
      <c r="C8513" s="4"/>
    </row>
    <row r="8514" spans="3:3" x14ac:dyDescent="0.25">
      <c r="C8514" s="4"/>
    </row>
    <row r="8515" spans="3:3" x14ac:dyDescent="0.25">
      <c r="C8515" s="4"/>
    </row>
    <row r="8516" spans="3:3" x14ac:dyDescent="0.25">
      <c r="C8516" s="4"/>
    </row>
    <row r="8517" spans="3:3" x14ac:dyDescent="0.25">
      <c r="C8517" s="4"/>
    </row>
    <row r="8518" spans="3:3" x14ac:dyDescent="0.25">
      <c r="C8518" s="4"/>
    </row>
    <row r="8519" spans="3:3" x14ac:dyDescent="0.25">
      <c r="C8519" s="4"/>
    </row>
    <row r="8520" spans="3:3" x14ac:dyDescent="0.25">
      <c r="C8520" s="4"/>
    </row>
    <row r="8521" spans="3:3" x14ac:dyDescent="0.25">
      <c r="C8521" s="4"/>
    </row>
    <row r="8522" spans="3:3" x14ac:dyDescent="0.25">
      <c r="C8522" s="4"/>
    </row>
    <row r="8523" spans="3:3" x14ac:dyDescent="0.25">
      <c r="C8523" s="4"/>
    </row>
    <row r="8524" spans="3:3" x14ac:dyDescent="0.25">
      <c r="C8524" s="4"/>
    </row>
    <row r="8525" spans="3:3" x14ac:dyDescent="0.25">
      <c r="C8525" s="4"/>
    </row>
    <row r="8526" spans="3:3" x14ac:dyDescent="0.25">
      <c r="C8526" s="4"/>
    </row>
    <row r="8527" spans="3:3" x14ac:dyDescent="0.25">
      <c r="C8527" s="4"/>
    </row>
    <row r="8528" spans="3:3" x14ac:dyDescent="0.25">
      <c r="C8528" s="4"/>
    </row>
    <row r="8529" spans="3:3" x14ac:dyDescent="0.25">
      <c r="C8529" s="4"/>
    </row>
    <row r="8530" spans="3:3" x14ac:dyDescent="0.25">
      <c r="C8530" s="4"/>
    </row>
    <row r="8531" spans="3:3" x14ac:dyDescent="0.25">
      <c r="C8531" s="4"/>
    </row>
    <row r="8532" spans="3:3" x14ac:dyDescent="0.25">
      <c r="C8532" s="4"/>
    </row>
    <row r="8533" spans="3:3" x14ac:dyDescent="0.25">
      <c r="C8533" s="4"/>
    </row>
    <row r="8534" spans="3:3" x14ac:dyDescent="0.25">
      <c r="C8534" s="4"/>
    </row>
    <row r="8535" spans="3:3" x14ac:dyDescent="0.25">
      <c r="C8535" s="4"/>
    </row>
    <row r="8536" spans="3:3" x14ac:dyDescent="0.25">
      <c r="C8536" s="4"/>
    </row>
    <row r="8537" spans="3:3" x14ac:dyDescent="0.25">
      <c r="C8537" s="4"/>
    </row>
    <row r="8538" spans="3:3" x14ac:dyDescent="0.25">
      <c r="C8538" s="4"/>
    </row>
    <row r="8539" spans="3:3" x14ac:dyDescent="0.25">
      <c r="C8539" s="4"/>
    </row>
    <row r="8540" spans="3:3" x14ac:dyDescent="0.25">
      <c r="C8540" s="4"/>
    </row>
    <row r="8541" spans="3:3" x14ac:dyDescent="0.25">
      <c r="C8541" s="4"/>
    </row>
    <row r="8542" spans="3:3" x14ac:dyDescent="0.25">
      <c r="C8542" s="4"/>
    </row>
    <row r="8543" spans="3:3" x14ac:dyDescent="0.25">
      <c r="C8543" s="4"/>
    </row>
    <row r="8544" spans="3:3" x14ac:dyDescent="0.25">
      <c r="C8544" s="4"/>
    </row>
    <row r="8545" spans="3:3" x14ac:dyDescent="0.25">
      <c r="C8545" s="4"/>
    </row>
    <row r="8546" spans="3:3" x14ac:dyDescent="0.25">
      <c r="C8546" s="4"/>
    </row>
    <row r="8547" spans="3:3" x14ac:dyDescent="0.25">
      <c r="C8547" s="4"/>
    </row>
    <row r="8548" spans="3:3" x14ac:dyDescent="0.25">
      <c r="C8548" s="4"/>
    </row>
    <row r="8549" spans="3:3" x14ac:dyDescent="0.25">
      <c r="C8549" s="4"/>
    </row>
    <row r="8550" spans="3:3" x14ac:dyDescent="0.25">
      <c r="C8550" s="4"/>
    </row>
    <row r="8551" spans="3:3" x14ac:dyDescent="0.25">
      <c r="C8551" s="4"/>
    </row>
    <row r="8552" spans="3:3" x14ac:dyDescent="0.25">
      <c r="C8552" s="4"/>
    </row>
    <row r="8553" spans="3:3" x14ac:dyDescent="0.25">
      <c r="C8553" s="4"/>
    </row>
    <row r="8554" spans="3:3" x14ac:dyDescent="0.25">
      <c r="C8554" s="4"/>
    </row>
    <row r="8555" spans="3:3" x14ac:dyDescent="0.25">
      <c r="C8555" s="4"/>
    </row>
    <row r="8556" spans="3:3" x14ac:dyDescent="0.25">
      <c r="C8556" s="4"/>
    </row>
    <row r="8557" spans="3:3" x14ac:dyDescent="0.25">
      <c r="C8557" s="4"/>
    </row>
    <row r="8558" spans="3:3" x14ac:dyDescent="0.25">
      <c r="C8558" s="4"/>
    </row>
    <row r="8559" spans="3:3" x14ac:dyDescent="0.25">
      <c r="C8559" s="4"/>
    </row>
    <row r="8560" spans="3:3" x14ac:dyDescent="0.25">
      <c r="C8560" s="4"/>
    </row>
    <row r="8561" spans="3:3" x14ac:dyDescent="0.25">
      <c r="C8561" s="4"/>
    </row>
    <row r="8562" spans="3:3" x14ac:dyDescent="0.25">
      <c r="C8562" s="4"/>
    </row>
    <row r="8563" spans="3:3" x14ac:dyDescent="0.25">
      <c r="C8563" s="4"/>
    </row>
    <row r="8564" spans="3:3" x14ac:dyDescent="0.25">
      <c r="C8564" s="4"/>
    </row>
    <row r="8565" spans="3:3" x14ac:dyDescent="0.25">
      <c r="C8565" s="4"/>
    </row>
    <row r="8566" spans="3:3" x14ac:dyDescent="0.25">
      <c r="C8566" s="4"/>
    </row>
    <row r="8567" spans="3:3" x14ac:dyDescent="0.25">
      <c r="C8567" s="4"/>
    </row>
    <row r="8568" spans="3:3" x14ac:dyDescent="0.25">
      <c r="C8568" s="4"/>
    </row>
    <row r="8569" spans="3:3" x14ac:dyDescent="0.25">
      <c r="C8569" s="4"/>
    </row>
    <row r="8570" spans="3:3" x14ac:dyDescent="0.25">
      <c r="C8570" s="4"/>
    </row>
    <row r="8571" spans="3:3" x14ac:dyDescent="0.25">
      <c r="C8571" s="4"/>
    </row>
    <row r="8572" spans="3:3" x14ac:dyDescent="0.25">
      <c r="C8572" s="4"/>
    </row>
    <row r="8573" spans="3:3" x14ac:dyDescent="0.25">
      <c r="C8573" s="4"/>
    </row>
    <row r="8574" spans="3:3" x14ac:dyDescent="0.25">
      <c r="C8574" s="4"/>
    </row>
    <row r="8575" spans="3:3" x14ac:dyDescent="0.25">
      <c r="C8575" s="4"/>
    </row>
    <row r="8576" spans="3:3" x14ac:dyDescent="0.25">
      <c r="C8576" s="4"/>
    </row>
    <row r="8577" spans="3:3" x14ac:dyDescent="0.25">
      <c r="C8577" s="4"/>
    </row>
    <row r="8578" spans="3:3" x14ac:dyDescent="0.25">
      <c r="C8578" s="4"/>
    </row>
    <row r="8579" spans="3:3" x14ac:dyDescent="0.25">
      <c r="C8579" s="4"/>
    </row>
    <row r="8580" spans="3:3" x14ac:dyDescent="0.25">
      <c r="C8580" s="4"/>
    </row>
    <row r="8581" spans="3:3" x14ac:dyDescent="0.25">
      <c r="C8581" s="4"/>
    </row>
    <row r="8582" spans="3:3" x14ac:dyDescent="0.25">
      <c r="C8582" s="4"/>
    </row>
    <row r="8583" spans="3:3" x14ac:dyDescent="0.25">
      <c r="C8583" s="4"/>
    </row>
    <row r="8584" spans="3:3" x14ac:dyDescent="0.25">
      <c r="C8584" s="4"/>
    </row>
    <row r="8585" spans="3:3" x14ac:dyDescent="0.25">
      <c r="C8585" s="4"/>
    </row>
    <row r="8586" spans="3:3" x14ac:dyDescent="0.25">
      <c r="C8586" s="4"/>
    </row>
    <row r="8587" spans="3:3" x14ac:dyDescent="0.25">
      <c r="C8587" s="4"/>
    </row>
    <row r="8588" spans="3:3" x14ac:dyDescent="0.25">
      <c r="C8588" s="4"/>
    </row>
    <row r="8589" spans="3:3" x14ac:dyDescent="0.25">
      <c r="C8589" s="4"/>
    </row>
    <row r="8590" spans="3:3" x14ac:dyDescent="0.25">
      <c r="C8590" s="4"/>
    </row>
    <row r="8591" spans="3:3" x14ac:dyDescent="0.25">
      <c r="C8591" s="4"/>
    </row>
    <row r="8592" spans="3:3" x14ac:dyDescent="0.25">
      <c r="C8592" s="4"/>
    </row>
    <row r="8593" spans="3:3" x14ac:dyDescent="0.25">
      <c r="C8593" s="4"/>
    </row>
    <row r="8594" spans="3:3" x14ac:dyDescent="0.25">
      <c r="C8594" s="4"/>
    </row>
    <row r="8595" spans="3:3" x14ac:dyDescent="0.25">
      <c r="C8595" s="4"/>
    </row>
    <row r="8596" spans="3:3" x14ac:dyDescent="0.25">
      <c r="C8596" s="4"/>
    </row>
    <row r="8597" spans="3:3" x14ac:dyDescent="0.25">
      <c r="C8597" s="4"/>
    </row>
    <row r="8598" spans="3:3" x14ac:dyDescent="0.25">
      <c r="C8598" s="4"/>
    </row>
    <row r="8599" spans="3:3" x14ac:dyDescent="0.25">
      <c r="C8599" s="4"/>
    </row>
    <row r="8600" spans="3:3" x14ac:dyDescent="0.25">
      <c r="C8600" s="4"/>
    </row>
    <row r="8601" spans="3:3" x14ac:dyDescent="0.25">
      <c r="C8601" s="4"/>
    </row>
    <row r="8602" spans="3:3" x14ac:dyDescent="0.25">
      <c r="C8602" s="4"/>
    </row>
    <row r="8603" spans="3:3" x14ac:dyDescent="0.25">
      <c r="C8603" s="4"/>
    </row>
    <row r="8604" spans="3:3" x14ac:dyDescent="0.25">
      <c r="C8604" s="4"/>
    </row>
    <row r="8605" spans="3:3" x14ac:dyDescent="0.25">
      <c r="C8605" s="4"/>
    </row>
    <row r="8606" spans="3:3" x14ac:dyDescent="0.25">
      <c r="C8606" s="4"/>
    </row>
    <row r="8607" spans="3:3" x14ac:dyDescent="0.25">
      <c r="C8607" s="4"/>
    </row>
    <row r="8608" spans="3:3" x14ac:dyDescent="0.25">
      <c r="C8608" s="4"/>
    </row>
    <row r="8609" spans="3:3" x14ac:dyDescent="0.25">
      <c r="C8609" s="4"/>
    </row>
    <row r="8610" spans="3:3" x14ac:dyDescent="0.25">
      <c r="C8610" s="4"/>
    </row>
    <row r="8611" spans="3:3" x14ac:dyDescent="0.25">
      <c r="C8611" s="4"/>
    </row>
    <row r="8612" spans="3:3" x14ac:dyDescent="0.25">
      <c r="C8612" s="4"/>
    </row>
    <row r="8613" spans="3:3" x14ac:dyDescent="0.25">
      <c r="C8613" s="4"/>
    </row>
    <row r="8614" spans="3:3" x14ac:dyDescent="0.25">
      <c r="C8614" s="4"/>
    </row>
    <row r="8615" spans="3:3" x14ac:dyDescent="0.25">
      <c r="C8615" s="4"/>
    </row>
    <row r="8616" spans="3:3" x14ac:dyDescent="0.25">
      <c r="C8616" s="4"/>
    </row>
    <row r="8617" spans="3:3" x14ac:dyDescent="0.25">
      <c r="C8617" s="4"/>
    </row>
    <row r="8618" spans="3:3" x14ac:dyDescent="0.25">
      <c r="C8618" s="4"/>
    </row>
    <row r="8619" spans="3:3" x14ac:dyDescent="0.25">
      <c r="C8619" s="4"/>
    </row>
    <row r="8620" spans="3:3" x14ac:dyDescent="0.25">
      <c r="C8620" s="4"/>
    </row>
    <row r="8621" spans="3:3" x14ac:dyDescent="0.25">
      <c r="C8621" s="4"/>
    </row>
    <row r="8622" spans="3:3" x14ac:dyDescent="0.25">
      <c r="C8622" s="4"/>
    </row>
    <row r="8623" spans="3:3" x14ac:dyDescent="0.25">
      <c r="C8623" s="4"/>
    </row>
    <row r="8624" spans="3:3" x14ac:dyDescent="0.25">
      <c r="C8624" s="4"/>
    </row>
    <row r="8625" spans="3:3" x14ac:dyDescent="0.25">
      <c r="C8625" s="4"/>
    </row>
    <row r="8626" spans="3:3" x14ac:dyDescent="0.25">
      <c r="C8626" s="4"/>
    </row>
    <row r="8627" spans="3:3" x14ac:dyDescent="0.25">
      <c r="C8627" s="4"/>
    </row>
    <row r="8628" spans="3:3" x14ac:dyDescent="0.25">
      <c r="C8628" s="4"/>
    </row>
    <row r="8629" spans="3:3" x14ac:dyDescent="0.25">
      <c r="C8629" s="4"/>
    </row>
    <row r="8630" spans="3:3" x14ac:dyDescent="0.25">
      <c r="C8630" s="4"/>
    </row>
    <row r="8631" spans="3:3" x14ac:dyDescent="0.25">
      <c r="C8631" s="4"/>
    </row>
    <row r="8632" spans="3:3" x14ac:dyDescent="0.25">
      <c r="C8632" s="4"/>
    </row>
    <row r="8633" spans="3:3" x14ac:dyDescent="0.25">
      <c r="C8633" s="4"/>
    </row>
    <row r="8634" spans="3:3" x14ac:dyDescent="0.25">
      <c r="C8634" s="4"/>
    </row>
    <row r="8635" spans="3:3" x14ac:dyDescent="0.25">
      <c r="C8635" s="4"/>
    </row>
    <row r="8636" spans="3:3" x14ac:dyDescent="0.25">
      <c r="C8636" s="4"/>
    </row>
    <row r="8637" spans="3:3" x14ac:dyDescent="0.25">
      <c r="C8637" s="4"/>
    </row>
    <row r="8638" spans="3:3" x14ac:dyDescent="0.25">
      <c r="C8638" s="4"/>
    </row>
    <row r="8639" spans="3:3" x14ac:dyDescent="0.25">
      <c r="C8639" s="4"/>
    </row>
    <row r="8640" spans="3:3" x14ac:dyDescent="0.25">
      <c r="C8640" s="4"/>
    </row>
    <row r="8641" spans="3:3" x14ac:dyDescent="0.25">
      <c r="C8641" s="4"/>
    </row>
    <row r="8642" spans="3:3" x14ac:dyDescent="0.25">
      <c r="C8642" s="4"/>
    </row>
    <row r="8643" spans="3:3" x14ac:dyDescent="0.25">
      <c r="C8643" s="4"/>
    </row>
    <row r="8644" spans="3:3" x14ac:dyDescent="0.25">
      <c r="C8644" s="4"/>
    </row>
    <row r="8645" spans="3:3" x14ac:dyDescent="0.25">
      <c r="C8645" s="4"/>
    </row>
    <row r="8646" spans="3:3" x14ac:dyDescent="0.25">
      <c r="C8646" s="4"/>
    </row>
    <row r="8647" spans="3:3" x14ac:dyDescent="0.25">
      <c r="C8647" s="4"/>
    </row>
    <row r="8648" spans="3:3" x14ac:dyDescent="0.25">
      <c r="C8648" s="4"/>
    </row>
    <row r="8649" spans="3:3" x14ac:dyDescent="0.25">
      <c r="C8649" s="4"/>
    </row>
    <row r="8650" spans="3:3" x14ac:dyDescent="0.25">
      <c r="C8650" s="4"/>
    </row>
    <row r="8651" spans="3:3" x14ac:dyDescent="0.25">
      <c r="C8651" s="4"/>
    </row>
    <row r="8652" spans="3:3" x14ac:dyDescent="0.25">
      <c r="C8652" s="4"/>
    </row>
    <row r="8653" spans="3:3" x14ac:dyDescent="0.25">
      <c r="C8653" s="4"/>
    </row>
    <row r="8654" spans="3:3" x14ac:dyDescent="0.25">
      <c r="C8654" s="4"/>
    </row>
    <row r="8655" spans="3:3" x14ac:dyDescent="0.25">
      <c r="C8655" s="4"/>
    </row>
    <row r="8656" spans="3:3" x14ac:dyDescent="0.25">
      <c r="C8656" s="4"/>
    </row>
    <row r="8657" spans="3:3" x14ac:dyDescent="0.25">
      <c r="C8657" s="4"/>
    </row>
    <row r="8658" spans="3:3" x14ac:dyDescent="0.25">
      <c r="C8658" s="4"/>
    </row>
    <row r="8659" spans="3:3" x14ac:dyDescent="0.25">
      <c r="C8659" s="4"/>
    </row>
    <row r="8660" spans="3:3" x14ac:dyDescent="0.25">
      <c r="C8660" s="4"/>
    </row>
    <row r="8661" spans="3:3" x14ac:dyDescent="0.25">
      <c r="C8661" s="4"/>
    </row>
    <row r="8662" spans="3:3" x14ac:dyDescent="0.25">
      <c r="C8662" s="4"/>
    </row>
    <row r="8663" spans="3:3" x14ac:dyDescent="0.25">
      <c r="C8663" s="4"/>
    </row>
    <row r="8664" spans="3:3" x14ac:dyDescent="0.25">
      <c r="C8664" s="4"/>
    </row>
    <row r="8665" spans="3:3" x14ac:dyDescent="0.25">
      <c r="C8665" s="4"/>
    </row>
    <row r="8666" spans="3:3" x14ac:dyDescent="0.25">
      <c r="C8666" s="4"/>
    </row>
    <row r="8667" spans="3:3" x14ac:dyDescent="0.25">
      <c r="C8667" s="4"/>
    </row>
    <row r="8668" spans="3:3" x14ac:dyDescent="0.25">
      <c r="C8668" s="4"/>
    </row>
    <row r="8669" spans="3:3" x14ac:dyDescent="0.25">
      <c r="C8669" s="4"/>
    </row>
    <row r="8670" spans="3:3" x14ac:dyDescent="0.25">
      <c r="C8670" s="4"/>
    </row>
    <row r="8671" spans="3:3" x14ac:dyDescent="0.25">
      <c r="C8671" s="4"/>
    </row>
    <row r="8672" spans="3:3" x14ac:dyDescent="0.25">
      <c r="C8672" s="4"/>
    </row>
    <row r="8673" spans="3:3" x14ac:dyDescent="0.25">
      <c r="C8673" s="4"/>
    </row>
    <row r="8674" spans="3:3" x14ac:dyDescent="0.25">
      <c r="C8674" s="4"/>
    </row>
    <row r="8675" spans="3:3" x14ac:dyDescent="0.25">
      <c r="C8675" s="4"/>
    </row>
    <row r="8676" spans="3:3" x14ac:dyDescent="0.25">
      <c r="C8676" s="4"/>
    </row>
    <row r="8677" spans="3:3" x14ac:dyDescent="0.25">
      <c r="C8677" s="4"/>
    </row>
    <row r="8678" spans="3:3" x14ac:dyDescent="0.25">
      <c r="C8678" s="4"/>
    </row>
    <row r="8679" spans="3:3" x14ac:dyDescent="0.25">
      <c r="C8679" s="4"/>
    </row>
    <row r="8680" spans="3:3" x14ac:dyDescent="0.25">
      <c r="C8680" s="4"/>
    </row>
    <row r="8681" spans="3:3" x14ac:dyDescent="0.25">
      <c r="C8681" s="4"/>
    </row>
    <row r="8682" spans="3:3" x14ac:dyDescent="0.25">
      <c r="C8682" s="4"/>
    </row>
    <row r="8683" spans="3:3" x14ac:dyDescent="0.25">
      <c r="C8683" s="4"/>
    </row>
    <row r="8684" spans="3:3" x14ac:dyDescent="0.25">
      <c r="C8684" s="4"/>
    </row>
    <row r="8685" spans="3:3" x14ac:dyDescent="0.25">
      <c r="C8685" s="4"/>
    </row>
    <row r="8686" spans="3:3" x14ac:dyDescent="0.25">
      <c r="C8686" s="4"/>
    </row>
    <row r="8687" spans="3:3" x14ac:dyDescent="0.25">
      <c r="C8687" s="4"/>
    </row>
    <row r="8688" spans="3:3" x14ac:dyDescent="0.25">
      <c r="C8688" s="4"/>
    </row>
    <row r="8689" spans="3:3" x14ac:dyDescent="0.25">
      <c r="C8689" s="4"/>
    </row>
    <row r="8690" spans="3:3" x14ac:dyDescent="0.25">
      <c r="C8690" s="4"/>
    </row>
    <row r="8691" spans="3:3" x14ac:dyDescent="0.25">
      <c r="C8691" s="4"/>
    </row>
    <row r="8692" spans="3:3" x14ac:dyDescent="0.25">
      <c r="C8692" s="4"/>
    </row>
    <row r="8693" spans="3:3" x14ac:dyDescent="0.25">
      <c r="C8693" s="4"/>
    </row>
    <row r="8694" spans="3:3" x14ac:dyDescent="0.25">
      <c r="C8694" s="4"/>
    </row>
    <row r="8695" spans="3:3" x14ac:dyDescent="0.25">
      <c r="C8695" s="4"/>
    </row>
    <row r="8696" spans="3:3" x14ac:dyDescent="0.25">
      <c r="C8696" s="4"/>
    </row>
    <row r="8697" spans="3:3" x14ac:dyDescent="0.25">
      <c r="C8697" s="4"/>
    </row>
    <row r="8698" spans="3:3" x14ac:dyDescent="0.25">
      <c r="C8698" s="4"/>
    </row>
    <row r="8699" spans="3:3" x14ac:dyDescent="0.25">
      <c r="C8699" s="4"/>
    </row>
    <row r="8700" spans="3:3" x14ac:dyDescent="0.25">
      <c r="C8700" s="4"/>
    </row>
    <row r="8701" spans="3:3" x14ac:dyDescent="0.25">
      <c r="C8701" s="4"/>
    </row>
    <row r="8702" spans="3:3" x14ac:dyDescent="0.25">
      <c r="C8702" s="4"/>
    </row>
    <row r="8703" spans="3:3" x14ac:dyDescent="0.25">
      <c r="C8703" s="4"/>
    </row>
    <row r="8704" spans="3:3" x14ac:dyDescent="0.25">
      <c r="C8704" s="4"/>
    </row>
    <row r="8705" spans="3:3" x14ac:dyDescent="0.25">
      <c r="C8705" s="4"/>
    </row>
    <row r="8706" spans="3:3" x14ac:dyDescent="0.25">
      <c r="C8706" s="4"/>
    </row>
    <row r="8707" spans="3:3" x14ac:dyDescent="0.25">
      <c r="C8707" s="4"/>
    </row>
    <row r="8708" spans="3:3" x14ac:dyDescent="0.25">
      <c r="C8708" s="4"/>
    </row>
    <row r="8709" spans="3:3" x14ac:dyDescent="0.25">
      <c r="C8709" s="4"/>
    </row>
    <row r="8710" spans="3:3" x14ac:dyDescent="0.25">
      <c r="C8710" s="4"/>
    </row>
    <row r="8711" spans="3:3" x14ac:dyDescent="0.25">
      <c r="C8711" s="4"/>
    </row>
    <row r="8712" spans="3:3" x14ac:dyDescent="0.25">
      <c r="C8712" s="4"/>
    </row>
    <row r="8713" spans="3:3" x14ac:dyDescent="0.25">
      <c r="C8713" s="4"/>
    </row>
    <row r="8714" spans="3:3" x14ac:dyDescent="0.25">
      <c r="C8714" s="4"/>
    </row>
    <row r="8715" spans="3:3" x14ac:dyDescent="0.25">
      <c r="C8715" s="4"/>
    </row>
    <row r="8716" spans="3:3" x14ac:dyDescent="0.25">
      <c r="C8716" s="4"/>
    </row>
    <row r="8717" spans="3:3" x14ac:dyDescent="0.25">
      <c r="C8717" s="4"/>
    </row>
    <row r="8718" spans="3:3" x14ac:dyDescent="0.25">
      <c r="C8718" s="4"/>
    </row>
    <row r="8719" spans="3:3" x14ac:dyDescent="0.25">
      <c r="C8719" s="4"/>
    </row>
    <row r="8720" spans="3:3" x14ac:dyDescent="0.25">
      <c r="C8720" s="4"/>
    </row>
    <row r="8721" spans="3:3" x14ac:dyDescent="0.25">
      <c r="C8721" s="4"/>
    </row>
    <row r="8722" spans="3:3" x14ac:dyDescent="0.25">
      <c r="C8722" s="4"/>
    </row>
    <row r="8723" spans="3:3" x14ac:dyDescent="0.25">
      <c r="C8723" s="4"/>
    </row>
    <row r="8724" spans="3:3" x14ac:dyDescent="0.25">
      <c r="C8724" s="4"/>
    </row>
    <row r="8725" spans="3:3" x14ac:dyDescent="0.25">
      <c r="C8725" s="4"/>
    </row>
    <row r="8726" spans="3:3" x14ac:dyDescent="0.25">
      <c r="C8726" s="4"/>
    </row>
    <row r="8727" spans="3:3" x14ac:dyDescent="0.25">
      <c r="C8727" s="4"/>
    </row>
    <row r="8728" spans="3:3" x14ac:dyDescent="0.25">
      <c r="C8728" s="4"/>
    </row>
    <row r="8729" spans="3:3" x14ac:dyDescent="0.25">
      <c r="C8729" s="4"/>
    </row>
    <row r="8730" spans="3:3" x14ac:dyDescent="0.25">
      <c r="C8730" s="4"/>
    </row>
    <row r="8731" spans="3:3" x14ac:dyDescent="0.25">
      <c r="C8731" s="4"/>
    </row>
    <row r="8732" spans="3:3" x14ac:dyDescent="0.25">
      <c r="C8732" s="4"/>
    </row>
    <row r="8733" spans="3:3" x14ac:dyDescent="0.25">
      <c r="C8733" s="4"/>
    </row>
    <row r="8734" spans="3:3" x14ac:dyDescent="0.25">
      <c r="C8734" s="4"/>
    </row>
    <row r="8735" spans="3:3" x14ac:dyDescent="0.25">
      <c r="C8735" s="4"/>
    </row>
    <row r="8736" spans="3:3" x14ac:dyDescent="0.25">
      <c r="C8736" s="4"/>
    </row>
    <row r="8737" spans="3:3" x14ac:dyDescent="0.25">
      <c r="C8737" s="4"/>
    </row>
    <row r="8738" spans="3:3" x14ac:dyDescent="0.25">
      <c r="C8738" s="4"/>
    </row>
    <row r="8739" spans="3:3" x14ac:dyDescent="0.25">
      <c r="C8739" s="4"/>
    </row>
    <row r="8740" spans="3:3" x14ac:dyDescent="0.25">
      <c r="C8740" s="4"/>
    </row>
    <row r="8741" spans="3:3" x14ac:dyDescent="0.25">
      <c r="C8741" s="4"/>
    </row>
    <row r="8742" spans="3:3" x14ac:dyDescent="0.25">
      <c r="C8742" s="4"/>
    </row>
    <row r="8743" spans="3:3" x14ac:dyDescent="0.25">
      <c r="C8743" s="4"/>
    </row>
    <row r="8744" spans="3:3" x14ac:dyDescent="0.25">
      <c r="C8744" s="4"/>
    </row>
    <row r="8745" spans="3:3" x14ac:dyDescent="0.25">
      <c r="C8745" s="4"/>
    </row>
    <row r="8746" spans="3:3" x14ac:dyDescent="0.25">
      <c r="C8746" s="4"/>
    </row>
    <row r="8747" spans="3:3" x14ac:dyDescent="0.25">
      <c r="C8747" s="4"/>
    </row>
    <row r="8748" spans="3:3" x14ac:dyDescent="0.25">
      <c r="C8748" s="4"/>
    </row>
    <row r="8749" spans="3:3" x14ac:dyDescent="0.25">
      <c r="C8749" s="4"/>
    </row>
    <row r="8750" spans="3:3" x14ac:dyDescent="0.25">
      <c r="C8750" s="4"/>
    </row>
    <row r="8751" spans="3:3" x14ac:dyDescent="0.25">
      <c r="C8751" s="4"/>
    </row>
    <row r="8752" spans="3:3" x14ac:dyDescent="0.25">
      <c r="C8752" s="4"/>
    </row>
    <row r="8753" spans="3:3" x14ac:dyDescent="0.25">
      <c r="C8753" s="4"/>
    </row>
    <row r="8754" spans="3:3" x14ac:dyDescent="0.25">
      <c r="C8754" s="4"/>
    </row>
    <row r="8755" spans="3:3" x14ac:dyDescent="0.25">
      <c r="C8755" s="4"/>
    </row>
    <row r="8756" spans="3:3" x14ac:dyDescent="0.25">
      <c r="C8756" s="4"/>
    </row>
    <row r="8757" spans="3:3" x14ac:dyDescent="0.25">
      <c r="C8757" s="4"/>
    </row>
    <row r="8758" spans="3:3" x14ac:dyDescent="0.25">
      <c r="C8758" s="4"/>
    </row>
    <row r="8759" spans="3:3" x14ac:dyDescent="0.25">
      <c r="C8759" s="4"/>
    </row>
    <row r="8760" spans="3:3" x14ac:dyDescent="0.25">
      <c r="C8760" s="4"/>
    </row>
    <row r="8761" spans="3:3" x14ac:dyDescent="0.25">
      <c r="C8761" s="4"/>
    </row>
    <row r="8762" spans="3:3" x14ac:dyDescent="0.25">
      <c r="C8762" s="4"/>
    </row>
    <row r="8763" spans="3:3" x14ac:dyDescent="0.25">
      <c r="C8763" s="4"/>
    </row>
    <row r="8764" spans="3:3" x14ac:dyDescent="0.25">
      <c r="C8764" s="4"/>
    </row>
    <row r="8765" spans="3:3" x14ac:dyDescent="0.25">
      <c r="C8765" s="4"/>
    </row>
    <row r="8766" spans="3:3" x14ac:dyDescent="0.25">
      <c r="C8766" s="4"/>
    </row>
    <row r="8767" spans="3:3" x14ac:dyDescent="0.25">
      <c r="C8767" s="4"/>
    </row>
    <row r="8768" spans="3:3" x14ac:dyDescent="0.25">
      <c r="C8768" s="4"/>
    </row>
    <row r="8769" spans="3:3" x14ac:dyDescent="0.25">
      <c r="C8769" s="4"/>
    </row>
    <row r="8770" spans="3:3" x14ac:dyDescent="0.25">
      <c r="C8770" s="4"/>
    </row>
    <row r="8771" spans="3:3" x14ac:dyDescent="0.25">
      <c r="C8771" s="4"/>
    </row>
    <row r="8772" spans="3:3" x14ac:dyDescent="0.25">
      <c r="C8772" s="4"/>
    </row>
    <row r="8773" spans="3:3" x14ac:dyDescent="0.25">
      <c r="C8773" s="4"/>
    </row>
    <row r="8774" spans="3:3" x14ac:dyDescent="0.25">
      <c r="C8774" s="4"/>
    </row>
    <row r="8775" spans="3:3" x14ac:dyDescent="0.25">
      <c r="C8775" s="4"/>
    </row>
    <row r="8776" spans="3:3" x14ac:dyDescent="0.25">
      <c r="C8776" s="4"/>
    </row>
    <row r="8777" spans="3:3" x14ac:dyDescent="0.25">
      <c r="C8777" s="4"/>
    </row>
    <row r="8778" spans="3:3" x14ac:dyDescent="0.25">
      <c r="C8778" s="4"/>
    </row>
    <row r="8779" spans="3:3" x14ac:dyDescent="0.25">
      <c r="C8779" s="4"/>
    </row>
    <row r="8780" spans="3:3" x14ac:dyDescent="0.25">
      <c r="C8780" s="4"/>
    </row>
    <row r="8781" spans="3:3" x14ac:dyDescent="0.25">
      <c r="C8781" s="4"/>
    </row>
    <row r="8782" spans="3:3" x14ac:dyDescent="0.25">
      <c r="C8782" s="4"/>
    </row>
    <row r="8783" spans="3:3" x14ac:dyDescent="0.25">
      <c r="C8783" s="4"/>
    </row>
    <row r="8784" spans="3:3" x14ac:dyDescent="0.25">
      <c r="C8784" s="4"/>
    </row>
    <row r="8785" spans="3:3" x14ac:dyDescent="0.25">
      <c r="C8785" s="4"/>
    </row>
    <row r="8786" spans="3:3" x14ac:dyDescent="0.25">
      <c r="C8786" s="4"/>
    </row>
    <row r="8787" spans="3:3" x14ac:dyDescent="0.25">
      <c r="C8787" s="4"/>
    </row>
    <row r="8788" spans="3:3" x14ac:dyDescent="0.25">
      <c r="C8788" s="4"/>
    </row>
    <row r="8789" spans="3:3" x14ac:dyDescent="0.25">
      <c r="C8789" s="4"/>
    </row>
    <row r="8790" spans="3:3" x14ac:dyDescent="0.25">
      <c r="C8790" s="4"/>
    </row>
    <row r="8791" spans="3:3" x14ac:dyDescent="0.25">
      <c r="C8791" s="4"/>
    </row>
    <row r="8792" spans="3:3" x14ac:dyDescent="0.25">
      <c r="C8792" s="4"/>
    </row>
    <row r="8793" spans="3:3" x14ac:dyDescent="0.25">
      <c r="C8793" s="4"/>
    </row>
    <row r="8794" spans="3:3" x14ac:dyDescent="0.25">
      <c r="C8794" s="4"/>
    </row>
    <row r="8795" spans="3:3" x14ac:dyDescent="0.25">
      <c r="C8795" s="4"/>
    </row>
    <row r="8796" spans="3:3" x14ac:dyDescent="0.25">
      <c r="C8796" s="4"/>
    </row>
    <row r="8797" spans="3:3" x14ac:dyDescent="0.25">
      <c r="C8797" s="4"/>
    </row>
    <row r="8798" spans="3:3" x14ac:dyDescent="0.25">
      <c r="C8798" s="4"/>
    </row>
    <row r="8799" spans="3:3" x14ac:dyDescent="0.25">
      <c r="C8799" s="4"/>
    </row>
    <row r="8800" spans="3:3" x14ac:dyDescent="0.25">
      <c r="C8800" s="4"/>
    </row>
    <row r="8801" spans="3:3" x14ac:dyDescent="0.25">
      <c r="C8801" s="4"/>
    </row>
    <row r="8802" spans="3:3" x14ac:dyDescent="0.25">
      <c r="C8802" s="4"/>
    </row>
    <row r="8803" spans="3:3" x14ac:dyDescent="0.25">
      <c r="C8803" s="4"/>
    </row>
    <row r="8804" spans="3:3" x14ac:dyDescent="0.25">
      <c r="C8804" s="4"/>
    </row>
    <row r="8805" spans="3:3" x14ac:dyDescent="0.25">
      <c r="C8805" s="4"/>
    </row>
    <row r="8806" spans="3:3" x14ac:dyDescent="0.25">
      <c r="C8806" s="4"/>
    </row>
    <row r="8807" spans="3:3" x14ac:dyDescent="0.25">
      <c r="C8807" s="4"/>
    </row>
    <row r="8808" spans="3:3" x14ac:dyDescent="0.25">
      <c r="C8808" s="4"/>
    </row>
    <row r="8809" spans="3:3" x14ac:dyDescent="0.25">
      <c r="C8809" s="4"/>
    </row>
    <row r="8810" spans="3:3" x14ac:dyDescent="0.25">
      <c r="C8810" s="4"/>
    </row>
    <row r="8811" spans="3:3" x14ac:dyDescent="0.25">
      <c r="C8811" s="4"/>
    </row>
    <row r="8812" spans="3:3" x14ac:dyDescent="0.25">
      <c r="C8812" s="4"/>
    </row>
    <row r="8813" spans="3:3" x14ac:dyDescent="0.25">
      <c r="C8813" s="4"/>
    </row>
    <row r="8814" spans="3:3" x14ac:dyDescent="0.25">
      <c r="C8814" s="4"/>
    </row>
    <row r="8815" spans="3:3" x14ac:dyDescent="0.25">
      <c r="C8815" s="4"/>
    </row>
    <row r="8816" spans="3:3" x14ac:dyDescent="0.25">
      <c r="C8816" s="4"/>
    </row>
    <row r="8817" spans="3:3" x14ac:dyDescent="0.25">
      <c r="C8817" s="4"/>
    </row>
    <row r="8818" spans="3:3" x14ac:dyDescent="0.25">
      <c r="C8818" s="4"/>
    </row>
    <row r="8819" spans="3:3" x14ac:dyDescent="0.25">
      <c r="C8819" s="4"/>
    </row>
    <row r="8820" spans="3:3" x14ac:dyDescent="0.25">
      <c r="C8820" s="4"/>
    </row>
    <row r="8821" spans="3:3" x14ac:dyDescent="0.25">
      <c r="C8821" s="4"/>
    </row>
    <row r="8822" spans="3:3" x14ac:dyDescent="0.25">
      <c r="C8822" s="4"/>
    </row>
    <row r="8823" spans="3:3" x14ac:dyDescent="0.25">
      <c r="C8823" s="4"/>
    </row>
    <row r="8824" spans="3:3" x14ac:dyDescent="0.25">
      <c r="C8824" s="4"/>
    </row>
    <row r="8825" spans="3:3" x14ac:dyDescent="0.25">
      <c r="C8825" s="4"/>
    </row>
    <row r="8826" spans="3:3" x14ac:dyDescent="0.25">
      <c r="C8826" s="4"/>
    </row>
    <row r="8827" spans="3:3" x14ac:dyDescent="0.25">
      <c r="C8827" s="4"/>
    </row>
    <row r="8828" spans="3:3" x14ac:dyDescent="0.25">
      <c r="C8828" s="4"/>
    </row>
    <row r="8829" spans="3:3" x14ac:dyDescent="0.25">
      <c r="C8829" s="4"/>
    </row>
    <row r="8830" spans="3:3" x14ac:dyDescent="0.25">
      <c r="C8830" s="4"/>
    </row>
    <row r="8831" spans="3:3" x14ac:dyDescent="0.25">
      <c r="C8831" s="4"/>
    </row>
    <row r="8832" spans="3:3" x14ac:dyDescent="0.25">
      <c r="C8832" s="4"/>
    </row>
    <row r="8833" spans="3:3" x14ac:dyDescent="0.25">
      <c r="C8833" s="4"/>
    </row>
    <row r="8834" spans="3:3" x14ac:dyDescent="0.25">
      <c r="C8834" s="4"/>
    </row>
    <row r="8835" spans="3:3" x14ac:dyDescent="0.25">
      <c r="C8835" s="4"/>
    </row>
    <row r="8836" spans="3:3" x14ac:dyDescent="0.25">
      <c r="C8836" s="4"/>
    </row>
    <row r="8837" spans="3:3" x14ac:dyDescent="0.25">
      <c r="C8837" s="4"/>
    </row>
    <row r="8838" spans="3:3" x14ac:dyDescent="0.25">
      <c r="C8838" s="4"/>
    </row>
    <row r="8839" spans="3:3" x14ac:dyDescent="0.25">
      <c r="C8839" s="4"/>
    </row>
    <row r="8840" spans="3:3" x14ac:dyDescent="0.25">
      <c r="C8840" s="4"/>
    </row>
    <row r="8841" spans="3:3" x14ac:dyDescent="0.25">
      <c r="C8841" s="4"/>
    </row>
    <row r="8842" spans="3:3" x14ac:dyDescent="0.25">
      <c r="C8842" s="4"/>
    </row>
    <row r="8843" spans="3:3" x14ac:dyDescent="0.25">
      <c r="C8843" s="4"/>
    </row>
    <row r="8844" spans="3:3" x14ac:dyDescent="0.25">
      <c r="C8844" s="4"/>
    </row>
    <row r="8845" spans="3:3" x14ac:dyDescent="0.25">
      <c r="C8845" s="4"/>
    </row>
    <row r="8846" spans="3:3" x14ac:dyDescent="0.25">
      <c r="C8846" s="4"/>
    </row>
    <row r="8847" spans="3:3" x14ac:dyDescent="0.25">
      <c r="C8847" s="4"/>
    </row>
    <row r="8848" spans="3:3" x14ac:dyDescent="0.25">
      <c r="C8848" s="4"/>
    </row>
    <row r="8849" spans="3:3" x14ac:dyDescent="0.25">
      <c r="C8849" s="4"/>
    </row>
    <row r="8850" spans="3:3" x14ac:dyDescent="0.25">
      <c r="C8850" s="4"/>
    </row>
    <row r="8851" spans="3:3" x14ac:dyDescent="0.25">
      <c r="C8851" s="4"/>
    </row>
    <row r="8852" spans="3:3" x14ac:dyDescent="0.25">
      <c r="C8852" s="4"/>
    </row>
    <row r="8853" spans="3:3" x14ac:dyDescent="0.25">
      <c r="C8853" s="4"/>
    </row>
    <row r="8854" spans="3:3" x14ac:dyDescent="0.25">
      <c r="C8854" s="4"/>
    </row>
    <row r="8855" spans="3:3" x14ac:dyDescent="0.25">
      <c r="C8855" s="4"/>
    </row>
    <row r="8856" spans="3:3" x14ac:dyDescent="0.25">
      <c r="C8856" s="4"/>
    </row>
    <row r="8857" spans="3:3" x14ac:dyDescent="0.25">
      <c r="C8857" s="4"/>
    </row>
    <row r="8858" spans="3:3" x14ac:dyDescent="0.25">
      <c r="C8858" s="4"/>
    </row>
    <row r="8859" spans="3:3" x14ac:dyDescent="0.25">
      <c r="C8859" s="4"/>
    </row>
    <row r="8860" spans="3:3" x14ac:dyDescent="0.25">
      <c r="C8860" s="4"/>
    </row>
    <row r="8861" spans="3:3" x14ac:dyDescent="0.25">
      <c r="C8861" s="4"/>
    </row>
    <row r="8862" spans="3:3" x14ac:dyDescent="0.25">
      <c r="C8862" s="4"/>
    </row>
    <row r="8863" spans="3:3" x14ac:dyDescent="0.25">
      <c r="C8863" s="4"/>
    </row>
    <row r="8864" spans="3:3" x14ac:dyDescent="0.25">
      <c r="C8864" s="4"/>
    </row>
    <row r="8865" spans="3:3" x14ac:dyDescent="0.25">
      <c r="C8865" s="4"/>
    </row>
    <row r="8866" spans="3:3" x14ac:dyDescent="0.25">
      <c r="C8866" s="4"/>
    </row>
    <row r="8867" spans="3:3" x14ac:dyDescent="0.25">
      <c r="C8867" s="4"/>
    </row>
    <row r="8868" spans="3:3" x14ac:dyDescent="0.25">
      <c r="C8868" s="4"/>
    </row>
    <row r="8869" spans="3:3" x14ac:dyDescent="0.25">
      <c r="C8869" s="4"/>
    </row>
    <row r="8870" spans="3:3" x14ac:dyDescent="0.25">
      <c r="C8870" s="4"/>
    </row>
    <row r="8871" spans="3:3" x14ac:dyDescent="0.25">
      <c r="C8871" s="4"/>
    </row>
    <row r="8872" spans="3:3" x14ac:dyDescent="0.25">
      <c r="C8872" s="4"/>
    </row>
    <row r="8873" spans="3:3" x14ac:dyDescent="0.25">
      <c r="C8873" s="4"/>
    </row>
    <row r="8874" spans="3:3" x14ac:dyDescent="0.25">
      <c r="C8874" s="4"/>
    </row>
    <row r="8875" spans="3:3" x14ac:dyDescent="0.25">
      <c r="C8875" s="4"/>
    </row>
    <row r="8876" spans="3:3" x14ac:dyDescent="0.25">
      <c r="C8876" s="4"/>
    </row>
    <row r="8877" spans="3:3" x14ac:dyDescent="0.25">
      <c r="C8877" s="4"/>
    </row>
    <row r="8878" spans="3:3" x14ac:dyDescent="0.25">
      <c r="C8878" s="4"/>
    </row>
    <row r="8879" spans="3:3" x14ac:dyDescent="0.25">
      <c r="C8879" s="4"/>
    </row>
    <row r="8880" spans="3:3" x14ac:dyDescent="0.25">
      <c r="C8880" s="4"/>
    </row>
    <row r="8881" spans="3:3" x14ac:dyDescent="0.25">
      <c r="C8881" s="4"/>
    </row>
    <row r="8882" spans="3:3" x14ac:dyDescent="0.25">
      <c r="C8882" s="4"/>
    </row>
    <row r="8883" spans="3:3" x14ac:dyDescent="0.25">
      <c r="C8883" s="4"/>
    </row>
    <row r="8884" spans="3:3" x14ac:dyDescent="0.25">
      <c r="C8884" s="4"/>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Input</vt:lpstr>
      <vt:lpstr>lookup</vt:lpstr>
      <vt:lpstr>Summary</vt:lpstr>
      <vt:lpstr>Data_Pivot_Helper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Rajasekhar Jamithireddy</dc:creator>
  <cp:lastModifiedBy>Rajasekhar Jamithireddy</cp:lastModifiedBy>
  <cp:lastPrinted>2022-08-06T06:54:18Z</cp:lastPrinted>
  <dcterms:created xsi:type="dcterms:W3CDTF">2022-08-04T03:49:41Z</dcterms:created>
  <dcterms:modified xsi:type="dcterms:W3CDTF">2022-08-06T08:28:07Z</dcterms:modified>
</cp:coreProperties>
</file>